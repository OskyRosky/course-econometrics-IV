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hidePivotFieldList="1"/>
  <bookViews>
    <workbookView xWindow="20370" yWindow="-120" windowWidth="29040" windowHeight="11760" activeTab="2"/>
  </bookViews>
  <sheets>
    <sheet name="Datos" sheetId="1" r:id="rId1"/>
    <sheet name="Análisis (2)" sheetId="9" r:id="rId2"/>
    <sheet name="Hoja3" sheetId="11" r:id="rId3"/>
  </sheets>
  <definedNames>
    <definedName name="_xlnm._FilterDatabase" localSheetId="0" hidden="1">Datos!$A$1:$S$2537</definedName>
    <definedName name="SegmentaciónDeDatos_Área">#N/A</definedName>
    <definedName name="SegmentaciónDeDatos_Sexo">#N/A</definedName>
    <definedName name="SegmentaciónDeDatos_Tipo_trabajador">#N/A</definedName>
  </definedNames>
  <calcPr calcId="191029"/>
  <pivotCaches>
    <pivotCache cacheId="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3" i="11" l="1"/>
  <c r="H23" i="11"/>
  <c r="I22" i="11"/>
  <c r="H22" i="11"/>
  <c r="I21" i="11"/>
  <c r="H21" i="11"/>
  <c r="I20" i="11"/>
  <c r="H20" i="11"/>
  <c r="I19" i="11"/>
  <c r="H19" i="11"/>
  <c r="E23" i="11"/>
  <c r="D23" i="11"/>
  <c r="E22" i="11"/>
  <c r="D22" i="11"/>
  <c r="E21" i="11"/>
  <c r="D21" i="11"/>
  <c r="E20" i="11"/>
  <c r="D20" i="11"/>
  <c r="D19" i="11"/>
  <c r="E19" i="11"/>
  <c r="B23" i="11"/>
  <c r="A23" i="11"/>
  <c r="B22" i="11"/>
  <c r="A22" i="11"/>
  <c r="B21" i="11"/>
  <c r="A21" i="11"/>
  <c r="B20" i="11"/>
  <c r="A20" i="11"/>
  <c r="B19" i="11"/>
  <c r="A19" i="11"/>
  <c r="P2541" i="1"/>
  <c r="M33" i="11"/>
  <c r="B33" i="11"/>
  <c r="N7" i="11"/>
  <c r="Q2537" i="1" l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<sst xmlns="http://schemas.openxmlformats.org/spreadsheetml/2006/main" count="30632" uniqueCount="171">
  <si>
    <t>Id</t>
  </si>
  <si>
    <t>Edad</t>
  </si>
  <si>
    <t>Tipo trabajador</t>
  </si>
  <si>
    <t>Sexo</t>
  </si>
  <si>
    <t xml:space="preserve">Área </t>
  </si>
  <si>
    <t>Estado Cita</t>
  </si>
  <si>
    <t>% grasa</t>
  </si>
  <si>
    <t>Condición %grasa</t>
  </si>
  <si>
    <t>Principal Padecimiento Crónico</t>
  </si>
  <si>
    <t>Diagnóstico Macro</t>
  </si>
  <si>
    <t>Diagnóstico Micro</t>
  </si>
  <si>
    <t>Instancia de Atención</t>
  </si>
  <si>
    <t>Categoria</t>
  </si>
  <si>
    <t>Estado</t>
  </si>
  <si>
    <t>Días</t>
  </si>
  <si>
    <t>Monto de la consulta</t>
  </si>
  <si>
    <t>fecha</t>
  </si>
  <si>
    <t>Mes</t>
  </si>
  <si>
    <t>Privado</t>
  </si>
  <si>
    <t>Hombre</t>
  </si>
  <si>
    <t>Asesoría</t>
  </si>
  <si>
    <t>Asistió</t>
  </si>
  <si>
    <t>Delgado</t>
  </si>
  <si>
    <t>Hipotiroidismo</t>
  </si>
  <si>
    <t>Oftalmológico</t>
  </si>
  <si>
    <t>Fasceitis plantar</t>
  </si>
  <si>
    <t>CCSS</t>
  </si>
  <si>
    <t>Laboratorio</t>
  </si>
  <si>
    <t>No</t>
  </si>
  <si>
    <t>Normal</t>
  </si>
  <si>
    <t>Asma y Rinitis</t>
  </si>
  <si>
    <t>Osteomuscular</t>
  </si>
  <si>
    <t>Onicocriptosis</t>
  </si>
  <si>
    <t>Público</t>
  </si>
  <si>
    <t>Recursos Humanos</t>
  </si>
  <si>
    <t>Ausente</t>
  </si>
  <si>
    <t>Atleta</t>
  </si>
  <si>
    <t>Tiroides</t>
  </si>
  <si>
    <t>Circulatorio</t>
  </si>
  <si>
    <t>Parestesias</t>
  </si>
  <si>
    <t>Mujer</t>
  </si>
  <si>
    <t>Comercial y marketing</t>
  </si>
  <si>
    <t>Obeso</t>
  </si>
  <si>
    <t>Reflujo gastroesofágico</t>
  </si>
  <si>
    <t>Producción</t>
  </si>
  <si>
    <t>Osteoporosis</t>
  </si>
  <si>
    <t>Ginecológico</t>
  </si>
  <si>
    <t>Infeccion cutanea</t>
  </si>
  <si>
    <t>Ventas</t>
  </si>
  <si>
    <t>Dermatitis</t>
  </si>
  <si>
    <t>Cuadro gripal</t>
  </si>
  <si>
    <t>Si</t>
  </si>
  <si>
    <t>Otros</t>
  </si>
  <si>
    <t>Corpulento</t>
  </si>
  <si>
    <t>Consulta general</t>
  </si>
  <si>
    <t>Herpes labial</t>
  </si>
  <si>
    <t>Proveeduría</t>
  </si>
  <si>
    <t>Lumbalgia</t>
  </si>
  <si>
    <t>Neuorológico</t>
  </si>
  <si>
    <t>Tendinitis</t>
  </si>
  <si>
    <t>Rinitis</t>
  </si>
  <si>
    <t>ORL</t>
  </si>
  <si>
    <t>Migraña</t>
  </si>
  <si>
    <t>Liumbalgia</t>
  </si>
  <si>
    <t>IT</t>
  </si>
  <si>
    <t>Gastritis</t>
  </si>
  <si>
    <t>Geniunitario</t>
  </si>
  <si>
    <t>Gerencia</t>
  </si>
  <si>
    <t>Bipolar</t>
  </si>
  <si>
    <t>Gastrointestinal</t>
  </si>
  <si>
    <t>Espasticidad</t>
  </si>
  <si>
    <t>Irritabilidad en ojo</t>
  </si>
  <si>
    <t>Administración</t>
  </si>
  <si>
    <t>Ninguno</t>
  </si>
  <si>
    <t>Respiratorio</t>
  </si>
  <si>
    <t>Contabilidad y finanzas</t>
  </si>
  <si>
    <t>Depresión</t>
  </si>
  <si>
    <t>Cefalea</t>
  </si>
  <si>
    <t>IVRS</t>
  </si>
  <si>
    <t>Reacción alérgica</t>
  </si>
  <si>
    <t>Artritis Reumatoide</t>
  </si>
  <si>
    <t>Dismenorrea</t>
  </si>
  <si>
    <t>Sd de abstinencia</t>
  </si>
  <si>
    <t>Asma</t>
  </si>
  <si>
    <t>Sinusitis</t>
  </si>
  <si>
    <t>Logística</t>
  </si>
  <si>
    <t>Hipertensión</t>
  </si>
  <si>
    <t>Infeccion vaginal</t>
  </si>
  <si>
    <t>Dermatológico</t>
  </si>
  <si>
    <t>Tapon de cerumen</t>
  </si>
  <si>
    <t>Vómitos</t>
  </si>
  <si>
    <t>Vascular</t>
  </si>
  <si>
    <t>Toma de glicemia</t>
  </si>
  <si>
    <t>Absceso</t>
  </si>
  <si>
    <t>Conjuntivitis alergica</t>
  </si>
  <si>
    <t>Indigestion</t>
  </si>
  <si>
    <t>Dolor por pieza dental</t>
  </si>
  <si>
    <t>Alergia</t>
  </si>
  <si>
    <t>Blefaritis</t>
  </si>
  <si>
    <t>Foliculitis</t>
  </si>
  <si>
    <t>Metrorragia</t>
  </si>
  <si>
    <t>Gonalgia</t>
  </si>
  <si>
    <t>Hemorroides</t>
  </si>
  <si>
    <t>Disfonia</t>
  </si>
  <si>
    <t>Crisis de ansiedad</t>
  </si>
  <si>
    <t>Solicitud del uso del asensor</t>
  </si>
  <si>
    <t>Picadura de insecto</t>
  </si>
  <si>
    <t>Depresion</t>
  </si>
  <si>
    <t>Gastroenteritis</t>
  </si>
  <si>
    <t>Faringitis</t>
  </si>
  <si>
    <t>Tos</t>
  </si>
  <si>
    <t>Bronquitis</t>
  </si>
  <si>
    <t>Lumbiciatica</t>
  </si>
  <si>
    <t>Omalgia</t>
  </si>
  <si>
    <t>Contractura mm</t>
  </si>
  <si>
    <t>Ansiedad</t>
  </si>
  <si>
    <t>Solicitud de equipo ergonomico</t>
  </si>
  <si>
    <t xml:space="preserve">Solicitud  </t>
  </si>
  <si>
    <t>Nauseas</t>
  </si>
  <si>
    <t>INS</t>
  </si>
  <si>
    <t>Recargo</t>
  </si>
  <si>
    <t>Clínica Bíblica</t>
  </si>
  <si>
    <t>Junio</t>
  </si>
  <si>
    <t>Rayos "X"</t>
  </si>
  <si>
    <t>Consulta adicional</t>
  </si>
  <si>
    <t>Incapacidad</t>
  </si>
  <si>
    <t>Total general</t>
  </si>
  <si>
    <t>Cuenta de Mes</t>
  </si>
  <si>
    <t>Total</t>
  </si>
  <si>
    <t>Etiquetas de fila</t>
  </si>
  <si>
    <t>Condición grasa</t>
  </si>
  <si>
    <t>Intsancia de atencion</t>
  </si>
  <si>
    <t>Recuento de servicios adicionales Brindados</t>
  </si>
  <si>
    <t>|</t>
  </si>
  <si>
    <t>Trabajador</t>
  </si>
  <si>
    <t>Cantidad de servicios</t>
  </si>
  <si>
    <t>Area de trabajo</t>
  </si>
  <si>
    <t>Área</t>
  </si>
  <si>
    <t>Monto 2</t>
  </si>
  <si>
    <t>Diagnóstico</t>
  </si>
  <si>
    <t>Demografía de la población</t>
  </si>
  <si>
    <t>Datos a resaltar</t>
  </si>
  <si>
    <t>Promedio de Monto de la consulta</t>
  </si>
  <si>
    <t>Monto promedio Consulta</t>
  </si>
  <si>
    <t>Incapacidades promedio en días</t>
  </si>
  <si>
    <t>Promedio de Días</t>
  </si>
  <si>
    <t>Datos pregunta b</t>
  </si>
  <si>
    <t>Datos pregunta a</t>
  </si>
  <si>
    <t>Datos pregunta c</t>
  </si>
  <si>
    <t>Promedio de % grasa</t>
  </si>
  <si>
    <t>Citas</t>
  </si>
  <si>
    <t>Datos pregunta d</t>
  </si>
  <si>
    <t>Top 5 Padecimientos crónicos</t>
  </si>
  <si>
    <t>Top 5 Diagnóstico Micro</t>
  </si>
  <si>
    <t>Top 5 Diagnóstico Macro</t>
  </si>
  <si>
    <t>Datos pregunta e</t>
  </si>
  <si>
    <t>Etiquetas de columna</t>
  </si>
  <si>
    <t>Segmentadores</t>
  </si>
  <si>
    <t>Tipo de trabajador</t>
  </si>
  <si>
    <t>Área de trabajo</t>
  </si>
  <si>
    <t>Información demográfica</t>
  </si>
  <si>
    <t>Características del Área de trabajo</t>
  </si>
  <si>
    <t>Porcentaje grasa promedio</t>
  </si>
  <si>
    <t>Porcentaje de grasa Promedio</t>
  </si>
  <si>
    <t>Top Enfermedades en Junio</t>
  </si>
  <si>
    <t>Padecimientos crónicos</t>
  </si>
  <si>
    <t>Padecimiento</t>
  </si>
  <si>
    <t>Cantidad</t>
  </si>
  <si>
    <t>Días promedio de Incapacidad</t>
  </si>
  <si>
    <t>Conclusión:</t>
  </si>
  <si>
    <t>En el mes de Junio la mayor cantidad de pacientes atendidos fueron del sector público, las enfermedades más frecuentes que presentaron están relacionadas con padecimientos mentales: Transtorno de bipolaridad, Migraña, Hipertensión y Osteoporosis. Estos padecimientos a su vez se relacionan con un diagnóstico macro con afectaciones al sistea circulatorio, gastronintestinal y geniunitario, cabe destacar que en este caso la mayoría de las atenciones están relacionadas con la consulta general. Asimismo, los trabajadores que pertenecen al área de Gerencia y Recursos Humanos son los que presentaron mayores porcentajes de grasa.En adición, cabe desctacar que el promedio de citas de personas incapacitadas ascendió a 4, y quienes necesitaron un servicio adicional principalmente se remitieron a rayos x y otras consultas adicionales.  El monto prmedio de cada cita fue de  aproximadamente 55 colones, siendo este mayor para el caso de las mujeres, trabajadores del sector privado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</si>
</sst>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%"/>
    <numFmt numFmtId="167" formatCode="&quot;₡&quot;#,##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IBM Plex Sans"/>
      <family val="2"/>
    </font>
    <font>
      <b/>
      <sz val="11"/>
      <color theme="1"/>
      <name val="IBM Plex Sans"/>
      <family val="2"/>
    </font>
    <font>
      <b/>
      <sz val="11"/>
      <color theme="0"/>
      <name val="IBM Plex Sans"/>
      <family val="2"/>
    </font>
    <font>
      <b/>
      <sz val="14"/>
      <color theme="0"/>
      <name val="IBM Plex Sans"/>
      <family val="2"/>
    </font>
    <font>
      <b/>
      <sz val="11"/>
      <color theme="2"/>
      <name val="IBM Plex Sans"/>
      <family val="2"/>
    </font>
    <font>
      <sz val="11"/>
      <color theme="8" tint="-0.499984740745262"/>
      <name val="IBM Plex Sans"/>
      <family val="2"/>
    </font>
    <font>
      <b/>
      <sz val="10"/>
      <color theme="8" tint="-0.499984740745262"/>
      <name val="IBM Plex Sans"/>
      <family val="2"/>
    </font>
    <font>
      <b/>
      <sz val="18"/>
      <color theme="0"/>
      <name val="IBM Plex Sans"/>
      <family val="2"/>
    </font>
    <font>
      <b/>
      <sz val="16"/>
      <color theme="6" tint="0.59999389629810485"/>
      <name val="IBM Plex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EF8F4"/>
        <bgColor indexed="64"/>
      </patternFill>
    </fill>
    <fill>
      <patternFill patternType="solid">
        <fgColor rgb="FFFEF8F4"/>
        <bgColor rgb="FFFDECE3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165" fontId="2" fillId="2" borderId="0" xfId="0" applyNumberFormat="1" applyFont="1" applyFill="1"/>
    <xf numFmtId="0" fontId="2" fillId="3" borderId="0" xfId="0" applyFont="1" applyFill="1" applyAlignment="1">
      <alignment horizontal="left"/>
    </xf>
    <xf numFmtId="165" fontId="2" fillId="3" borderId="0" xfId="0" applyNumberFormat="1" applyFont="1" applyFill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10" fontId="2" fillId="3" borderId="0" xfId="0" applyNumberFormat="1" applyFont="1" applyFill="1"/>
    <xf numFmtId="0" fontId="2" fillId="4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2" borderId="0" xfId="0" applyFill="1"/>
    <xf numFmtId="164" fontId="2" fillId="2" borderId="0" xfId="0" applyNumberFormat="1" applyFont="1" applyFill="1"/>
    <xf numFmtId="0" fontId="2" fillId="2" borderId="0" xfId="0" applyFont="1" applyFill="1" applyAlignment="1">
      <alignment horizontal="center"/>
    </xf>
    <xf numFmtId="10" fontId="2" fillId="2" borderId="0" xfId="0" applyNumberFormat="1" applyFont="1" applyFill="1"/>
    <xf numFmtId="165" fontId="2" fillId="2" borderId="0" xfId="1" applyNumberFormat="1" applyFont="1" applyFill="1"/>
    <xf numFmtId="164" fontId="3" fillId="2" borderId="0" xfId="0" applyNumberFormat="1" applyFont="1" applyFill="1"/>
    <xf numFmtId="166" fontId="2" fillId="2" borderId="0" xfId="0" applyNumberFormat="1" applyFont="1" applyFill="1"/>
    <xf numFmtId="166" fontId="2" fillId="3" borderId="0" xfId="0" applyNumberFormat="1" applyFont="1" applyFill="1"/>
    <xf numFmtId="165" fontId="0" fillId="0" borderId="0" xfId="1" applyNumberFormat="1" applyFont="1"/>
    <xf numFmtId="0" fontId="3" fillId="5" borderId="0" xfId="0" applyFont="1" applyFill="1" applyAlignment="1">
      <alignment horizontal="center"/>
    </xf>
    <xf numFmtId="0" fontId="2" fillId="7" borderId="0" xfId="0" applyFont="1" applyFill="1"/>
    <xf numFmtId="9" fontId="0" fillId="0" borderId="0" xfId="2" applyFont="1"/>
    <xf numFmtId="0" fontId="2" fillId="6" borderId="0" xfId="0" applyFont="1" applyFill="1" applyAlignment="1"/>
    <xf numFmtId="0" fontId="7" fillId="2" borderId="0" xfId="0" applyFont="1" applyFill="1"/>
    <xf numFmtId="0" fontId="3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right"/>
    </xf>
    <xf numFmtId="0" fontId="7" fillId="6" borderId="0" xfId="0" applyFont="1" applyFill="1"/>
    <xf numFmtId="0" fontId="2" fillId="2" borderId="0" xfId="0" applyFont="1" applyFill="1" applyAlignment="1"/>
    <xf numFmtId="0" fontId="3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2" fontId="9" fillId="6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4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167" fontId="9" fillId="6" borderId="0" xfId="1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vertical="center" wrapText="1"/>
    </xf>
    <xf numFmtId="9" fontId="5" fillId="6" borderId="0" xfId="2" applyFont="1" applyFill="1" applyAlignment="1">
      <alignment horizontal="center" vertical="center"/>
    </xf>
    <xf numFmtId="9" fontId="6" fillId="6" borderId="0" xfId="2" applyFont="1" applyFill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359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0.0%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fgColor rgb="FFFDF0E9"/>
        </patternFill>
      </fill>
    </dxf>
    <dxf>
      <fill>
        <patternFill>
          <fgColor rgb="FFFDF0E9"/>
        </patternFill>
      </fill>
    </dxf>
    <dxf>
      <fill>
        <patternFill>
          <fgColor rgb="FFFDECE3"/>
        </patternFill>
      </fill>
    </dxf>
    <dxf>
      <fill>
        <patternFill>
          <fgColor rgb="FFFCE5D8"/>
        </patternFill>
      </fill>
    </dxf>
    <dxf>
      <fill>
        <patternFill>
          <fgColor rgb="FFFBDDCD"/>
        </patternFill>
      </fill>
    </dxf>
    <dxf>
      <fill>
        <patternFill>
          <fgColor rgb="FFFAD0B8"/>
        </patternFill>
      </fill>
    </dxf>
    <dxf>
      <fill>
        <patternFill>
          <fgColor rgb="FFF9C8AD"/>
        </patternFill>
      </fill>
    </dxf>
    <dxf>
      <fill>
        <patternFill>
          <fgColor rgb="FFF9C3A5"/>
        </patternFill>
      </fill>
    </dxf>
    <dxf>
      <fill>
        <patternFill patternType="solid">
          <fgColor indexed="64"/>
          <bgColor rgb="FFF8BC9A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numFmt numFmtId="164" formatCode="_-* #,##0.0_-;\-* #,##0.0_-;_-* &quot;-&quot;??_-;_-@_-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0.0%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numFmt numFmtId="166" formatCode="0.0%"/>
    </dxf>
    <dxf>
      <numFmt numFmtId="13" formatCode="0%"/>
    </dxf>
    <dxf>
      <numFmt numFmtId="166" formatCode="0.0%"/>
    </dxf>
    <dxf>
      <numFmt numFmtId="14" formatCode="0.00%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numFmt numFmtId="166" formatCode="0.0%"/>
    </dxf>
    <dxf>
      <fill>
        <patternFill>
          <bgColor theme="0"/>
        </patternFill>
      </fill>
    </dxf>
    <dxf>
      <numFmt numFmtId="14" formatCode="0.00%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0.0%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rgb="FFFEF8F4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ont>
        <b/>
        <i val="0"/>
        <sz val="12"/>
        <name val="IBM Plex Sans"/>
        <scheme val="none"/>
      </font>
      <fill>
        <patternFill>
          <bgColor theme="0"/>
        </patternFill>
      </fill>
    </dxf>
    <dxf>
      <font>
        <b/>
        <i val="0"/>
        <sz val="12"/>
        <name val="IBM Plex Sans"/>
        <scheme val="none"/>
      </font>
      <fill>
        <patternFill>
          <bgColor theme="5" tint="0.79998168889431442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Estilo de segmentación de datos 1" pivot="0" table="0" count="1">
      <tableStyleElement type="headerRow" dxfId="358"/>
    </tableStyle>
    <tableStyle name="Estilo de segmentación de datos 2" pivot="0" table="0" count="1">
      <tableStyleElement type="headerRow" dxfId="357"/>
    </tableStyle>
    <tableStyle name="Estilo de segmentación de datos 3" pivot="0" table="0" count="0"/>
  </tableStyles>
  <colors>
    <mruColors>
      <color rgb="FFFEF8F4"/>
      <color rgb="FFFCE5D8"/>
      <color rgb="FFFAD2BC"/>
      <color rgb="FFF3A875"/>
      <color rgb="FFF4AD7C"/>
      <color rgb="FFFDF0E9"/>
      <color rgb="FFF4B184"/>
      <color rgb="FFFDECE3"/>
      <color rgb="FFFBDDCD"/>
      <color rgb="FFFAD0B8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/>
        <x14:slicerStyle name="Estilo de segmentación de datos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[DashboardExcelExamen_Katherine Barquero.xlsx]Análisis (2)!TablaDinámica8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 sz="1050" b="1">
                <a:solidFill>
                  <a:schemeClr val="accent5">
                    <a:lumMod val="50000"/>
                  </a:schemeClr>
                </a:solidFill>
              </a:rPr>
              <a:t>Condición</a:t>
            </a:r>
            <a:r>
              <a:rPr lang="en-US" sz="1050" b="1" baseline="0">
                <a:solidFill>
                  <a:schemeClr val="accent5">
                    <a:lumMod val="50000"/>
                  </a:schemeClr>
                </a:solidFill>
              </a:rPr>
              <a:t> de grasa</a:t>
            </a:r>
          </a:p>
          <a:p>
            <a:pPr>
              <a:defRPr sz="14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n-US">
              <a:solidFill>
                <a:schemeClr val="accent5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706463011893633"/>
          <c:y val="0.16474471712933694"/>
          <c:w val="0.62237706961655948"/>
          <c:h val="0.781727302335383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'Análisis (2)'!$I$30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'Análisis (2)'!$H$31:$H$36</c:f>
              <c:strCache>
                <c:ptCount val="5"/>
                <c:pt idx="0">
                  <c:v>Atleta</c:v>
                </c:pt>
                <c:pt idx="1">
                  <c:v>Corpulento</c:v>
                </c:pt>
                <c:pt idx="2">
                  <c:v>Delgado</c:v>
                </c:pt>
                <c:pt idx="3">
                  <c:v>Normal</c:v>
                </c:pt>
                <c:pt idx="4">
                  <c:v>Obeso</c:v>
                </c:pt>
              </c:strCache>
            </c:strRef>
          </c:cat>
          <c:val>
            <c:numRef>
              <c:f>'Análisis (2)'!$I$31:$I$36</c:f>
              <c:numCache>
                <c:formatCode>0.0%</c:formatCode>
                <c:ptCount val="5"/>
                <c:pt idx="0">
                  <c:v>7.5471698113207544E-2</c:v>
                </c:pt>
                <c:pt idx="1">
                  <c:v>9.4339622641509441E-2</c:v>
                </c:pt>
                <c:pt idx="2">
                  <c:v>0.15094339622641509</c:v>
                </c:pt>
                <c:pt idx="3">
                  <c:v>0.22641509433962265</c:v>
                </c:pt>
                <c:pt idx="4">
                  <c:v>0.45283018867924529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C8-41C6-ACC7-639DE34CCA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6187392"/>
        <c:axId val="146226560"/>
      </c:barChart>
      <c:catAx>
        <c:axId val="14618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CR"/>
          </a:p>
        </c:txPr>
        <c:crossAx val="146226560"/>
        <c:crosses val="autoZero"/>
        <c:auto val="1"/>
        <c:lblAlgn val="ctr"/>
        <c:lblOffset val="100"/>
        <c:noMultiLvlLbl val="0"/>
      </c:catAx>
      <c:valAx>
        <c:axId val="146226560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4618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IBM Plex Sans" panose="020B0503050203000203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[DashboardExcelExamen_Katherine Barquero.xlsx]Análisis (2)!TablaDinámica3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 sz="1050" b="1">
                <a:solidFill>
                  <a:schemeClr val="accent5">
                    <a:lumMod val="50000"/>
                  </a:schemeClr>
                </a:solidFill>
              </a:rPr>
              <a:t>Distribución etaria</a:t>
            </a:r>
          </a:p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n-US" sz="1050"/>
          </a:p>
        </c:rich>
      </c:tx>
      <c:layout>
        <c:manualLayout>
          <c:xMode val="edge"/>
          <c:yMode val="edge"/>
          <c:x val="0.2875145759451824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6206295380960594E-2"/>
          <c:y val="0.15007382504153274"/>
          <c:w val="0.86953579707646034"/>
          <c:h val="0.75750801983085436"/>
        </c:manualLayout>
      </c:layout>
      <c:areaChart>
        <c:grouping val="standard"/>
        <c:varyColors val="0"/>
        <c:ser>
          <c:idx val="0"/>
          <c:order val="0"/>
          <c:tx>
            <c:strRef>
              <c:f>'Análisis (2)'!$F$19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strRef>
              <c:f>'Análisis (2)'!$E$20:$E$48</c:f>
              <c:strCache>
                <c:ptCount val="28"/>
                <c:pt idx="0">
                  <c:v>20</c:v>
                </c:pt>
                <c:pt idx="1">
                  <c:v>22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40</c:v>
                </c:pt>
                <c:pt idx="12">
                  <c:v>44</c:v>
                </c:pt>
                <c:pt idx="13">
                  <c:v>45</c:v>
                </c:pt>
                <c:pt idx="14">
                  <c:v>46</c:v>
                </c:pt>
                <c:pt idx="15">
                  <c:v>47</c:v>
                </c:pt>
                <c:pt idx="16">
                  <c:v>48</c:v>
                </c:pt>
                <c:pt idx="17">
                  <c:v>49</c:v>
                </c:pt>
                <c:pt idx="18">
                  <c:v>50</c:v>
                </c:pt>
                <c:pt idx="19">
                  <c:v>52</c:v>
                </c:pt>
                <c:pt idx="20">
                  <c:v>54</c:v>
                </c:pt>
                <c:pt idx="21">
                  <c:v>55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62</c:v>
                </c:pt>
                <c:pt idx="26">
                  <c:v>63</c:v>
                </c:pt>
                <c:pt idx="27">
                  <c:v>65</c:v>
                </c:pt>
              </c:strCache>
            </c:strRef>
          </c:cat>
          <c:val>
            <c:numRef>
              <c:f>'Análisis (2)'!$F$20:$F$48</c:f>
              <c:numCache>
                <c:formatCode>_-* #,##0_-;\-* #,##0_-;_-* "-"??_-;_-@_-</c:formatCode>
                <c:ptCount val="28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4</c:v>
                </c:pt>
                <c:pt idx="7">
                  <c:v>8</c:v>
                </c:pt>
                <c:pt idx="8">
                  <c:v>12</c:v>
                </c:pt>
                <c:pt idx="9">
                  <c:v>8</c:v>
                </c:pt>
                <c:pt idx="10">
                  <c:v>8</c:v>
                </c:pt>
                <c:pt idx="11">
                  <c:v>4</c:v>
                </c:pt>
                <c:pt idx="12">
                  <c:v>4</c:v>
                </c:pt>
                <c:pt idx="13">
                  <c:v>8</c:v>
                </c:pt>
                <c:pt idx="14">
                  <c:v>12</c:v>
                </c:pt>
                <c:pt idx="15">
                  <c:v>8</c:v>
                </c:pt>
                <c:pt idx="16">
                  <c:v>8</c:v>
                </c:pt>
                <c:pt idx="17">
                  <c:v>4</c:v>
                </c:pt>
                <c:pt idx="18">
                  <c:v>8</c:v>
                </c:pt>
                <c:pt idx="19">
                  <c:v>4</c:v>
                </c:pt>
                <c:pt idx="20">
                  <c:v>16</c:v>
                </c:pt>
                <c:pt idx="21">
                  <c:v>12</c:v>
                </c:pt>
                <c:pt idx="22">
                  <c:v>4</c:v>
                </c:pt>
                <c:pt idx="23">
                  <c:v>8</c:v>
                </c:pt>
                <c:pt idx="24">
                  <c:v>12</c:v>
                </c:pt>
                <c:pt idx="25">
                  <c:v>4</c:v>
                </c:pt>
                <c:pt idx="26">
                  <c:v>4</c:v>
                </c:pt>
                <c:pt idx="27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D9-4F67-B4D5-FAFB59843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72736"/>
        <c:axId val="210774272"/>
      </c:areaChart>
      <c:catAx>
        <c:axId val="21077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CR"/>
          </a:p>
        </c:txPr>
        <c:crossAx val="210774272"/>
        <c:crosses val="autoZero"/>
        <c:auto val="1"/>
        <c:lblAlgn val="ctr"/>
        <c:lblOffset val="100"/>
        <c:noMultiLvlLbl val="0"/>
      </c:catAx>
      <c:valAx>
        <c:axId val="210774272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CR"/>
          </a:p>
        </c:txPr>
        <c:crossAx val="21077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IBM Plex Sans" panose="020B0503050203000203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[DashboardExcelExamen_Katherine Barquero.xlsx]Análisis (2)!TablaDinámica2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 sz="1050" b="1">
                <a:solidFill>
                  <a:schemeClr val="accent5">
                    <a:lumMod val="50000"/>
                  </a:schemeClr>
                </a:solidFill>
              </a:rPr>
              <a:t>Sexo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448179271708694"/>
              <c:y val="-0.255398689764167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0.24879551820728291"/>
                  <c:h val="0.19496737422871632"/>
                </c:manualLayout>
              </c15:layout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607843137254902"/>
              <c:y val="-7.51173486769883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448179271708694"/>
              <c:y val="-0.255398689764167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0.24879551820728291"/>
                  <c:h val="0.1949673742287163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607843137254902"/>
              <c:y val="-7.51173486769883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448179271708694"/>
              <c:y val="-0.25539868976416708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0.24879551820728291"/>
                  <c:h val="0.19496737422871632"/>
                </c:manualLayout>
              </c15:layout>
            </c:ext>
          </c:extLst>
        </c:dLbl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607843137254902"/>
              <c:y val="-7.5117348676988369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'Análisis (2)'!$F$5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92A-4746-B105-455827B10D24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92A-4746-B105-455827B10D24}"/>
              </c:ext>
            </c:extLst>
          </c:dPt>
          <c:dLbls>
            <c:dLbl>
              <c:idx val="0"/>
              <c:layout>
                <c:manualLayout>
                  <c:x val="0.20448179271708694"/>
                  <c:y val="-0.255398689764167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24879551820728291"/>
                      <c:h val="0.1949673742287163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9607843137254902"/>
                  <c:y val="-7.511734867698836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'Análisis (2)'!$E$6:$E$8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'Análisis (2)'!$F$6:$F$8</c:f>
              <c:numCache>
                <c:formatCode>0.0%</c:formatCode>
                <c:ptCount val="2"/>
                <c:pt idx="0">
                  <c:v>0.49056603773584906</c:v>
                </c:pt>
                <c:pt idx="1">
                  <c:v>0.50943396226415094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92A-4746-B105-455827B10D2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IBM Plex Sans" panose="020B0503050203000203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[DashboardExcelExamen_Katherine Barquero.xlsx]Análisis (2)!TablaDinámica1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 sz="1050" b="1">
                <a:solidFill>
                  <a:schemeClr val="accent5">
                    <a:lumMod val="50000"/>
                  </a:schemeClr>
                </a:solidFill>
              </a:rPr>
              <a:t>Tipo Trabajador</a:t>
            </a:r>
          </a:p>
        </c:rich>
      </c:tx>
      <c:layout>
        <c:manualLayout>
          <c:xMode val="edge"/>
          <c:yMode val="edge"/>
          <c:x val="0.28043818466353676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"/>
          <c:y val="0.32609558867859934"/>
          <c:w val="1"/>
          <c:h val="0.45864728347228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'Análisis (2)'!$F$12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5A6-4785-8509-0984FF33CC2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5A6-4785-8509-0984FF33CC2A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'Análisis (2)'!$E$13:$E$15</c:f>
              <c:strCache>
                <c:ptCount val="2"/>
                <c:pt idx="0">
                  <c:v>Privado</c:v>
                </c:pt>
                <c:pt idx="1">
                  <c:v>Público</c:v>
                </c:pt>
              </c:strCache>
            </c:strRef>
          </c:cat>
          <c:val>
            <c:numRef>
              <c:f>'Análisis (2)'!$F$13:$F$15</c:f>
              <c:numCache>
                <c:formatCode>0.0%</c:formatCode>
                <c:ptCount val="2"/>
                <c:pt idx="0">
                  <c:v>0.41509433962264153</c:v>
                </c:pt>
                <c:pt idx="1">
                  <c:v>0.58490566037735847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5A6-4785-8509-0984FF33CC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875136"/>
        <c:axId val="210891136"/>
      </c:barChart>
      <c:catAx>
        <c:axId val="21087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CR"/>
          </a:p>
        </c:txPr>
        <c:crossAx val="210891136"/>
        <c:crosses val="autoZero"/>
        <c:auto val="1"/>
        <c:lblAlgn val="ctr"/>
        <c:lblOffset val="100"/>
        <c:noMultiLvlLbl val="0"/>
      </c:catAx>
      <c:valAx>
        <c:axId val="21089113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21087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IBM Plex Sans" panose="020B0503050203000203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[DashboardExcelExamen_Katherine Barquero.xlsx]Análisis (2)!TablaDinámica7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 sz="1050" b="1">
                <a:solidFill>
                  <a:schemeClr val="tx2"/>
                </a:solidFill>
              </a:rPr>
              <a:t>Cantidad de citas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accent1">
                  <a:alpha val="9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square"/>
          <c:size val="5"/>
        </c:marker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iamond"/>
          <c:size val="5"/>
        </c:marker>
      </c:pivotFmt>
      <c:pivotFmt>
        <c:idx val="3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accent1">
                  <a:alpha val="9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22225">
              <a:solidFill>
                <a:schemeClr val="accent1">
                  <a:alpha val="97000"/>
                </a:schemeClr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iamond"/>
          <c:size val="5"/>
          <c:spPr>
            <a:solidFill>
              <a:schemeClr val="accent1"/>
            </a:solidFill>
            <a:ln w="22225">
              <a:solidFill>
                <a:schemeClr val="accent1">
                  <a:alpha val="97000"/>
                </a:schemeClr>
              </a:solidFill>
            </a:ln>
            <a:effectLst/>
          </c:spPr>
        </c:marker>
      </c:pivotFmt>
      <c:pivotFmt>
        <c:idx val="6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accent1">
                  <a:alpha val="97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noFill/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22225">
              <a:solidFill>
                <a:schemeClr val="accent1">
                  <a:alpha val="97000"/>
                </a:schemeClr>
              </a:solidFill>
            </a:ln>
            <a:effectLst/>
          </c:spPr>
        </c:marker>
      </c:pivotFmt>
      <c:pivotFmt>
        <c:idx val="8"/>
        <c:spPr>
          <a:ln w="28575" cap="rnd">
            <a:noFill/>
            <a:round/>
          </a:ln>
          <a:effectLst/>
        </c:spPr>
        <c:marker>
          <c:symbol val="diamond"/>
          <c:size val="5"/>
          <c:spPr>
            <a:solidFill>
              <a:schemeClr val="accent1"/>
            </a:solidFill>
            <a:ln w="22225">
              <a:solidFill>
                <a:schemeClr val="accent1">
                  <a:alpha val="97000"/>
                </a:schemeClr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'Análisis (2)'!$I$23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accent1">
                    <a:alpha val="97000"/>
                  </a:schemeClr>
                </a:solidFill>
              </a:ln>
              <a:effectLst/>
            </c:spPr>
          </c:marker>
          <c:dPt>
            <c:idx val="1"/>
            <c:marker>
              <c:symbol val="square"/>
              <c:size val="5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BEFC-491F-A086-E47B347DDCD0}"/>
              </c:ext>
            </c:extLst>
          </c:dPt>
          <c:dPt>
            <c:idx val="2"/>
            <c:marker>
              <c:symbol val="diamond"/>
              <c:size val="5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BEFC-491F-A086-E47B347DDC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es-C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'Análisis (2)'!$H$24:$H$27</c:f>
              <c:strCache>
                <c:ptCount val="3"/>
                <c:pt idx="0">
                  <c:v>Asistió</c:v>
                </c:pt>
                <c:pt idx="1">
                  <c:v>Ausente</c:v>
                </c:pt>
                <c:pt idx="2">
                  <c:v>Recargo</c:v>
                </c:pt>
              </c:strCache>
            </c:strRef>
          </c:cat>
          <c:val>
            <c:numRef>
              <c:f>'Análisis (2)'!$I$24:$I$27</c:f>
              <c:numCache>
                <c:formatCode>_-* #,##0_-;\-* #,##0_-;_-* "-"??_-;_-@_-</c:formatCode>
                <c:ptCount val="3"/>
                <c:pt idx="0">
                  <c:v>188</c:v>
                </c:pt>
                <c:pt idx="1">
                  <c:v>16</c:v>
                </c:pt>
                <c:pt idx="2">
                  <c:v>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EFC-491F-A086-E47B347DDCD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096000"/>
        <c:axId val="240103808"/>
      </c:lineChart>
      <c:catAx>
        <c:axId val="24009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CR"/>
          </a:p>
        </c:txPr>
        <c:crossAx val="240103808"/>
        <c:crosses val="autoZero"/>
        <c:auto val="1"/>
        <c:lblAlgn val="ctr"/>
        <c:lblOffset val="100"/>
        <c:noMultiLvlLbl val="0"/>
      </c:catAx>
      <c:valAx>
        <c:axId val="240103808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24009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IBM Plex Sans" panose="020B0503050203000203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[DashboardExcelExamen_Katherine Barquero.xlsx]Análisis (2)!TablaDinámica8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 sz="1050" b="1" baseline="0">
                <a:solidFill>
                  <a:schemeClr val="tx2"/>
                </a:solidFill>
              </a:rPr>
              <a:t>Condición de grasa</a:t>
            </a:r>
          </a:p>
          <a:p>
            <a:pPr>
              <a:defRPr sz="14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n-US">
              <a:solidFill>
                <a:schemeClr val="accent5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706463011893633"/>
          <c:y val="0.16474471712933694"/>
          <c:w val="0.62237706961655948"/>
          <c:h val="0.781727302335383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'Análisis (2)'!$I$30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'Análisis (2)'!$H$31:$H$36</c:f>
              <c:strCache>
                <c:ptCount val="5"/>
                <c:pt idx="0">
                  <c:v>Atleta</c:v>
                </c:pt>
                <c:pt idx="1">
                  <c:v>Corpulento</c:v>
                </c:pt>
                <c:pt idx="2">
                  <c:v>Delgado</c:v>
                </c:pt>
                <c:pt idx="3">
                  <c:v>Normal</c:v>
                </c:pt>
                <c:pt idx="4">
                  <c:v>Obeso</c:v>
                </c:pt>
              </c:strCache>
            </c:strRef>
          </c:cat>
          <c:val>
            <c:numRef>
              <c:f>'Análisis (2)'!$I$31:$I$36</c:f>
              <c:numCache>
                <c:formatCode>0.0%</c:formatCode>
                <c:ptCount val="5"/>
                <c:pt idx="0">
                  <c:v>7.5471698113207544E-2</c:v>
                </c:pt>
                <c:pt idx="1">
                  <c:v>9.4339622641509441E-2</c:v>
                </c:pt>
                <c:pt idx="2">
                  <c:v>0.15094339622641509</c:v>
                </c:pt>
                <c:pt idx="3">
                  <c:v>0.22641509433962265</c:v>
                </c:pt>
                <c:pt idx="4">
                  <c:v>0.45283018867924529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47-483A-BA24-2F4AADE7CA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40405504"/>
        <c:axId val="240412544"/>
      </c:barChart>
      <c:catAx>
        <c:axId val="24040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CR"/>
          </a:p>
        </c:txPr>
        <c:crossAx val="240412544"/>
        <c:crosses val="autoZero"/>
        <c:auto val="1"/>
        <c:lblAlgn val="ctr"/>
        <c:lblOffset val="100"/>
        <c:noMultiLvlLbl val="0"/>
      </c:catAx>
      <c:valAx>
        <c:axId val="240412544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24040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IBM Plex Sans" panose="020B0503050203000203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[DashboardExcelExamen_Katherine Barquero.xlsx]Análisis (2)!TablaDinámica12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 sz="1050" b="1">
                <a:solidFill>
                  <a:schemeClr val="tx2"/>
                </a:solidFill>
              </a:rPr>
              <a:t>Instancia de atención</a:t>
            </a:r>
          </a:p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n-US" sz="1050"/>
          </a:p>
        </c:rich>
      </c:tx>
      <c:layout>
        <c:manualLayout>
          <c:xMode val="edge"/>
          <c:yMode val="edge"/>
          <c:x val="0.2152397995705082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0.20102455176357831"/>
              <c:y val="-0.374576427807464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0.23837270341207348"/>
                  <c:h val="0.24898703472654929"/>
                </c:manualLayout>
              </c15:layout>
            </c:ext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065728717720216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noFill/>
          </a:ln>
          <a:effectLst/>
        </c:spPr>
        <c:dLbl>
          <c:idx val="0"/>
          <c:layout>
            <c:manualLayout>
              <c:x val="0.39650043744531932"/>
              <c:y val="-0.173594503070927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0.17070430949160695"/>
                  <c:h val="0.21071758979813335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065728717720216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0.20102455176357831"/>
              <c:y val="-0.374576427807464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0.23837270341207348"/>
                  <c:h val="0.24898703472654929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39650043744531932"/>
              <c:y val="-0.173594503070927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0.17070430949160695"/>
                  <c:h val="0.21071758979813335"/>
                </c:manualLayout>
              </c15:layout>
            </c:ext>
          </c:extLst>
        </c:dLbl>
      </c:pivotFmt>
      <c:pivotFmt>
        <c:idx val="8"/>
        <c:spPr>
          <a:ln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0657287177202163"/>
              <c:y val="0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0.20560636305778507"/>
              <c:y val="-0.31531714041553077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0.22920908082365993"/>
                  <c:h val="0.36750560951041672"/>
                </c:manualLayout>
              </c15:layout>
            </c:ext>
          </c:extLst>
        </c:dLbl>
      </c:pivotFmt>
      <c:pivotFmt>
        <c:idx val="11"/>
        <c:spPr>
          <a:solidFill>
            <a:schemeClr val="accent3"/>
          </a:solidFill>
          <a:ln w="19050">
            <a:noFill/>
          </a:ln>
          <a:effectLst/>
        </c:spPr>
        <c:dLbl>
          <c:idx val="0"/>
          <c:layout>
            <c:manualLayout>
              <c:x val="0.39650043744531932"/>
              <c:y val="-0.17359450307092777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0.17070430949160695"/>
                  <c:h val="0.2107175897981333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26111284172506"/>
          <c:y val="0.30257684211971714"/>
          <c:w val="0.52363536708950609"/>
          <c:h val="0.60781640393240333"/>
        </c:manualLayout>
      </c:layout>
      <c:doughnutChart>
        <c:varyColors val="1"/>
        <c:ser>
          <c:idx val="0"/>
          <c:order val="0"/>
          <c:tx>
            <c:strRef>
              <c:f>'Análisis (2)'!$R$4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907-43DD-B1B7-B00557A99AD2}"/>
              </c:ext>
            </c:extLst>
          </c:dPt>
          <c:dPt>
            <c:idx val="1"/>
            <c:bubble3D val="0"/>
            <c:spPr>
              <a:solidFill>
                <a:schemeClr val="bg2">
                  <a:lumMod val="1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907-43DD-B1B7-B00557A99A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907-43DD-B1B7-B00557A99AD2}"/>
              </c:ext>
            </c:extLst>
          </c:dPt>
          <c:dLbls>
            <c:dLbl>
              <c:idx val="0"/>
              <c:layout>
                <c:manualLayout>
                  <c:x val="0.2065728717720216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20560636305778507"/>
                  <c:y val="-0.3153171404155307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22920908082365993"/>
                      <c:h val="0.3675056095104167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0.39650043744531932"/>
                  <c:y val="-0.1735945030709277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7070430949160695"/>
                      <c:h val="0.21071758979813335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'Análisis (2)'!$Q$5:$Q$8</c:f>
              <c:strCache>
                <c:ptCount val="3"/>
                <c:pt idx="0">
                  <c:v>CCSS</c:v>
                </c:pt>
                <c:pt idx="1">
                  <c:v>Clínica Bíblica</c:v>
                </c:pt>
                <c:pt idx="2">
                  <c:v>INS</c:v>
                </c:pt>
              </c:strCache>
            </c:strRef>
          </c:cat>
          <c:val>
            <c:numRef>
              <c:f>'Análisis (2)'!$R$5:$R$8</c:f>
              <c:numCache>
                <c:formatCode>0.0%</c:formatCode>
                <c:ptCount val="3"/>
                <c:pt idx="0">
                  <c:v>0.54716981132075471</c:v>
                </c:pt>
                <c:pt idx="1">
                  <c:v>0.13207547169811321</c:v>
                </c:pt>
                <c:pt idx="2">
                  <c:v>0.32075471698113206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E907-43DD-B1B7-B00557A99AD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IBM Plex Sans" panose="020B0503050203000203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[DashboardExcelExamen_Katherine Barquero.xlsx]Análisis (2)!TablaDinámica13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r>
              <a:rPr lang="en-US" sz="1050" b="1">
                <a:solidFill>
                  <a:schemeClr val="accent5">
                    <a:lumMod val="50000"/>
                  </a:schemeClr>
                </a:solidFill>
              </a:rPr>
              <a:t>Cantidad</a:t>
            </a:r>
            <a:r>
              <a:rPr lang="en-US" sz="1050" b="1" baseline="0">
                <a:solidFill>
                  <a:schemeClr val="accent5">
                    <a:lumMod val="50000"/>
                  </a:schemeClr>
                </a:solidFill>
              </a:rPr>
              <a:t> de servicios</a:t>
            </a:r>
            <a:endParaRPr lang="en-US" sz="1050" b="1"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294278964353245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IBM Plex Sans" panose="020B0503050203000203" pitchFamily="34" charset="0"/>
                  <a:ea typeface="+mn-ea"/>
                  <a:cs typeface="+mn-cs"/>
                </a:defRPr>
              </a:pPr>
              <a:endParaRPr lang="es-C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78715761209446"/>
          <c:y val="0.13755382105639777"/>
          <c:w val="0.66703821447442546"/>
          <c:h val="0.7278604363469585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'Análisis (2)'!$R$14:$R$15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'Análisis (2)'!$Q$16:$Q$20</c:f>
              <c:strCache>
                <c:ptCount val="4"/>
                <c:pt idx="0">
                  <c:v>Consulta adicional</c:v>
                </c:pt>
                <c:pt idx="1">
                  <c:v>Incapacidad</c:v>
                </c:pt>
                <c:pt idx="2">
                  <c:v>Laboratorio</c:v>
                </c:pt>
                <c:pt idx="3">
                  <c:v>Rayos "X"</c:v>
                </c:pt>
              </c:strCache>
            </c:strRef>
          </c:cat>
          <c:val>
            <c:numRef>
              <c:f>'Análisis (2)'!$R$16:$R$20</c:f>
              <c:numCache>
                <c:formatCode>_-* #,##0_-;\-* #,##0_-;_-* "-"??_-;_-@_-</c:formatCode>
                <c:ptCount val="4"/>
                <c:pt idx="0">
                  <c:v>31</c:v>
                </c:pt>
                <c:pt idx="1">
                  <c:v>28</c:v>
                </c:pt>
                <c:pt idx="2">
                  <c:v>31</c:v>
                </c:pt>
                <c:pt idx="3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560-4064-8DF1-7DCD27C5F697}"/>
            </c:ext>
          </c:extLst>
        </c:ser>
        <c:ser>
          <c:idx val="1"/>
          <c:order val="1"/>
          <c:tx>
            <c:strRef>
              <c:f>'Análisis (2)'!$S$14:$S$15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'Análisis (2)'!$Q$16:$Q$20</c:f>
              <c:strCache>
                <c:ptCount val="4"/>
                <c:pt idx="0">
                  <c:v>Consulta adicional</c:v>
                </c:pt>
                <c:pt idx="1">
                  <c:v>Incapacidad</c:v>
                </c:pt>
                <c:pt idx="2">
                  <c:v>Laboratorio</c:v>
                </c:pt>
                <c:pt idx="3">
                  <c:v>Rayos "X"</c:v>
                </c:pt>
              </c:strCache>
            </c:strRef>
          </c:cat>
          <c:val>
            <c:numRef>
              <c:f>'Análisis (2)'!$S$16:$S$20</c:f>
              <c:numCache>
                <c:formatCode>_-* #,##0_-;\-* #,##0_-;_-* "-"??_-;_-@_-</c:formatCode>
                <c:ptCount val="4"/>
                <c:pt idx="0">
                  <c:v>22</c:v>
                </c:pt>
                <c:pt idx="1">
                  <c:v>25</c:v>
                </c:pt>
                <c:pt idx="2">
                  <c:v>22</c:v>
                </c:pt>
                <c:pt idx="3">
                  <c:v>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560-4064-8DF1-7DCD27C5F6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240163072"/>
        <c:axId val="240164864"/>
      </c:barChart>
      <c:catAx>
        <c:axId val="240163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es-CR"/>
          </a:p>
        </c:txPr>
        <c:crossAx val="240164864"/>
        <c:crosses val="autoZero"/>
        <c:auto val="1"/>
        <c:lblAlgn val="ctr"/>
        <c:lblOffset val="100"/>
        <c:noMultiLvlLbl val="0"/>
      </c:catAx>
      <c:valAx>
        <c:axId val="24016486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401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00721406830668"/>
          <c:y val="0.86915566106717845"/>
          <c:w val="0.5707634278380177"/>
          <c:h val="0.10033601607200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IBM Plex Sans" panose="020B0503050203000203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image" Target="../media/image4.svg"/><Relationship Id="rId5" Type="http://schemas.openxmlformats.org/officeDocument/2006/relationships/chart" Target="../charts/chart6.xml"/><Relationship Id="rId10" Type="http://schemas.openxmlformats.org/officeDocument/2006/relationships/image" Target="../media/image2.png"/><Relationship Id="rId4" Type="http://schemas.openxmlformats.org/officeDocument/2006/relationships/chart" Target="../charts/chart5.xml"/><Relationship Id="rId9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785813</xdr:colOff>
      <xdr:row>16</xdr:row>
      <xdr:rowOff>47626</xdr:rowOff>
    </xdr:from>
    <xdr:to>
      <xdr:col>2</xdr:col>
      <xdr:colOff>76201</xdr:colOff>
      <xdr:row>29</xdr:row>
      <xdr:rowOff>180976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xmlns="" id="{7344CB95-4DA9-4317-AC0C-80B831276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9527</xdr:rowOff>
    </xdr:from>
    <xdr:to>
      <xdr:col>3</xdr:col>
      <xdr:colOff>57150</xdr:colOff>
      <xdr:row>10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6E490D7B-50C6-417F-B562-4726D8DB7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104776</xdr:colOff>
      <xdr:row>1</xdr:row>
      <xdr:rowOff>171450</xdr:rowOff>
    </xdr:from>
    <xdr:to>
      <xdr:col>6</xdr:col>
      <xdr:colOff>447675</xdr:colOff>
      <xdr:row>10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4CBD6E66-9BB1-429A-BBED-F9CC6BF12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447676</xdr:colOff>
      <xdr:row>1</xdr:row>
      <xdr:rowOff>114300</xdr:rowOff>
    </xdr:from>
    <xdr:to>
      <xdr:col>8</xdr:col>
      <xdr:colOff>800100</xdr:colOff>
      <xdr:row>8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xmlns="" id="{1F12CB0E-1004-44AD-A4C9-C8EA8BC02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1</xdr:row>
      <xdr:rowOff>85725</xdr:rowOff>
    </xdr:from>
    <xdr:to>
      <xdr:col>13</xdr:col>
      <xdr:colOff>0</xdr:colOff>
      <xdr:row>10</xdr:row>
      <xdr:rowOff>28575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xmlns="" id="{82973437-AB26-4212-846D-277283654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123824</xdr:colOff>
      <xdr:row>2</xdr:row>
      <xdr:rowOff>9527</xdr:rowOff>
    </xdr:from>
    <xdr:to>
      <xdr:col>18</xdr:col>
      <xdr:colOff>742949</xdr:colOff>
      <xdr:row>11</xdr:row>
      <xdr:rowOff>47625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xmlns="" id="{C5109596-F90E-4DA8-8A52-F95E29732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0</xdr:row>
      <xdr:rowOff>0</xdr:rowOff>
    </xdr:from>
    <xdr:to>
      <xdr:col>22</xdr:col>
      <xdr:colOff>304800</xdr:colOff>
      <xdr:row>14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Área ">
              <a:extLst>
                <a:ext uri="{FF2B5EF4-FFF2-40B4-BE49-F238E27FC236}">
                  <a16:creationId xmlns:a16="http://schemas.microsoft.com/office/drawing/2014/main" xmlns="" id="{6B88DAD6-B299-498F-81CD-20D5F05804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1300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57150</xdr:colOff>
      <xdr:row>15</xdr:row>
      <xdr:rowOff>133351</xdr:rowOff>
    </xdr:from>
    <xdr:to>
      <xdr:col>13</xdr:col>
      <xdr:colOff>542925</xdr:colOff>
      <xdr:row>25</xdr:row>
      <xdr:rowOff>47625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xmlns="" id="{F122805F-49FF-471B-AE37-C34C77AFC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190500</xdr:colOff>
      <xdr:row>15</xdr:row>
      <xdr:rowOff>152400</xdr:rowOff>
    </xdr:from>
    <xdr:to>
      <xdr:col>18</xdr:col>
      <xdr:colOff>652464</xdr:colOff>
      <xdr:row>25</xdr:row>
      <xdr:rowOff>109538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xmlns="" id="{C8D33759-F1E7-43CE-BF33-911E2FB2B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104775</xdr:colOff>
      <xdr:row>14</xdr:row>
      <xdr:rowOff>142875</xdr:rowOff>
    </xdr:from>
    <xdr:to>
      <xdr:col>22</xdr:col>
      <xdr:colOff>247650</xdr:colOff>
      <xdr:row>19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Tipo trabajador">
              <a:extLst>
                <a:ext uri="{FF2B5EF4-FFF2-40B4-BE49-F238E27FC236}">
                  <a16:creationId xmlns:a16="http://schemas.microsoft.com/office/drawing/2014/main" xmlns="" id="{B53979DF-8699-47D3-9FA6-BE9BD5F8B0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trabaj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54150" y="2581275"/>
              <a:ext cx="1828800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114299</xdr:colOff>
      <xdr:row>19</xdr:row>
      <xdr:rowOff>152400</xdr:rowOff>
    </xdr:from>
    <xdr:to>
      <xdr:col>22</xdr:col>
      <xdr:colOff>285749</xdr:colOff>
      <xdr:row>25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Sexo">
              <a:extLst>
                <a:ext uri="{FF2B5EF4-FFF2-40B4-BE49-F238E27FC236}">
                  <a16:creationId xmlns:a16="http://schemas.microsoft.com/office/drawing/2014/main" xmlns="" id="{A861BF72-F4F7-41F0-9AA9-C6FFE7CA9A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63674" y="3590925"/>
              <a:ext cx="1857375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276225</xdr:colOff>
      <xdr:row>29</xdr:row>
      <xdr:rowOff>104775</xdr:rowOff>
    </xdr:from>
    <xdr:to>
      <xdr:col>7</xdr:col>
      <xdr:colOff>876300</xdr:colOff>
      <xdr:row>34</xdr:row>
      <xdr:rowOff>66675</xdr:rowOff>
    </xdr:to>
    <xdr:pic>
      <xdr:nvPicPr>
        <xdr:cNvPr id="21" name="Gráfico 4" descr="Investigación">
          <a:extLst>
            <a:ext uri="{FF2B5EF4-FFF2-40B4-BE49-F238E27FC236}">
              <a16:creationId xmlns:a16="http://schemas.microsoft.com/office/drawing/2014/main" xmlns="" id="{799C4015-D7F4-466E-8B55-392A16810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9"/>
            </a:ext>
          </a:extLst>
        </a:blip>
        <a:stretch>
          <a:fillRect/>
        </a:stretch>
      </xdr:blipFill>
      <xdr:spPr>
        <a:xfrm>
          <a:off x="4972050" y="52197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666750</xdr:colOff>
      <xdr:row>29</xdr:row>
      <xdr:rowOff>28575</xdr:rowOff>
    </xdr:from>
    <xdr:to>
      <xdr:col>18</xdr:col>
      <xdr:colOff>57150</xdr:colOff>
      <xdr:row>33</xdr:row>
      <xdr:rowOff>180975</xdr:rowOff>
    </xdr:to>
    <xdr:pic>
      <xdr:nvPicPr>
        <xdr:cNvPr id="22" name="Gráfico 6" descr="Medicina">
          <a:extLst>
            <a:ext uri="{FF2B5EF4-FFF2-40B4-BE49-F238E27FC236}">
              <a16:creationId xmlns:a16="http://schemas.microsoft.com/office/drawing/2014/main" xmlns="" id="{8F27A547-F7BA-4EC4-9F8E-55808D116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1"/>
            </a:ext>
          </a:extLst>
        </a:blip>
        <a:stretch>
          <a:fillRect/>
        </a:stretch>
      </xdr:blipFill>
      <xdr:spPr>
        <a:xfrm>
          <a:off x="12430125" y="5143500"/>
          <a:ext cx="914400" cy="91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therine" refreshedDate="43617.70677060185" createdVersion="6" refreshedVersion="6" minRefreshableVersion="3" recordCount="2536">
  <cacheSource type="worksheet">
    <worksheetSource ref="A1:S2537" sheet="Datos"/>
  </cacheSource>
  <cacheFields count="23">
    <cacheField name="Id" numFmtId="0">
      <sharedItems containsSemiMixedTypes="0" containsString="0" containsNumber="1" containsInteger="1" minValue="60000001" maxValue="60000634"/>
    </cacheField>
    <cacheField name="Edad" numFmtId="0">
      <sharedItems containsSemiMixedTypes="0" containsString="0" containsNumber="1" containsInteger="1" minValue="20" maxValue="65" count="46">
        <n v="24"/>
        <n v="43"/>
        <n v="38"/>
        <n v="40"/>
        <n v="61"/>
        <n v="27"/>
        <n v="58"/>
        <n v="33"/>
        <n v="34"/>
        <n v="49"/>
        <n v="31"/>
        <n v="29"/>
        <n v="21"/>
        <n v="35"/>
        <n v="42"/>
        <n v="64"/>
        <n v="22"/>
        <n v="59"/>
        <n v="55"/>
        <n v="50"/>
        <n v="47"/>
        <n v="57"/>
        <n v="28"/>
        <n v="26"/>
        <n v="48"/>
        <n v="39"/>
        <n v="23"/>
        <n v="54"/>
        <n v="37"/>
        <n v="65"/>
        <n v="45"/>
        <n v="60"/>
        <n v="56"/>
        <n v="52"/>
        <n v="44"/>
        <n v="20"/>
        <n v="63"/>
        <n v="51"/>
        <n v="30"/>
        <n v="32"/>
        <n v="62"/>
        <n v="41"/>
        <n v="53"/>
        <n v="36"/>
        <n v="46"/>
        <n v="25"/>
      </sharedItems>
    </cacheField>
    <cacheField name="Tipo trabajador" numFmtId="0">
      <sharedItems count="2">
        <s v="Privado"/>
        <s v="Público"/>
      </sharedItems>
    </cacheField>
    <cacheField name="Sexo" numFmtId="0">
      <sharedItems count="2">
        <s v="Hombre"/>
        <s v="Mujer"/>
      </sharedItems>
    </cacheField>
    <cacheField name="Área " numFmtId="0">
      <sharedItems count="12">
        <s v="Comercial y marketing"/>
        <s v="Administración"/>
        <s v="Contabilidad y finanzas"/>
        <s v="Logística"/>
        <s v="Gerencia"/>
        <s v="Asesoría"/>
        <s v="Otros"/>
        <s v="Recursos Humanos"/>
        <s v="IT"/>
        <s v="Proveeduría"/>
        <s v="Producción"/>
        <s v="Ventas"/>
      </sharedItems>
    </cacheField>
    <cacheField name="Estado Cita" numFmtId="0">
      <sharedItems count="3">
        <s v="Asistió"/>
        <s v="Recargo"/>
        <s v="Ausente"/>
      </sharedItems>
    </cacheField>
    <cacheField name="% grasa" numFmtId="9">
      <sharedItems containsSemiMixedTypes="0" containsString="0" containsNumber="1" minValue="0.1" maxValue="0.38"/>
    </cacheField>
    <cacheField name="Condición %grasa" numFmtId="0">
      <sharedItems count="5">
        <s v="Normal"/>
        <s v="Obeso"/>
        <s v="Delgado"/>
        <s v="Corpulento"/>
        <s v="Atleta"/>
      </sharedItems>
    </cacheField>
    <cacheField name="Principal Padecimiento Crónico" numFmtId="0">
      <sharedItems count="16">
        <s v="Migraña"/>
        <s v="Tiroides"/>
        <s v="Hipotiroidismo"/>
        <s v="Espasticidad"/>
        <s v="Depresión"/>
        <s v="Bipolar"/>
        <s v="Gastritis"/>
        <s v="Ninguno"/>
        <s v="Osteoporosis"/>
        <s v="Hipertensión"/>
        <s v="Artritis Reumatoide"/>
        <s v="Asma"/>
        <s v="Dermatitis"/>
        <s v="Rinitis"/>
        <s v="Lumbalgia"/>
        <s v="Asma y Rinitis"/>
      </sharedItems>
    </cacheField>
    <cacheField name="Diagnóstico Macro" numFmtId="0">
      <sharedItems count="13">
        <s v="Oftalmológico"/>
        <s v="Circulatorio"/>
        <s v="IVRS"/>
        <s v="Respiratorio"/>
        <s v="Ginecológico"/>
        <s v="Geniunitario"/>
        <s v="Osteomuscular"/>
        <s v="Consulta general"/>
        <s v="Dermatológico"/>
        <s v="Gastrointestinal"/>
        <s v="ORL"/>
        <s v="Vascular"/>
        <s v="Neuorológico"/>
      </sharedItems>
    </cacheField>
    <cacheField name="Diagnóstico Micro" numFmtId="0">
      <sharedItems count="50">
        <s v="Sd de abstinencia"/>
        <s v="Solicitud  "/>
        <s v="Liumbalgia"/>
        <s v="Reflujo gastroesofágico"/>
        <s v="Tapon de cerumen"/>
        <s v="Cefalea"/>
        <s v="Fasceitis plantar"/>
        <s v="Sinusitis"/>
        <s v="Herpes labial"/>
        <s v="Solicitud de equipo ergonomico"/>
        <s v="Migraña"/>
        <s v="Gonalgia"/>
        <s v="Cuadro gripal"/>
        <s v="Hemorroides"/>
        <s v="Lumbiciatica"/>
        <s v="Infeccion cutanea"/>
        <s v="Disfonia"/>
        <s v="Nauseas"/>
        <s v="Bronquitis"/>
        <s v="Dermatitis"/>
        <s v="Dolor por pieza dental"/>
        <s v="Blefaritis"/>
        <s v="Contractura mm"/>
        <s v="Tos"/>
        <s v="Dismenorrea"/>
        <s v="Absceso"/>
        <s v="Infeccion vaginal"/>
        <s v="Conjuntivitis alergica"/>
        <s v="Faringitis"/>
        <s v="Parestesias"/>
        <s v="Irritabilidad en ojo"/>
        <s v="Alergia"/>
        <s v="Rinitis"/>
        <s v="Reacción alérgica"/>
        <s v="Indigestion"/>
        <s v="Solicitud del uso del asensor"/>
        <s v="Ansiedad"/>
        <s v="Foliculitis"/>
        <s v="Omalgia"/>
        <s v="Toma de glicemia"/>
        <s v="Picadura de insecto"/>
        <s v="Gastroenteritis"/>
        <s v="Vómitos"/>
        <s v="Crisis de ansiedad"/>
        <s v="Onicocriptosis"/>
        <s v="Metrorragia"/>
        <s v="Tendinitis"/>
        <s v="Asma"/>
        <s v="Depresion"/>
        <s v="Gastritis"/>
      </sharedItems>
    </cacheField>
    <cacheField name="Instancia de Atención" numFmtId="0">
      <sharedItems count="3">
        <s v="CCSS"/>
        <s v="INS"/>
        <s v="Clínica Bíblica"/>
      </sharedItems>
    </cacheField>
    <cacheField name="Categoria" numFmtId="0">
      <sharedItems count="4">
        <s v="Laboratorio"/>
        <s v="Rayos &quot;X&quot;"/>
        <s v="Consulta adicional"/>
        <s v="Incapacidad"/>
      </sharedItems>
    </cacheField>
    <cacheField name="Estado" numFmtId="0">
      <sharedItems count="2">
        <s v="No"/>
        <s v="Si"/>
      </sharedItems>
    </cacheField>
    <cacheField name="Días" numFmtId="0">
      <sharedItems containsSemiMixedTypes="0" containsString="0" containsNumber="1" containsInteger="1" minValue="0" maxValue="7"/>
    </cacheField>
    <cacheField name="Monto de la consulta" numFmtId="0">
      <sharedItems containsSemiMixedTypes="0" containsString="0" containsNumber="1" containsInteger="1" minValue="23033" maxValue="84890"/>
    </cacheField>
    <cacheField name="Monto 2" numFmtId="0">
      <sharedItems containsSemiMixedTypes="0" containsString="0" containsNumber="1" minValue="2.3033000000000001E-2" maxValue="8.4889999999999993E-2"/>
    </cacheField>
    <cacheField name="fecha" numFmtId="0">
      <sharedItems containsSemiMixedTypes="0" containsString="0" containsNumber="1" containsInteger="1" minValue="43252" maxValue="43252"/>
    </cacheField>
    <cacheField name="Mes" numFmtId="0">
      <sharedItems count="6">
        <s v="Junio"/>
        <s v="Mayo" u="1"/>
        <s v="Abril" u="1"/>
        <s v="Enero" u="1"/>
        <s v="Febrero" u="1"/>
        <s v="Marzo" u="1"/>
      </sharedItems>
    </cacheField>
    <cacheField name="Campo1" numFmtId="0" formula="Sexo" databaseField="0"/>
    <cacheField name="Campo2" numFmtId="0" formula="'Monto de la consulta'" databaseField="0"/>
    <cacheField name="promedio" numFmtId="0" formula=" 983365612/6" databaseField="0"/>
    <cacheField name="promedio2" numFmtId="0" formula=" 983/6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6">
  <r>
    <n v="60000001"/>
    <x v="0"/>
    <x v="0"/>
    <x v="0"/>
    <x v="0"/>
    <x v="0"/>
    <n v="0.2"/>
    <x v="0"/>
    <x v="0"/>
    <x v="0"/>
    <x v="0"/>
    <x v="0"/>
    <x v="0"/>
    <x v="0"/>
    <n v="0"/>
    <n v="32249"/>
    <n v="3.2249E-2"/>
    <n v="43252"/>
    <x v="0"/>
  </r>
  <r>
    <n v="60000002"/>
    <x v="1"/>
    <x v="1"/>
    <x v="1"/>
    <x v="1"/>
    <x v="0"/>
    <n v="0.32"/>
    <x v="1"/>
    <x v="1"/>
    <x v="1"/>
    <x v="1"/>
    <x v="0"/>
    <x v="0"/>
    <x v="0"/>
    <n v="0"/>
    <n v="50190"/>
    <n v="5.0189999999999999E-2"/>
    <n v="43252"/>
    <x v="0"/>
  </r>
  <r>
    <n v="60000003"/>
    <x v="2"/>
    <x v="0"/>
    <x v="0"/>
    <x v="2"/>
    <x v="0"/>
    <n v="0.2"/>
    <x v="0"/>
    <x v="1"/>
    <x v="2"/>
    <x v="2"/>
    <x v="0"/>
    <x v="0"/>
    <x v="0"/>
    <n v="3"/>
    <n v="53861"/>
    <n v="5.3860999999999999E-2"/>
    <n v="43252"/>
    <x v="0"/>
  </r>
  <r>
    <n v="60000004"/>
    <x v="3"/>
    <x v="0"/>
    <x v="0"/>
    <x v="3"/>
    <x v="0"/>
    <n v="0.23"/>
    <x v="0"/>
    <x v="2"/>
    <x v="3"/>
    <x v="3"/>
    <x v="0"/>
    <x v="0"/>
    <x v="0"/>
    <n v="0"/>
    <n v="63985"/>
    <n v="6.3985E-2"/>
    <n v="43252"/>
    <x v="0"/>
  </r>
  <r>
    <n v="60000005"/>
    <x v="4"/>
    <x v="0"/>
    <x v="1"/>
    <x v="1"/>
    <x v="0"/>
    <n v="0.36"/>
    <x v="1"/>
    <x v="3"/>
    <x v="4"/>
    <x v="4"/>
    <x v="0"/>
    <x v="0"/>
    <x v="0"/>
    <n v="2"/>
    <n v="71975"/>
    <n v="7.1974999999999997E-2"/>
    <n v="43252"/>
    <x v="0"/>
  </r>
  <r>
    <n v="60000006"/>
    <x v="5"/>
    <x v="0"/>
    <x v="0"/>
    <x v="1"/>
    <x v="0"/>
    <n v="0.38"/>
    <x v="1"/>
    <x v="4"/>
    <x v="5"/>
    <x v="5"/>
    <x v="0"/>
    <x v="0"/>
    <x v="0"/>
    <n v="0"/>
    <n v="38682"/>
    <n v="3.8682000000000001E-2"/>
    <n v="43252"/>
    <x v="0"/>
  </r>
  <r>
    <n v="60000007"/>
    <x v="5"/>
    <x v="0"/>
    <x v="1"/>
    <x v="4"/>
    <x v="0"/>
    <n v="0.13"/>
    <x v="2"/>
    <x v="5"/>
    <x v="4"/>
    <x v="6"/>
    <x v="0"/>
    <x v="0"/>
    <x v="0"/>
    <n v="0"/>
    <n v="69924"/>
    <n v="6.9924E-2"/>
    <n v="43252"/>
    <x v="0"/>
  </r>
  <r>
    <n v="60000008"/>
    <x v="6"/>
    <x v="0"/>
    <x v="1"/>
    <x v="4"/>
    <x v="0"/>
    <n v="0.18"/>
    <x v="2"/>
    <x v="6"/>
    <x v="3"/>
    <x v="0"/>
    <x v="0"/>
    <x v="0"/>
    <x v="0"/>
    <n v="3"/>
    <n v="41810"/>
    <n v="4.181E-2"/>
    <n v="43252"/>
    <x v="0"/>
  </r>
  <r>
    <n v="60000009"/>
    <x v="7"/>
    <x v="0"/>
    <x v="1"/>
    <x v="5"/>
    <x v="0"/>
    <n v="0.38"/>
    <x v="1"/>
    <x v="7"/>
    <x v="0"/>
    <x v="7"/>
    <x v="0"/>
    <x v="0"/>
    <x v="0"/>
    <n v="7"/>
    <n v="56001"/>
    <n v="5.6001000000000002E-2"/>
    <n v="43252"/>
    <x v="0"/>
  </r>
  <r>
    <n v="60000010"/>
    <x v="8"/>
    <x v="0"/>
    <x v="1"/>
    <x v="4"/>
    <x v="0"/>
    <n v="0.21"/>
    <x v="0"/>
    <x v="5"/>
    <x v="6"/>
    <x v="8"/>
    <x v="0"/>
    <x v="0"/>
    <x v="0"/>
    <n v="0"/>
    <n v="41600"/>
    <n v="4.1599999999999998E-2"/>
    <n v="43252"/>
    <x v="0"/>
  </r>
  <r>
    <n v="60000011"/>
    <x v="9"/>
    <x v="0"/>
    <x v="1"/>
    <x v="0"/>
    <x v="0"/>
    <n v="0.18"/>
    <x v="2"/>
    <x v="8"/>
    <x v="7"/>
    <x v="9"/>
    <x v="0"/>
    <x v="0"/>
    <x v="0"/>
    <n v="0"/>
    <n v="62931"/>
    <n v="6.2931000000000001E-2"/>
    <n v="43252"/>
    <x v="0"/>
  </r>
  <r>
    <n v="60000012"/>
    <x v="10"/>
    <x v="0"/>
    <x v="0"/>
    <x v="6"/>
    <x v="0"/>
    <n v="0.16"/>
    <x v="2"/>
    <x v="5"/>
    <x v="8"/>
    <x v="10"/>
    <x v="0"/>
    <x v="0"/>
    <x v="0"/>
    <n v="0"/>
    <n v="67313"/>
    <n v="6.7312999999999998E-2"/>
    <n v="43252"/>
    <x v="0"/>
  </r>
  <r>
    <n v="60000013"/>
    <x v="11"/>
    <x v="0"/>
    <x v="1"/>
    <x v="7"/>
    <x v="0"/>
    <n v="0.32"/>
    <x v="1"/>
    <x v="5"/>
    <x v="4"/>
    <x v="11"/>
    <x v="0"/>
    <x v="0"/>
    <x v="0"/>
    <n v="6"/>
    <n v="53872"/>
    <n v="5.3872000000000003E-2"/>
    <n v="43252"/>
    <x v="0"/>
  </r>
  <r>
    <n v="60000014"/>
    <x v="12"/>
    <x v="0"/>
    <x v="1"/>
    <x v="3"/>
    <x v="0"/>
    <n v="0.18"/>
    <x v="2"/>
    <x v="7"/>
    <x v="1"/>
    <x v="0"/>
    <x v="0"/>
    <x v="0"/>
    <x v="0"/>
    <n v="0"/>
    <n v="79273"/>
    <n v="7.9272999999999996E-2"/>
    <n v="43252"/>
    <x v="0"/>
  </r>
  <r>
    <n v="60000015"/>
    <x v="13"/>
    <x v="1"/>
    <x v="0"/>
    <x v="6"/>
    <x v="0"/>
    <n v="0.34"/>
    <x v="1"/>
    <x v="2"/>
    <x v="7"/>
    <x v="12"/>
    <x v="0"/>
    <x v="0"/>
    <x v="0"/>
    <n v="1"/>
    <n v="38824"/>
    <n v="3.8823999999999997E-2"/>
    <n v="43252"/>
    <x v="0"/>
  </r>
  <r>
    <n v="60000016"/>
    <x v="14"/>
    <x v="0"/>
    <x v="1"/>
    <x v="2"/>
    <x v="0"/>
    <n v="0.31"/>
    <x v="3"/>
    <x v="4"/>
    <x v="1"/>
    <x v="7"/>
    <x v="0"/>
    <x v="0"/>
    <x v="0"/>
    <n v="0"/>
    <n v="69303"/>
    <n v="6.9303000000000003E-2"/>
    <n v="43252"/>
    <x v="0"/>
  </r>
  <r>
    <n v="60000017"/>
    <x v="15"/>
    <x v="1"/>
    <x v="0"/>
    <x v="4"/>
    <x v="0"/>
    <n v="0.36"/>
    <x v="1"/>
    <x v="2"/>
    <x v="0"/>
    <x v="3"/>
    <x v="0"/>
    <x v="0"/>
    <x v="0"/>
    <n v="0"/>
    <n v="43397"/>
    <n v="4.3396999999999998E-2"/>
    <n v="43252"/>
    <x v="0"/>
  </r>
  <r>
    <n v="60000018"/>
    <x v="16"/>
    <x v="0"/>
    <x v="0"/>
    <x v="0"/>
    <x v="0"/>
    <n v="0.12"/>
    <x v="2"/>
    <x v="8"/>
    <x v="7"/>
    <x v="13"/>
    <x v="0"/>
    <x v="0"/>
    <x v="0"/>
    <n v="0"/>
    <n v="46382"/>
    <n v="4.6382E-2"/>
    <n v="43252"/>
    <x v="0"/>
  </r>
  <r>
    <n v="60000019"/>
    <x v="8"/>
    <x v="1"/>
    <x v="0"/>
    <x v="2"/>
    <x v="0"/>
    <n v="0.32"/>
    <x v="1"/>
    <x v="2"/>
    <x v="9"/>
    <x v="14"/>
    <x v="0"/>
    <x v="0"/>
    <x v="0"/>
    <n v="0"/>
    <n v="53991"/>
    <n v="5.3990999999999997E-2"/>
    <n v="43252"/>
    <x v="0"/>
  </r>
  <r>
    <n v="60000020"/>
    <x v="17"/>
    <x v="0"/>
    <x v="1"/>
    <x v="8"/>
    <x v="0"/>
    <n v="0.27"/>
    <x v="3"/>
    <x v="8"/>
    <x v="7"/>
    <x v="15"/>
    <x v="0"/>
    <x v="0"/>
    <x v="0"/>
    <n v="6"/>
    <n v="63210"/>
    <n v="6.3210000000000002E-2"/>
    <n v="43252"/>
    <x v="0"/>
  </r>
  <r>
    <n v="60000021"/>
    <x v="18"/>
    <x v="0"/>
    <x v="1"/>
    <x v="0"/>
    <x v="0"/>
    <n v="0.27"/>
    <x v="3"/>
    <x v="9"/>
    <x v="7"/>
    <x v="6"/>
    <x v="0"/>
    <x v="0"/>
    <x v="0"/>
    <n v="4"/>
    <n v="72718"/>
    <n v="7.2718000000000005E-2"/>
    <n v="43252"/>
    <x v="0"/>
  </r>
  <r>
    <n v="60000022"/>
    <x v="19"/>
    <x v="0"/>
    <x v="1"/>
    <x v="4"/>
    <x v="0"/>
    <n v="0.38"/>
    <x v="1"/>
    <x v="6"/>
    <x v="10"/>
    <x v="13"/>
    <x v="0"/>
    <x v="0"/>
    <x v="0"/>
    <n v="3"/>
    <n v="74859"/>
    <n v="7.4858999999999995E-2"/>
    <n v="43252"/>
    <x v="0"/>
  </r>
  <r>
    <n v="60000023"/>
    <x v="18"/>
    <x v="0"/>
    <x v="0"/>
    <x v="6"/>
    <x v="0"/>
    <n v="0.32"/>
    <x v="1"/>
    <x v="5"/>
    <x v="8"/>
    <x v="16"/>
    <x v="0"/>
    <x v="0"/>
    <x v="0"/>
    <n v="0"/>
    <n v="76036"/>
    <n v="7.6036000000000006E-2"/>
    <n v="43252"/>
    <x v="0"/>
  </r>
  <r>
    <n v="60000024"/>
    <x v="20"/>
    <x v="1"/>
    <x v="1"/>
    <x v="1"/>
    <x v="0"/>
    <n v="0.17"/>
    <x v="2"/>
    <x v="7"/>
    <x v="6"/>
    <x v="17"/>
    <x v="0"/>
    <x v="0"/>
    <x v="0"/>
    <n v="0"/>
    <n v="54782"/>
    <n v="5.4781999999999997E-2"/>
    <n v="43252"/>
    <x v="0"/>
  </r>
  <r>
    <n v="60000025"/>
    <x v="0"/>
    <x v="0"/>
    <x v="1"/>
    <x v="0"/>
    <x v="0"/>
    <n v="0.25"/>
    <x v="3"/>
    <x v="1"/>
    <x v="9"/>
    <x v="8"/>
    <x v="0"/>
    <x v="0"/>
    <x v="0"/>
    <n v="0"/>
    <n v="76364"/>
    <n v="7.6364000000000001E-2"/>
    <n v="43252"/>
    <x v="0"/>
  </r>
  <r>
    <n v="60000026"/>
    <x v="20"/>
    <x v="0"/>
    <x v="0"/>
    <x v="1"/>
    <x v="0"/>
    <n v="0.24"/>
    <x v="0"/>
    <x v="6"/>
    <x v="5"/>
    <x v="5"/>
    <x v="0"/>
    <x v="0"/>
    <x v="0"/>
    <n v="1"/>
    <n v="78267"/>
    <n v="7.8267000000000003E-2"/>
    <n v="43252"/>
    <x v="0"/>
  </r>
  <r>
    <n v="60000027"/>
    <x v="20"/>
    <x v="1"/>
    <x v="1"/>
    <x v="4"/>
    <x v="0"/>
    <n v="0.28999999999999998"/>
    <x v="3"/>
    <x v="6"/>
    <x v="9"/>
    <x v="18"/>
    <x v="0"/>
    <x v="0"/>
    <x v="0"/>
    <n v="7"/>
    <n v="48724"/>
    <n v="4.8724000000000003E-2"/>
    <n v="43252"/>
    <x v="0"/>
  </r>
  <r>
    <n v="60000028"/>
    <x v="21"/>
    <x v="1"/>
    <x v="1"/>
    <x v="7"/>
    <x v="0"/>
    <n v="0.1"/>
    <x v="4"/>
    <x v="9"/>
    <x v="11"/>
    <x v="19"/>
    <x v="0"/>
    <x v="0"/>
    <x v="0"/>
    <n v="6"/>
    <n v="80630"/>
    <n v="8.0629999999999993E-2"/>
    <n v="43252"/>
    <x v="0"/>
  </r>
  <r>
    <n v="60000029"/>
    <x v="22"/>
    <x v="0"/>
    <x v="0"/>
    <x v="6"/>
    <x v="0"/>
    <n v="0.37"/>
    <x v="1"/>
    <x v="5"/>
    <x v="11"/>
    <x v="16"/>
    <x v="0"/>
    <x v="0"/>
    <x v="0"/>
    <n v="4"/>
    <n v="57422"/>
    <n v="5.7422000000000001E-2"/>
    <n v="43252"/>
    <x v="0"/>
  </r>
  <r>
    <n v="60000030"/>
    <x v="18"/>
    <x v="0"/>
    <x v="1"/>
    <x v="3"/>
    <x v="0"/>
    <n v="0.18"/>
    <x v="2"/>
    <x v="2"/>
    <x v="0"/>
    <x v="8"/>
    <x v="0"/>
    <x v="0"/>
    <x v="0"/>
    <n v="5"/>
    <n v="82448"/>
    <n v="8.2447999999999994E-2"/>
    <n v="43252"/>
    <x v="0"/>
  </r>
  <r>
    <n v="60000031"/>
    <x v="23"/>
    <x v="0"/>
    <x v="0"/>
    <x v="2"/>
    <x v="0"/>
    <n v="0.34"/>
    <x v="1"/>
    <x v="10"/>
    <x v="1"/>
    <x v="20"/>
    <x v="0"/>
    <x v="0"/>
    <x v="0"/>
    <n v="0"/>
    <n v="48511"/>
    <n v="4.8510999999999999E-2"/>
    <n v="43252"/>
    <x v="0"/>
  </r>
  <r>
    <n v="60000032"/>
    <x v="20"/>
    <x v="1"/>
    <x v="0"/>
    <x v="7"/>
    <x v="0"/>
    <n v="0.22"/>
    <x v="0"/>
    <x v="2"/>
    <x v="9"/>
    <x v="21"/>
    <x v="0"/>
    <x v="0"/>
    <x v="0"/>
    <n v="0"/>
    <n v="60906"/>
    <n v="6.0906000000000002E-2"/>
    <n v="43252"/>
    <x v="0"/>
  </r>
  <r>
    <n v="60000033"/>
    <x v="24"/>
    <x v="1"/>
    <x v="0"/>
    <x v="5"/>
    <x v="0"/>
    <n v="0.31"/>
    <x v="3"/>
    <x v="8"/>
    <x v="8"/>
    <x v="18"/>
    <x v="0"/>
    <x v="0"/>
    <x v="0"/>
    <n v="0"/>
    <n v="60696"/>
    <n v="6.0696E-2"/>
    <n v="43252"/>
    <x v="0"/>
  </r>
  <r>
    <n v="60000034"/>
    <x v="25"/>
    <x v="1"/>
    <x v="1"/>
    <x v="0"/>
    <x v="0"/>
    <n v="0.2"/>
    <x v="0"/>
    <x v="5"/>
    <x v="1"/>
    <x v="20"/>
    <x v="0"/>
    <x v="0"/>
    <x v="0"/>
    <n v="0"/>
    <n v="68931"/>
    <n v="6.8931000000000006E-2"/>
    <n v="43252"/>
    <x v="0"/>
  </r>
  <r>
    <n v="60000035"/>
    <x v="5"/>
    <x v="1"/>
    <x v="0"/>
    <x v="0"/>
    <x v="0"/>
    <n v="0.25"/>
    <x v="3"/>
    <x v="5"/>
    <x v="11"/>
    <x v="22"/>
    <x v="0"/>
    <x v="0"/>
    <x v="0"/>
    <n v="0"/>
    <n v="72486"/>
    <n v="7.2485999999999995E-2"/>
    <n v="43252"/>
    <x v="0"/>
  </r>
  <r>
    <n v="60000036"/>
    <x v="19"/>
    <x v="0"/>
    <x v="1"/>
    <x v="5"/>
    <x v="0"/>
    <n v="0.34"/>
    <x v="1"/>
    <x v="0"/>
    <x v="12"/>
    <x v="19"/>
    <x v="0"/>
    <x v="0"/>
    <x v="0"/>
    <n v="0"/>
    <n v="25064"/>
    <n v="2.5063999999999999E-2"/>
    <n v="43252"/>
    <x v="0"/>
  </r>
  <r>
    <n v="60000037"/>
    <x v="1"/>
    <x v="0"/>
    <x v="1"/>
    <x v="2"/>
    <x v="0"/>
    <n v="0.27"/>
    <x v="3"/>
    <x v="11"/>
    <x v="0"/>
    <x v="23"/>
    <x v="0"/>
    <x v="0"/>
    <x v="0"/>
    <n v="0"/>
    <n v="66485"/>
    <n v="6.6485000000000002E-2"/>
    <n v="43252"/>
    <x v="0"/>
  </r>
  <r>
    <n v="60000038"/>
    <x v="23"/>
    <x v="1"/>
    <x v="1"/>
    <x v="4"/>
    <x v="0"/>
    <n v="0.17"/>
    <x v="2"/>
    <x v="7"/>
    <x v="9"/>
    <x v="24"/>
    <x v="0"/>
    <x v="0"/>
    <x v="0"/>
    <n v="0"/>
    <n v="32920"/>
    <n v="3.2919999999999998E-2"/>
    <n v="43252"/>
    <x v="0"/>
  </r>
  <r>
    <n v="60000039"/>
    <x v="26"/>
    <x v="0"/>
    <x v="0"/>
    <x v="9"/>
    <x v="0"/>
    <n v="0.1"/>
    <x v="4"/>
    <x v="4"/>
    <x v="8"/>
    <x v="5"/>
    <x v="0"/>
    <x v="0"/>
    <x v="0"/>
    <n v="0"/>
    <n v="60181"/>
    <n v="6.0180999999999998E-2"/>
    <n v="43252"/>
    <x v="0"/>
  </r>
  <r>
    <n v="60000040"/>
    <x v="20"/>
    <x v="1"/>
    <x v="0"/>
    <x v="8"/>
    <x v="0"/>
    <n v="0.28000000000000003"/>
    <x v="3"/>
    <x v="8"/>
    <x v="12"/>
    <x v="19"/>
    <x v="0"/>
    <x v="0"/>
    <x v="0"/>
    <n v="7"/>
    <n v="64200"/>
    <n v="6.4199999999999993E-2"/>
    <n v="43252"/>
    <x v="0"/>
  </r>
  <r>
    <n v="60000041"/>
    <x v="27"/>
    <x v="1"/>
    <x v="0"/>
    <x v="10"/>
    <x v="0"/>
    <n v="0.32"/>
    <x v="1"/>
    <x v="1"/>
    <x v="3"/>
    <x v="24"/>
    <x v="0"/>
    <x v="0"/>
    <x v="0"/>
    <n v="0"/>
    <n v="27376"/>
    <n v="2.7376000000000001E-2"/>
    <n v="43252"/>
    <x v="0"/>
  </r>
  <r>
    <n v="60000042"/>
    <x v="20"/>
    <x v="0"/>
    <x v="1"/>
    <x v="10"/>
    <x v="0"/>
    <n v="0.36"/>
    <x v="1"/>
    <x v="5"/>
    <x v="1"/>
    <x v="18"/>
    <x v="0"/>
    <x v="0"/>
    <x v="0"/>
    <n v="6"/>
    <n v="73100"/>
    <n v="7.3099999999999998E-2"/>
    <n v="43252"/>
    <x v="0"/>
  </r>
  <r>
    <n v="60000043"/>
    <x v="28"/>
    <x v="1"/>
    <x v="1"/>
    <x v="5"/>
    <x v="0"/>
    <n v="0.33"/>
    <x v="1"/>
    <x v="2"/>
    <x v="8"/>
    <x v="23"/>
    <x v="0"/>
    <x v="0"/>
    <x v="0"/>
    <n v="0"/>
    <n v="51512"/>
    <n v="5.1512000000000002E-2"/>
    <n v="43252"/>
    <x v="0"/>
  </r>
  <r>
    <n v="60000044"/>
    <x v="29"/>
    <x v="1"/>
    <x v="1"/>
    <x v="7"/>
    <x v="0"/>
    <n v="0.24"/>
    <x v="0"/>
    <x v="12"/>
    <x v="4"/>
    <x v="3"/>
    <x v="0"/>
    <x v="0"/>
    <x v="0"/>
    <n v="4"/>
    <n v="32853"/>
    <n v="3.2853E-2"/>
    <n v="43252"/>
    <x v="0"/>
  </r>
  <r>
    <n v="60000045"/>
    <x v="14"/>
    <x v="1"/>
    <x v="0"/>
    <x v="3"/>
    <x v="0"/>
    <n v="0.34"/>
    <x v="1"/>
    <x v="10"/>
    <x v="12"/>
    <x v="13"/>
    <x v="0"/>
    <x v="0"/>
    <x v="0"/>
    <n v="0"/>
    <n v="33519"/>
    <n v="3.3519E-2"/>
    <n v="43252"/>
    <x v="0"/>
  </r>
  <r>
    <n v="60000046"/>
    <x v="11"/>
    <x v="1"/>
    <x v="1"/>
    <x v="4"/>
    <x v="0"/>
    <n v="0.23"/>
    <x v="0"/>
    <x v="9"/>
    <x v="1"/>
    <x v="6"/>
    <x v="0"/>
    <x v="0"/>
    <x v="0"/>
    <n v="0"/>
    <n v="47392"/>
    <n v="4.7391999999999997E-2"/>
    <n v="43252"/>
    <x v="0"/>
  </r>
  <r>
    <n v="60000047"/>
    <x v="12"/>
    <x v="0"/>
    <x v="0"/>
    <x v="5"/>
    <x v="0"/>
    <n v="0.16"/>
    <x v="2"/>
    <x v="0"/>
    <x v="4"/>
    <x v="25"/>
    <x v="0"/>
    <x v="0"/>
    <x v="0"/>
    <n v="7"/>
    <n v="81471"/>
    <n v="8.1471000000000002E-2"/>
    <n v="43252"/>
    <x v="0"/>
  </r>
  <r>
    <n v="60000048"/>
    <x v="29"/>
    <x v="0"/>
    <x v="0"/>
    <x v="3"/>
    <x v="0"/>
    <n v="0.36"/>
    <x v="1"/>
    <x v="6"/>
    <x v="0"/>
    <x v="13"/>
    <x v="0"/>
    <x v="0"/>
    <x v="0"/>
    <n v="4"/>
    <n v="46613"/>
    <n v="4.6613000000000002E-2"/>
    <n v="43252"/>
    <x v="0"/>
  </r>
  <r>
    <n v="60000049"/>
    <x v="20"/>
    <x v="1"/>
    <x v="1"/>
    <x v="6"/>
    <x v="0"/>
    <n v="0.12"/>
    <x v="2"/>
    <x v="5"/>
    <x v="3"/>
    <x v="26"/>
    <x v="0"/>
    <x v="0"/>
    <x v="0"/>
    <n v="0"/>
    <n v="75842"/>
    <n v="7.5842000000000007E-2"/>
    <n v="43252"/>
    <x v="0"/>
  </r>
  <r>
    <n v="60000050"/>
    <x v="20"/>
    <x v="0"/>
    <x v="1"/>
    <x v="6"/>
    <x v="0"/>
    <n v="0.18"/>
    <x v="2"/>
    <x v="6"/>
    <x v="6"/>
    <x v="27"/>
    <x v="0"/>
    <x v="0"/>
    <x v="0"/>
    <n v="0"/>
    <n v="77615"/>
    <n v="7.7615000000000003E-2"/>
    <n v="43252"/>
    <x v="0"/>
  </r>
  <r>
    <n v="60000051"/>
    <x v="24"/>
    <x v="1"/>
    <x v="0"/>
    <x v="4"/>
    <x v="0"/>
    <n v="0.31"/>
    <x v="3"/>
    <x v="8"/>
    <x v="2"/>
    <x v="10"/>
    <x v="0"/>
    <x v="0"/>
    <x v="0"/>
    <n v="0"/>
    <n v="46121"/>
    <n v="4.6121000000000002E-2"/>
    <n v="43252"/>
    <x v="0"/>
  </r>
  <r>
    <n v="60000052"/>
    <x v="0"/>
    <x v="0"/>
    <x v="0"/>
    <x v="2"/>
    <x v="0"/>
    <n v="0.25"/>
    <x v="3"/>
    <x v="8"/>
    <x v="11"/>
    <x v="28"/>
    <x v="0"/>
    <x v="0"/>
    <x v="0"/>
    <n v="6"/>
    <n v="39270"/>
    <n v="3.9269999999999999E-2"/>
    <n v="43252"/>
    <x v="0"/>
  </r>
  <r>
    <n v="60000053"/>
    <x v="4"/>
    <x v="0"/>
    <x v="0"/>
    <x v="9"/>
    <x v="0"/>
    <n v="0.1"/>
    <x v="4"/>
    <x v="6"/>
    <x v="10"/>
    <x v="29"/>
    <x v="0"/>
    <x v="0"/>
    <x v="0"/>
    <n v="5"/>
    <n v="77754"/>
    <n v="7.7754000000000004E-2"/>
    <n v="43252"/>
    <x v="0"/>
  </r>
  <r>
    <n v="60000054"/>
    <x v="30"/>
    <x v="0"/>
    <x v="0"/>
    <x v="10"/>
    <x v="0"/>
    <n v="0.15"/>
    <x v="2"/>
    <x v="8"/>
    <x v="5"/>
    <x v="10"/>
    <x v="0"/>
    <x v="0"/>
    <x v="0"/>
    <n v="3"/>
    <n v="55314"/>
    <n v="5.5314000000000002E-2"/>
    <n v="43252"/>
    <x v="0"/>
  </r>
  <r>
    <n v="60000055"/>
    <x v="31"/>
    <x v="0"/>
    <x v="1"/>
    <x v="10"/>
    <x v="0"/>
    <n v="0.28000000000000003"/>
    <x v="3"/>
    <x v="11"/>
    <x v="9"/>
    <x v="30"/>
    <x v="0"/>
    <x v="0"/>
    <x v="0"/>
    <n v="5"/>
    <n v="44686"/>
    <n v="4.4685999999999997E-2"/>
    <n v="43252"/>
    <x v="0"/>
  </r>
  <r>
    <n v="60000056"/>
    <x v="5"/>
    <x v="1"/>
    <x v="0"/>
    <x v="3"/>
    <x v="0"/>
    <n v="0.16"/>
    <x v="2"/>
    <x v="8"/>
    <x v="4"/>
    <x v="19"/>
    <x v="0"/>
    <x v="0"/>
    <x v="0"/>
    <n v="0"/>
    <n v="79381"/>
    <n v="7.9380999999999993E-2"/>
    <n v="43252"/>
    <x v="0"/>
  </r>
  <r>
    <n v="60000057"/>
    <x v="11"/>
    <x v="0"/>
    <x v="0"/>
    <x v="4"/>
    <x v="0"/>
    <n v="0.25"/>
    <x v="3"/>
    <x v="12"/>
    <x v="6"/>
    <x v="31"/>
    <x v="0"/>
    <x v="0"/>
    <x v="0"/>
    <n v="4"/>
    <n v="55151"/>
    <n v="5.5150999999999999E-2"/>
    <n v="43252"/>
    <x v="0"/>
  </r>
  <r>
    <n v="60000058"/>
    <x v="17"/>
    <x v="0"/>
    <x v="1"/>
    <x v="3"/>
    <x v="0"/>
    <n v="0.27"/>
    <x v="3"/>
    <x v="11"/>
    <x v="8"/>
    <x v="20"/>
    <x v="0"/>
    <x v="0"/>
    <x v="0"/>
    <n v="1"/>
    <n v="65029"/>
    <n v="6.5029000000000003E-2"/>
    <n v="43252"/>
    <x v="0"/>
  </r>
  <r>
    <n v="60000059"/>
    <x v="32"/>
    <x v="1"/>
    <x v="0"/>
    <x v="4"/>
    <x v="0"/>
    <n v="0.2"/>
    <x v="0"/>
    <x v="1"/>
    <x v="7"/>
    <x v="29"/>
    <x v="0"/>
    <x v="0"/>
    <x v="0"/>
    <n v="5"/>
    <n v="26628"/>
    <n v="2.6627999999999999E-2"/>
    <n v="43252"/>
    <x v="0"/>
  </r>
  <r>
    <n v="60000060"/>
    <x v="14"/>
    <x v="0"/>
    <x v="0"/>
    <x v="9"/>
    <x v="0"/>
    <n v="0.19"/>
    <x v="0"/>
    <x v="13"/>
    <x v="10"/>
    <x v="15"/>
    <x v="0"/>
    <x v="0"/>
    <x v="0"/>
    <n v="0"/>
    <n v="49132"/>
    <n v="4.9132000000000002E-2"/>
    <n v="43252"/>
    <x v="0"/>
  </r>
  <r>
    <n v="60000061"/>
    <x v="33"/>
    <x v="1"/>
    <x v="0"/>
    <x v="2"/>
    <x v="0"/>
    <n v="0.31"/>
    <x v="3"/>
    <x v="14"/>
    <x v="0"/>
    <x v="16"/>
    <x v="0"/>
    <x v="0"/>
    <x v="0"/>
    <n v="2"/>
    <n v="75641"/>
    <n v="7.5641E-2"/>
    <n v="43252"/>
    <x v="0"/>
  </r>
  <r>
    <n v="60000062"/>
    <x v="34"/>
    <x v="1"/>
    <x v="1"/>
    <x v="9"/>
    <x v="0"/>
    <n v="0.18"/>
    <x v="2"/>
    <x v="8"/>
    <x v="9"/>
    <x v="30"/>
    <x v="0"/>
    <x v="0"/>
    <x v="0"/>
    <n v="0"/>
    <n v="46107"/>
    <n v="4.6107000000000002E-2"/>
    <n v="43252"/>
    <x v="0"/>
  </r>
  <r>
    <n v="60000063"/>
    <x v="28"/>
    <x v="1"/>
    <x v="1"/>
    <x v="6"/>
    <x v="0"/>
    <n v="0.28999999999999998"/>
    <x v="3"/>
    <x v="13"/>
    <x v="1"/>
    <x v="21"/>
    <x v="0"/>
    <x v="0"/>
    <x v="0"/>
    <n v="5"/>
    <n v="54603"/>
    <n v="5.4602999999999999E-2"/>
    <n v="43252"/>
    <x v="0"/>
  </r>
  <r>
    <n v="60000064"/>
    <x v="35"/>
    <x v="1"/>
    <x v="1"/>
    <x v="3"/>
    <x v="0"/>
    <n v="0.12"/>
    <x v="2"/>
    <x v="9"/>
    <x v="10"/>
    <x v="13"/>
    <x v="0"/>
    <x v="0"/>
    <x v="0"/>
    <n v="2"/>
    <n v="76546"/>
    <n v="7.6546000000000003E-2"/>
    <n v="43252"/>
    <x v="0"/>
  </r>
  <r>
    <n v="60000065"/>
    <x v="35"/>
    <x v="0"/>
    <x v="0"/>
    <x v="9"/>
    <x v="0"/>
    <n v="0.14000000000000001"/>
    <x v="2"/>
    <x v="0"/>
    <x v="3"/>
    <x v="32"/>
    <x v="0"/>
    <x v="0"/>
    <x v="0"/>
    <n v="4"/>
    <n v="51693"/>
    <n v="5.1693000000000003E-2"/>
    <n v="43252"/>
    <x v="0"/>
  </r>
  <r>
    <n v="60000066"/>
    <x v="1"/>
    <x v="0"/>
    <x v="0"/>
    <x v="2"/>
    <x v="0"/>
    <n v="0.21"/>
    <x v="0"/>
    <x v="11"/>
    <x v="7"/>
    <x v="5"/>
    <x v="0"/>
    <x v="0"/>
    <x v="0"/>
    <n v="2"/>
    <n v="74562"/>
    <n v="7.4562000000000003E-2"/>
    <n v="43252"/>
    <x v="0"/>
  </r>
  <r>
    <n v="60000067"/>
    <x v="24"/>
    <x v="1"/>
    <x v="0"/>
    <x v="9"/>
    <x v="0"/>
    <n v="0.15"/>
    <x v="2"/>
    <x v="3"/>
    <x v="2"/>
    <x v="17"/>
    <x v="0"/>
    <x v="0"/>
    <x v="0"/>
    <n v="0"/>
    <n v="23033"/>
    <n v="2.3033000000000001E-2"/>
    <n v="43252"/>
    <x v="0"/>
  </r>
  <r>
    <n v="60000068"/>
    <x v="21"/>
    <x v="1"/>
    <x v="1"/>
    <x v="4"/>
    <x v="0"/>
    <n v="0.32"/>
    <x v="1"/>
    <x v="13"/>
    <x v="1"/>
    <x v="8"/>
    <x v="0"/>
    <x v="0"/>
    <x v="0"/>
    <n v="7"/>
    <n v="49487"/>
    <n v="4.9487000000000003E-2"/>
    <n v="43252"/>
    <x v="0"/>
  </r>
  <r>
    <n v="60000069"/>
    <x v="35"/>
    <x v="0"/>
    <x v="1"/>
    <x v="0"/>
    <x v="0"/>
    <n v="0.13"/>
    <x v="2"/>
    <x v="1"/>
    <x v="5"/>
    <x v="9"/>
    <x v="0"/>
    <x v="0"/>
    <x v="0"/>
    <n v="6"/>
    <n v="81554"/>
    <n v="8.1554000000000001E-2"/>
    <n v="43252"/>
    <x v="0"/>
  </r>
  <r>
    <n v="60000070"/>
    <x v="36"/>
    <x v="1"/>
    <x v="1"/>
    <x v="0"/>
    <x v="0"/>
    <n v="0.23"/>
    <x v="0"/>
    <x v="10"/>
    <x v="12"/>
    <x v="33"/>
    <x v="0"/>
    <x v="0"/>
    <x v="0"/>
    <n v="0"/>
    <n v="50937"/>
    <n v="5.0937000000000003E-2"/>
    <n v="43252"/>
    <x v="0"/>
  </r>
  <r>
    <n v="60000071"/>
    <x v="27"/>
    <x v="0"/>
    <x v="0"/>
    <x v="1"/>
    <x v="0"/>
    <n v="0.38"/>
    <x v="1"/>
    <x v="2"/>
    <x v="3"/>
    <x v="18"/>
    <x v="0"/>
    <x v="0"/>
    <x v="0"/>
    <n v="0"/>
    <n v="50926"/>
    <n v="5.0925999999999999E-2"/>
    <n v="43252"/>
    <x v="0"/>
  </r>
  <r>
    <n v="60000072"/>
    <x v="8"/>
    <x v="0"/>
    <x v="0"/>
    <x v="9"/>
    <x v="0"/>
    <n v="0.2"/>
    <x v="0"/>
    <x v="15"/>
    <x v="2"/>
    <x v="30"/>
    <x v="0"/>
    <x v="0"/>
    <x v="0"/>
    <n v="0"/>
    <n v="65453"/>
    <n v="6.5452999999999997E-2"/>
    <n v="43252"/>
    <x v="0"/>
  </r>
  <r>
    <n v="60000073"/>
    <x v="23"/>
    <x v="1"/>
    <x v="1"/>
    <x v="6"/>
    <x v="0"/>
    <n v="0.15"/>
    <x v="2"/>
    <x v="10"/>
    <x v="2"/>
    <x v="28"/>
    <x v="0"/>
    <x v="0"/>
    <x v="0"/>
    <n v="4"/>
    <n v="60126"/>
    <n v="6.0125999999999999E-2"/>
    <n v="43252"/>
    <x v="0"/>
  </r>
  <r>
    <n v="60000074"/>
    <x v="3"/>
    <x v="0"/>
    <x v="0"/>
    <x v="8"/>
    <x v="0"/>
    <n v="0.13"/>
    <x v="2"/>
    <x v="10"/>
    <x v="6"/>
    <x v="27"/>
    <x v="0"/>
    <x v="0"/>
    <x v="0"/>
    <n v="0"/>
    <n v="23711"/>
    <n v="2.3710999999999999E-2"/>
    <n v="43252"/>
    <x v="0"/>
  </r>
  <r>
    <n v="60000075"/>
    <x v="21"/>
    <x v="1"/>
    <x v="0"/>
    <x v="1"/>
    <x v="0"/>
    <n v="0.33"/>
    <x v="1"/>
    <x v="0"/>
    <x v="5"/>
    <x v="17"/>
    <x v="0"/>
    <x v="0"/>
    <x v="0"/>
    <n v="0"/>
    <n v="77308"/>
    <n v="7.7308000000000002E-2"/>
    <n v="43252"/>
    <x v="0"/>
  </r>
  <r>
    <n v="60000076"/>
    <x v="12"/>
    <x v="0"/>
    <x v="1"/>
    <x v="0"/>
    <x v="0"/>
    <n v="0.1"/>
    <x v="4"/>
    <x v="0"/>
    <x v="11"/>
    <x v="8"/>
    <x v="0"/>
    <x v="0"/>
    <x v="0"/>
    <n v="0"/>
    <n v="34801"/>
    <n v="3.4800999999999999E-2"/>
    <n v="43252"/>
    <x v="0"/>
  </r>
  <r>
    <n v="60000077"/>
    <x v="5"/>
    <x v="1"/>
    <x v="1"/>
    <x v="6"/>
    <x v="0"/>
    <n v="0.16"/>
    <x v="2"/>
    <x v="1"/>
    <x v="11"/>
    <x v="32"/>
    <x v="0"/>
    <x v="0"/>
    <x v="0"/>
    <n v="2"/>
    <n v="79253"/>
    <n v="7.9253000000000004E-2"/>
    <n v="43252"/>
    <x v="0"/>
  </r>
  <r>
    <n v="60000078"/>
    <x v="17"/>
    <x v="1"/>
    <x v="1"/>
    <x v="7"/>
    <x v="0"/>
    <n v="0.38"/>
    <x v="1"/>
    <x v="4"/>
    <x v="5"/>
    <x v="24"/>
    <x v="0"/>
    <x v="0"/>
    <x v="0"/>
    <n v="0"/>
    <n v="74467"/>
    <n v="7.4467000000000005E-2"/>
    <n v="43252"/>
    <x v="0"/>
  </r>
  <r>
    <n v="60000079"/>
    <x v="19"/>
    <x v="1"/>
    <x v="1"/>
    <x v="1"/>
    <x v="0"/>
    <n v="0.31"/>
    <x v="3"/>
    <x v="7"/>
    <x v="12"/>
    <x v="6"/>
    <x v="0"/>
    <x v="0"/>
    <x v="0"/>
    <n v="0"/>
    <n v="71270"/>
    <n v="7.127E-2"/>
    <n v="43252"/>
    <x v="0"/>
  </r>
  <r>
    <n v="60000080"/>
    <x v="37"/>
    <x v="1"/>
    <x v="0"/>
    <x v="3"/>
    <x v="0"/>
    <n v="0.35"/>
    <x v="1"/>
    <x v="13"/>
    <x v="3"/>
    <x v="7"/>
    <x v="0"/>
    <x v="0"/>
    <x v="0"/>
    <n v="0"/>
    <n v="84560"/>
    <n v="8.4559999999999996E-2"/>
    <n v="43252"/>
    <x v="0"/>
  </r>
  <r>
    <n v="60000081"/>
    <x v="34"/>
    <x v="1"/>
    <x v="0"/>
    <x v="10"/>
    <x v="0"/>
    <n v="0.19"/>
    <x v="0"/>
    <x v="12"/>
    <x v="10"/>
    <x v="20"/>
    <x v="0"/>
    <x v="0"/>
    <x v="0"/>
    <n v="0"/>
    <n v="67808"/>
    <n v="6.7807999999999993E-2"/>
    <n v="43252"/>
    <x v="0"/>
  </r>
  <r>
    <n v="60000082"/>
    <x v="16"/>
    <x v="0"/>
    <x v="1"/>
    <x v="0"/>
    <x v="0"/>
    <n v="0.13"/>
    <x v="2"/>
    <x v="2"/>
    <x v="4"/>
    <x v="34"/>
    <x v="0"/>
    <x v="0"/>
    <x v="0"/>
    <n v="0"/>
    <n v="35771"/>
    <n v="3.5770999999999997E-2"/>
    <n v="43252"/>
    <x v="0"/>
  </r>
  <r>
    <n v="60000083"/>
    <x v="38"/>
    <x v="0"/>
    <x v="1"/>
    <x v="7"/>
    <x v="0"/>
    <n v="0.17"/>
    <x v="2"/>
    <x v="12"/>
    <x v="1"/>
    <x v="31"/>
    <x v="0"/>
    <x v="0"/>
    <x v="0"/>
    <n v="0"/>
    <n v="28257"/>
    <n v="2.8257000000000001E-2"/>
    <n v="43252"/>
    <x v="0"/>
  </r>
  <r>
    <n v="60000084"/>
    <x v="33"/>
    <x v="1"/>
    <x v="0"/>
    <x v="8"/>
    <x v="0"/>
    <n v="0.12"/>
    <x v="2"/>
    <x v="8"/>
    <x v="4"/>
    <x v="33"/>
    <x v="0"/>
    <x v="0"/>
    <x v="0"/>
    <n v="0"/>
    <n v="65096"/>
    <n v="6.5096000000000001E-2"/>
    <n v="43252"/>
    <x v="0"/>
  </r>
  <r>
    <n v="60000085"/>
    <x v="37"/>
    <x v="1"/>
    <x v="1"/>
    <x v="2"/>
    <x v="0"/>
    <n v="0.27"/>
    <x v="3"/>
    <x v="13"/>
    <x v="3"/>
    <x v="35"/>
    <x v="0"/>
    <x v="0"/>
    <x v="0"/>
    <n v="0"/>
    <n v="46817"/>
    <n v="4.6816999999999998E-2"/>
    <n v="43252"/>
    <x v="0"/>
  </r>
  <r>
    <n v="60000086"/>
    <x v="31"/>
    <x v="1"/>
    <x v="0"/>
    <x v="2"/>
    <x v="0"/>
    <n v="0.17"/>
    <x v="2"/>
    <x v="5"/>
    <x v="6"/>
    <x v="36"/>
    <x v="0"/>
    <x v="0"/>
    <x v="0"/>
    <n v="3"/>
    <n v="70068"/>
    <n v="7.0068000000000005E-2"/>
    <n v="43252"/>
    <x v="0"/>
  </r>
  <r>
    <n v="60000087"/>
    <x v="3"/>
    <x v="0"/>
    <x v="1"/>
    <x v="6"/>
    <x v="0"/>
    <n v="0.26"/>
    <x v="3"/>
    <x v="13"/>
    <x v="9"/>
    <x v="28"/>
    <x v="0"/>
    <x v="0"/>
    <x v="0"/>
    <n v="0"/>
    <n v="64035"/>
    <n v="6.4034999999999995E-2"/>
    <n v="43252"/>
    <x v="0"/>
  </r>
  <r>
    <n v="60000088"/>
    <x v="24"/>
    <x v="0"/>
    <x v="1"/>
    <x v="10"/>
    <x v="0"/>
    <n v="0.26"/>
    <x v="3"/>
    <x v="7"/>
    <x v="5"/>
    <x v="5"/>
    <x v="0"/>
    <x v="0"/>
    <x v="0"/>
    <n v="0"/>
    <n v="59746"/>
    <n v="5.9746E-2"/>
    <n v="43252"/>
    <x v="0"/>
  </r>
  <r>
    <n v="60000089"/>
    <x v="39"/>
    <x v="0"/>
    <x v="1"/>
    <x v="2"/>
    <x v="0"/>
    <n v="0.38"/>
    <x v="1"/>
    <x v="12"/>
    <x v="11"/>
    <x v="17"/>
    <x v="0"/>
    <x v="0"/>
    <x v="0"/>
    <n v="0"/>
    <n v="65443"/>
    <n v="6.5443000000000001E-2"/>
    <n v="43252"/>
    <x v="0"/>
  </r>
  <r>
    <n v="60000090"/>
    <x v="29"/>
    <x v="1"/>
    <x v="0"/>
    <x v="2"/>
    <x v="0"/>
    <n v="0.28999999999999998"/>
    <x v="3"/>
    <x v="1"/>
    <x v="4"/>
    <x v="37"/>
    <x v="0"/>
    <x v="0"/>
    <x v="0"/>
    <n v="7"/>
    <n v="77471"/>
    <n v="7.7470999999999998E-2"/>
    <n v="43252"/>
    <x v="0"/>
  </r>
  <r>
    <n v="60000091"/>
    <x v="40"/>
    <x v="1"/>
    <x v="0"/>
    <x v="2"/>
    <x v="0"/>
    <n v="0.13"/>
    <x v="2"/>
    <x v="3"/>
    <x v="8"/>
    <x v="11"/>
    <x v="0"/>
    <x v="0"/>
    <x v="0"/>
    <n v="1"/>
    <n v="62047"/>
    <n v="6.2046999999999998E-2"/>
    <n v="43252"/>
    <x v="0"/>
  </r>
  <r>
    <n v="60000092"/>
    <x v="9"/>
    <x v="0"/>
    <x v="1"/>
    <x v="8"/>
    <x v="0"/>
    <n v="0.35"/>
    <x v="1"/>
    <x v="5"/>
    <x v="3"/>
    <x v="32"/>
    <x v="0"/>
    <x v="0"/>
    <x v="0"/>
    <n v="3"/>
    <n v="72608"/>
    <n v="7.2608000000000006E-2"/>
    <n v="43252"/>
    <x v="0"/>
  </r>
  <r>
    <n v="60000093"/>
    <x v="7"/>
    <x v="0"/>
    <x v="0"/>
    <x v="8"/>
    <x v="0"/>
    <n v="0.35"/>
    <x v="1"/>
    <x v="0"/>
    <x v="1"/>
    <x v="18"/>
    <x v="0"/>
    <x v="0"/>
    <x v="0"/>
    <n v="6"/>
    <n v="33947"/>
    <n v="3.3946999999999998E-2"/>
    <n v="43252"/>
    <x v="0"/>
  </r>
  <r>
    <n v="60000094"/>
    <x v="28"/>
    <x v="0"/>
    <x v="0"/>
    <x v="3"/>
    <x v="0"/>
    <n v="0.25"/>
    <x v="3"/>
    <x v="13"/>
    <x v="10"/>
    <x v="38"/>
    <x v="0"/>
    <x v="0"/>
    <x v="0"/>
    <n v="6"/>
    <n v="37975"/>
    <n v="3.7975000000000002E-2"/>
    <n v="43252"/>
    <x v="0"/>
  </r>
  <r>
    <n v="60000095"/>
    <x v="26"/>
    <x v="0"/>
    <x v="0"/>
    <x v="10"/>
    <x v="0"/>
    <n v="0.12"/>
    <x v="2"/>
    <x v="8"/>
    <x v="3"/>
    <x v="29"/>
    <x v="0"/>
    <x v="0"/>
    <x v="0"/>
    <n v="0"/>
    <n v="29675"/>
    <n v="2.9675E-2"/>
    <n v="43252"/>
    <x v="0"/>
  </r>
  <r>
    <n v="60000096"/>
    <x v="3"/>
    <x v="1"/>
    <x v="1"/>
    <x v="5"/>
    <x v="0"/>
    <n v="0.31"/>
    <x v="3"/>
    <x v="5"/>
    <x v="12"/>
    <x v="6"/>
    <x v="0"/>
    <x v="0"/>
    <x v="0"/>
    <n v="0"/>
    <n v="51903"/>
    <n v="5.1902999999999998E-2"/>
    <n v="43252"/>
    <x v="0"/>
  </r>
  <r>
    <n v="60000097"/>
    <x v="3"/>
    <x v="1"/>
    <x v="1"/>
    <x v="7"/>
    <x v="0"/>
    <n v="0.19"/>
    <x v="0"/>
    <x v="11"/>
    <x v="8"/>
    <x v="16"/>
    <x v="0"/>
    <x v="0"/>
    <x v="0"/>
    <n v="0"/>
    <n v="75407"/>
    <n v="7.5407000000000002E-2"/>
    <n v="43252"/>
    <x v="0"/>
  </r>
  <r>
    <n v="60000098"/>
    <x v="40"/>
    <x v="1"/>
    <x v="1"/>
    <x v="1"/>
    <x v="0"/>
    <n v="0.35"/>
    <x v="1"/>
    <x v="1"/>
    <x v="2"/>
    <x v="37"/>
    <x v="0"/>
    <x v="0"/>
    <x v="0"/>
    <n v="0"/>
    <n v="53325"/>
    <n v="5.3324999999999997E-2"/>
    <n v="43252"/>
    <x v="0"/>
  </r>
  <r>
    <n v="60000099"/>
    <x v="30"/>
    <x v="0"/>
    <x v="0"/>
    <x v="7"/>
    <x v="0"/>
    <n v="0.36"/>
    <x v="1"/>
    <x v="5"/>
    <x v="3"/>
    <x v="39"/>
    <x v="0"/>
    <x v="0"/>
    <x v="0"/>
    <n v="7"/>
    <n v="67527"/>
    <n v="6.7527000000000004E-2"/>
    <n v="43252"/>
    <x v="0"/>
  </r>
  <r>
    <n v="60000100"/>
    <x v="6"/>
    <x v="1"/>
    <x v="1"/>
    <x v="3"/>
    <x v="0"/>
    <n v="0.17"/>
    <x v="2"/>
    <x v="11"/>
    <x v="1"/>
    <x v="7"/>
    <x v="0"/>
    <x v="0"/>
    <x v="0"/>
    <n v="5"/>
    <n v="41676"/>
    <n v="4.1675999999999998E-2"/>
    <n v="43252"/>
    <x v="0"/>
  </r>
  <r>
    <n v="60000101"/>
    <x v="22"/>
    <x v="1"/>
    <x v="0"/>
    <x v="4"/>
    <x v="0"/>
    <n v="0.27"/>
    <x v="3"/>
    <x v="14"/>
    <x v="12"/>
    <x v="38"/>
    <x v="0"/>
    <x v="0"/>
    <x v="0"/>
    <n v="0"/>
    <n v="83260"/>
    <n v="8.3260000000000001E-2"/>
    <n v="43252"/>
    <x v="0"/>
  </r>
  <r>
    <n v="60000102"/>
    <x v="9"/>
    <x v="1"/>
    <x v="1"/>
    <x v="8"/>
    <x v="0"/>
    <n v="0.28999999999999998"/>
    <x v="3"/>
    <x v="8"/>
    <x v="9"/>
    <x v="4"/>
    <x v="0"/>
    <x v="0"/>
    <x v="0"/>
    <n v="0"/>
    <n v="42293"/>
    <n v="4.2292999999999997E-2"/>
    <n v="43252"/>
    <x v="0"/>
  </r>
  <r>
    <n v="60000103"/>
    <x v="41"/>
    <x v="1"/>
    <x v="1"/>
    <x v="4"/>
    <x v="0"/>
    <n v="0.23"/>
    <x v="0"/>
    <x v="15"/>
    <x v="1"/>
    <x v="29"/>
    <x v="0"/>
    <x v="0"/>
    <x v="0"/>
    <n v="4"/>
    <n v="31530"/>
    <n v="3.1530000000000002E-2"/>
    <n v="43252"/>
    <x v="0"/>
  </r>
  <r>
    <n v="60000104"/>
    <x v="21"/>
    <x v="0"/>
    <x v="0"/>
    <x v="6"/>
    <x v="0"/>
    <n v="0.21"/>
    <x v="0"/>
    <x v="14"/>
    <x v="12"/>
    <x v="28"/>
    <x v="0"/>
    <x v="0"/>
    <x v="0"/>
    <n v="0"/>
    <n v="80431"/>
    <n v="8.0431000000000002E-2"/>
    <n v="43252"/>
    <x v="0"/>
  </r>
  <r>
    <n v="60000105"/>
    <x v="32"/>
    <x v="0"/>
    <x v="0"/>
    <x v="10"/>
    <x v="0"/>
    <n v="0.36"/>
    <x v="1"/>
    <x v="3"/>
    <x v="5"/>
    <x v="40"/>
    <x v="0"/>
    <x v="0"/>
    <x v="0"/>
    <n v="2"/>
    <n v="27023"/>
    <n v="2.7022999999999998E-2"/>
    <n v="43252"/>
    <x v="0"/>
  </r>
  <r>
    <n v="60000106"/>
    <x v="8"/>
    <x v="0"/>
    <x v="0"/>
    <x v="6"/>
    <x v="0"/>
    <n v="0.11"/>
    <x v="4"/>
    <x v="0"/>
    <x v="3"/>
    <x v="41"/>
    <x v="0"/>
    <x v="0"/>
    <x v="0"/>
    <n v="0"/>
    <n v="30628"/>
    <n v="3.0627999999999999E-2"/>
    <n v="43252"/>
    <x v="0"/>
  </r>
  <r>
    <n v="60000107"/>
    <x v="24"/>
    <x v="1"/>
    <x v="0"/>
    <x v="7"/>
    <x v="0"/>
    <n v="0.11"/>
    <x v="4"/>
    <x v="10"/>
    <x v="10"/>
    <x v="42"/>
    <x v="0"/>
    <x v="0"/>
    <x v="0"/>
    <n v="7"/>
    <n v="84173"/>
    <n v="8.4172999999999998E-2"/>
    <n v="43252"/>
    <x v="0"/>
  </r>
  <r>
    <n v="60000108"/>
    <x v="36"/>
    <x v="1"/>
    <x v="0"/>
    <x v="3"/>
    <x v="0"/>
    <n v="0.28000000000000003"/>
    <x v="3"/>
    <x v="8"/>
    <x v="10"/>
    <x v="13"/>
    <x v="0"/>
    <x v="0"/>
    <x v="0"/>
    <n v="4"/>
    <n v="40057"/>
    <n v="4.0057000000000002E-2"/>
    <n v="43252"/>
    <x v="0"/>
  </r>
  <r>
    <n v="60000109"/>
    <x v="35"/>
    <x v="1"/>
    <x v="1"/>
    <x v="2"/>
    <x v="0"/>
    <n v="0.32"/>
    <x v="1"/>
    <x v="0"/>
    <x v="8"/>
    <x v="29"/>
    <x v="0"/>
    <x v="0"/>
    <x v="0"/>
    <n v="0"/>
    <n v="31074"/>
    <n v="3.1074000000000001E-2"/>
    <n v="43252"/>
    <x v="0"/>
  </r>
  <r>
    <n v="60000110"/>
    <x v="19"/>
    <x v="0"/>
    <x v="1"/>
    <x v="5"/>
    <x v="0"/>
    <n v="0.35"/>
    <x v="1"/>
    <x v="10"/>
    <x v="11"/>
    <x v="22"/>
    <x v="0"/>
    <x v="0"/>
    <x v="0"/>
    <n v="5"/>
    <n v="40029"/>
    <n v="4.0029000000000002E-2"/>
    <n v="43252"/>
    <x v="0"/>
  </r>
  <r>
    <n v="60000111"/>
    <x v="37"/>
    <x v="0"/>
    <x v="0"/>
    <x v="9"/>
    <x v="0"/>
    <n v="0.22"/>
    <x v="0"/>
    <x v="4"/>
    <x v="11"/>
    <x v="10"/>
    <x v="0"/>
    <x v="0"/>
    <x v="0"/>
    <n v="0"/>
    <n v="63650"/>
    <n v="6.3649999999999998E-2"/>
    <n v="43252"/>
    <x v="0"/>
  </r>
  <r>
    <n v="60000112"/>
    <x v="36"/>
    <x v="0"/>
    <x v="1"/>
    <x v="7"/>
    <x v="0"/>
    <n v="0.28000000000000003"/>
    <x v="3"/>
    <x v="13"/>
    <x v="1"/>
    <x v="7"/>
    <x v="0"/>
    <x v="0"/>
    <x v="0"/>
    <n v="0"/>
    <n v="78866"/>
    <n v="7.8866000000000006E-2"/>
    <n v="43252"/>
    <x v="0"/>
  </r>
  <r>
    <n v="60000113"/>
    <x v="42"/>
    <x v="1"/>
    <x v="1"/>
    <x v="5"/>
    <x v="0"/>
    <n v="0.25"/>
    <x v="3"/>
    <x v="15"/>
    <x v="8"/>
    <x v="10"/>
    <x v="0"/>
    <x v="0"/>
    <x v="0"/>
    <n v="3"/>
    <n v="51138"/>
    <n v="5.1138000000000003E-2"/>
    <n v="43252"/>
    <x v="0"/>
  </r>
  <r>
    <n v="60000114"/>
    <x v="19"/>
    <x v="1"/>
    <x v="0"/>
    <x v="2"/>
    <x v="0"/>
    <n v="0.19"/>
    <x v="0"/>
    <x v="3"/>
    <x v="11"/>
    <x v="1"/>
    <x v="0"/>
    <x v="0"/>
    <x v="0"/>
    <n v="6"/>
    <n v="66491"/>
    <n v="6.6490999999999995E-2"/>
    <n v="43252"/>
    <x v="0"/>
  </r>
  <r>
    <n v="60000115"/>
    <x v="10"/>
    <x v="1"/>
    <x v="0"/>
    <x v="10"/>
    <x v="0"/>
    <n v="0.17"/>
    <x v="2"/>
    <x v="8"/>
    <x v="8"/>
    <x v="38"/>
    <x v="0"/>
    <x v="0"/>
    <x v="0"/>
    <n v="3"/>
    <n v="48516"/>
    <n v="4.8515999999999997E-2"/>
    <n v="43252"/>
    <x v="0"/>
  </r>
  <r>
    <n v="60000116"/>
    <x v="43"/>
    <x v="0"/>
    <x v="1"/>
    <x v="1"/>
    <x v="0"/>
    <n v="0.23"/>
    <x v="0"/>
    <x v="10"/>
    <x v="10"/>
    <x v="31"/>
    <x v="0"/>
    <x v="0"/>
    <x v="0"/>
    <n v="0"/>
    <n v="58625"/>
    <n v="5.8624999999999997E-2"/>
    <n v="43252"/>
    <x v="0"/>
  </r>
  <r>
    <n v="60000117"/>
    <x v="2"/>
    <x v="1"/>
    <x v="0"/>
    <x v="6"/>
    <x v="0"/>
    <n v="0.2"/>
    <x v="0"/>
    <x v="4"/>
    <x v="7"/>
    <x v="31"/>
    <x v="0"/>
    <x v="0"/>
    <x v="0"/>
    <n v="1"/>
    <n v="35181"/>
    <n v="3.5180999999999997E-2"/>
    <n v="43252"/>
    <x v="0"/>
  </r>
  <r>
    <n v="60000118"/>
    <x v="23"/>
    <x v="0"/>
    <x v="0"/>
    <x v="8"/>
    <x v="0"/>
    <n v="0.28000000000000003"/>
    <x v="3"/>
    <x v="11"/>
    <x v="5"/>
    <x v="3"/>
    <x v="0"/>
    <x v="0"/>
    <x v="0"/>
    <n v="0"/>
    <n v="30585"/>
    <n v="3.0585000000000001E-2"/>
    <n v="43252"/>
    <x v="0"/>
  </r>
  <r>
    <n v="60000119"/>
    <x v="8"/>
    <x v="0"/>
    <x v="1"/>
    <x v="11"/>
    <x v="0"/>
    <n v="0.37"/>
    <x v="1"/>
    <x v="2"/>
    <x v="7"/>
    <x v="43"/>
    <x v="0"/>
    <x v="0"/>
    <x v="0"/>
    <n v="0"/>
    <n v="52519"/>
    <n v="5.2519000000000003E-2"/>
    <n v="43252"/>
    <x v="0"/>
  </r>
  <r>
    <n v="60000120"/>
    <x v="13"/>
    <x v="0"/>
    <x v="0"/>
    <x v="7"/>
    <x v="0"/>
    <n v="0.37"/>
    <x v="1"/>
    <x v="6"/>
    <x v="7"/>
    <x v="15"/>
    <x v="0"/>
    <x v="0"/>
    <x v="0"/>
    <n v="0"/>
    <n v="33470"/>
    <n v="3.347E-2"/>
    <n v="43252"/>
    <x v="0"/>
  </r>
  <r>
    <n v="60000121"/>
    <x v="24"/>
    <x v="0"/>
    <x v="0"/>
    <x v="9"/>
    <x v="0"/>
    <n v="0.2"/>
    <x v="0"/>
    <x v="3"/>
    <x v="6"/>
    <x v="18"/>
    <x v="0"/>
    <x v="0"/>
    <x v="0"/>
    <n v="0"/>
    <n v="35876"/>
    <n v="3.5875999999999998E-2"/>
    <n v="43252"/>
    <x v="0"/>
  </r>
  <r>
    <n v="60000122"/>
    <x v="40"/>
    <x v="1"/>
    <x v="1"/>
    <x v="9"/>
    <x v="0"/>
    <n v="0.1"/>
    <x v="4"/>
    <x v="5"/>
    <x v="4"/>
    <x v="44"/>
    <x v="0"/>
    <x v="0"/>
    <x v="0"/>
    <n v="0"/>
    <n v="27806"/>
    <n v="2.7806000000000001E-2"/>
    <n v="43252"/>
    <x v="0"/>
  </r>
  <r>
    <n v="60000123"/>
    <x v="36"/>
    <x v="1"/>
    <x v="0"/>
    <x v="11"/>
    <x v="0"/>
    <n v="0.21"/>
    <x v="0"/>
    <x v="8"/>
    <x v="11"/>
    <x v="37"/>
    <x v="0"/>
    <x v="0"/>
    <x v="0"/>
    <n v="7"/>
    <n v="63422"/>
    <n v="6.3422000000000006E-2"/>
    <n v="43252"/>
    <x v="0"/>
  </r>
  <r>
    <n v="60000124"/>
    <x v="3"/>
    <x v="1"/>
    <x v="0"/>
    <x v="3"/>
    <x v="0"/>
    <n v="0.21"/>
    <x v="0"/>
    <x v="3"/>
    <x v="5"/>
    <x v="45"/>
    <x v="0"/>
    <x v="0"/>
    <x v="0"/>
    <n v="4"/>
    <n v="52615"/>
    <n v="5.2615000000000002E-2"/>
    <n v="43252"/>
    <x v="0"/>
  </r>
  <r>
    <n v="60000125"/>
    <x v="39"/>
    <x v="1"/>
    <x v="0"/>
    <x v="0"/>
    <x v="0"/>
    <n v="0.35"/>
    <x v="1"/>
    <x v="8"/>
    <x v="3"/>
    <x v="25"/>
    <x v="0"/>
    <x v="0"/>
    <x v="0"/>
    <n v="0"/>
    <n v="77731"/>
    <n v="7.7730999999999995E-2"/>
    <n v="43252"/>
    <x v="0"/>
  </r>
  <r>
    <n v="60000126"/>
    <x v="27"/>
    <x v="1"/>
    <x v="1"/>
    <x v="2"/>
    <x v="0"/>
    <n v="0.33"/>
    <x v="1"/>
    <x v="4"/>
    <x v="7"/>
    <x v="4"/>
    <x v="0"/>
    <x v="0"/>
    <x v="0"/>
    <n v="0"/>
    <n v="58121"/>
    <n v="5.8120999999999999E-2"/>
    <n v="43252"/>
    <x v="0"/>
  </r>
  <r>
    <n v="60000127"/>
    <x v="12"/>
    <x v="1"/>
    <x v="1"/>
    <x v="2"/>
    <x v="0"/>
    <n v="0.23"/>
    <x v="0"/>
    <x v="15"/>
    <x v="0"/>
    <x v="10"/>
    <x v="0"/>
    <x v="0"/>
    <x v="0"/>
    <n v="4"/>
    <n v="48154"/>
    <n v="4.8154000000000002E-2"/>
    <n v="43252"/>
    <x v="0"/>
  </r>
  <r>
    <n v="60000128"/>
    <x v="7"/>
    <x v="0"/>
    <x v="0"/>
    <x v="10"/>
    <x v="0"/>
    <n v="0.13"/>
    <x v="2"/>
    <x v="5"/>
    <x v="10"/>
    <x v="46"/>
    <x v="0"/>
    <x v="0"/>
    <x v="0"/>
    <n v="4"/>
    <n v="30044"/>
    <n v="3.0044000000000001E-2"/>
    <n v="43252"/>
    <x v="0"/>
  </r>
  <r>
    <n v="60000129"/>
    <x v="41"/>
    <x v="1"/>
    <x v="1"/>
    <x v="1"/>
    <x v="0"/>
    <n v="0.12"/>
    <x v="2"/>
    <x v="13"/>
    <x v="1"/>
    <x v="47"/>
    <x v="0"/>
    <x v="0"/>
    <x v="0"/>
    <n v="1"/>
    <n v="70847"/>
    <n v="7.0846999999999993E-2"/>
    <n v="43252"/>
    <x v="0"/>
  </r>
  <r>
    <n v="60000130"/>
    <x v="40"/>
    <x v="0"/>
    <x v="1"/>
    <x v="10"/>
    <x v="0"/>
    <n v="0.15"/>
    <x v="2"/>
    <x v="1"/>
    <x v="7"/>
    <x v="6"/>
    <x v="0"/>
    <x v="0"/>
    <x v="0"/>
    <n v="1"/>
    <n v="73043"/>
    <n v="7.3042999999999997E-2"/>
    <n v="43252"/>
    <x v="0"/>
  </r>
  <r>
    <n v="60000131"/>
    <x v="18"/>
    <x v="1"/>
    <x v="0"/>
    <x v="11"/>
    <x v="0"/>
    <n v="0.21"/>
    <x v="0"/>
    <x v="4"/>
    <x v="2"/>
    <x v="28"/>
    <x v="0"/>
    <x v="0"/>
    <x v="0"/>
    <n v="0"/>
    <n v="31925"/>
    <n v="3.1925000000000002E-2"/>
    <n v="43252"/>
    <x v="0"/>
  </r>
  <r>
    <n v="60000132"/>
    <x v="31"/>
    <x v="1"/>
    <x v="0"/>
    <x v="0"/>
    <x v="0"/>
    <n v="0.11"/>
    <x v="4"/>
    <x v="10"/>
    <x v="12"/>
    <x v="26"/>
    <x v="0"/>
    <x v="0"/>
    <x v="0"/>
    <n v="0"/>
    <n v="75752"/>
    <n v="7.5752E-2"/>
    <n v="43252"/>
    <x v="0"/>
  </r>
  <r>
    <n v="60000133"/>
    <x v="1"/>
    <x v="1"/>
    <x v="0"/>
    <x v="1"/>
    <x v="0"/>
    <n v="0.21"/>
    <x v="0"/>
    <x v="8"/>
    <x v="9"/>
    <x v="31"/>
    <x v="0"/>
    <x v="0"/>
    <x v="0"/>
    <n v="0"/>
    <n v="24793"/>
    <n v="2.4792999999999999E-2"/>
    <n v="43252"/>
    <x v="0"/>
  </r>
  <r>
    <n v="60000134"/>
    <x v="23"/>
    <x v="0"/>
    <x v="1"/>
    <x v="3"/>
    <x v="0"/>
    <n v="0.28999999999999998"/>
    <x v="3"/>
    <x v="9"/>
    <x v="3"/>
    <x v="19"/>
    <x v="0"/>
    <x v="0"/>
    <x v="0"/>
    <n v="0"/>
    <n v="58103"/>
    <n v="5.8103000000000002E-2"/>
    <n v="43252"/>
    <x v="0"/>
  </r>
  <r>
    <n v="60000135"/>
    <x v="31"/>
    <x v="0"/>
    <x v="1"/>
    <x v="9"/>
    <x v="0"/>
    <n v="0.33"/>
    <x v="1"/>
    <x v="3"/>
    <x v="11"/>
    <x v="20"/>
    <x v="0"/>
    <x v="0"/>
    <x v="0"/>
    <n v="1"/>
    <n v="46478"/>
    <n v="4.6477999999999998E-2"/>
    <n v="43252"/>
    <x v="0"/>
  </r>
  <r>
    <n v="60000136"/>
    <x v="8"/>
    <x v="0"/>
    <x v="0"/>
    <x v="5"/>
    <x v="0"/>
    <n v="0.3"/>
    <x v="3"/>
    <x v="3"/>
    <x v="0"/>
    <x v="28"/>
    <x v="0"/>
    <x v="0"/>
    <x v="0"/>
    <n v="3"/>
    <n v="83401"/>
    <n v="8.3401000000000003E-2"/>
    <n v="43252"/>
    <x v="0"/>
  </r>
  <r>
    <n v="60000137"/>
    <x v="18"/>
    <x v="0"/>
    <x v="0"/>
    <x v="2"/>
    <x v="0"/>
    <n v="0.25"/>
    <x v="3"/>
    <x v="13"/>
    <x v="3"/>
    <x v="30"/>
    <x v="0"/>
    <x v="0"/>
    <x v="0"/>
    <n v="0"/>
    <n v="61812"/>
    <n v="6.1811999999999999E-2"/>
    <n v="43252"/>
    <x v="0"/>
  </r>
  <r>
    <n v="60000138"/>
    <x v="23"/>
    <x v="0"/>
    <x v="0"/>
    <x v="3"/>
    <x v="0"/>
    <n v="0.33"/>
    <x v="1"/>
    <x v="0"/>
    <x v="6"/>
    <x v="41"/>
    <x v="0"/>
    <x v="0"/>
    <x v="0"/>
    <n v="0"/>
    <n v="58973"/>
    <n v="5.8972999999999998E-2"/>
    <n v="43252"/>
    <x v="0"/>
  </r>
  <r>
    <n v="60000139"/>
    <x v="10"/>
    <x v="0"/>
    <x v="1"/>
    <x v="6"/>
    <x v="0"/>
    <n v="0.23"/>
    <x v="0"/>
    <x v="11"/>
    <x v="5"/>
    <x v="34"/>
    <x v="0"/>
    <x v="0"/>
    <x v="0"/>
    <n v="0"/>
    <n v="36477"/>
    <n v="3.6477000000000002E-2"/>
    <n v="43252"/>
    <x v="0"/>
  </r>
  <r>
    <n v="60000140"/>
    <x v="1"/>
    <x v="1"/>
    <x v="1"/>
    <x v="9"/>
    <x v="0"/>
    <n v="0.33"/>
    <x v="1"/>
    <x v="1"/>
    <x v="7"/>
    <x v="39"/>
    <x v="0"/>
    <x v="0"/>
    <x v="0"/>
    <n v="4"/>
    <n v="33098"/>
    <n v="3.3098000000000002E-2"/>
    <n v="43252"/>
    <x v="0"/>
  </r>
  <r>
    <n v="60000141"/>
    <x v="18"/>
    <x v="0"/>
    <x v="1"/>
    <x v="1"/>
    <x v="0"/>
    <n v="0.12"/>
    <x v="2"/>
    <x v="0"/>
    <x v="12"/>
    <x v="44"/>
    <x v="0"/>
    <x v="0"/>
    <x v="0"/>
    <n v="0"/>
    <n v="71611"/>
    <n v="7.1610999999999994E-2"/>
    <n v="43252"/>
    <x v="0"/>
  </r>
  <r>
    <n v="60000142"/>
    <x v="16"/>
    <x v="1"/>
    <x v="1"/>
    <x v="0"/>
    <x v="0"/>
    <n v="0.38"/>
    <x v="1"/>
    <x v="10"/>
    <x v="12"/>
    <x v="43"/>
    <x v="0"/>
    <x v="0"/>
    <x v="0"/>
    <n v="0"/>
    <n v="29276"/>
    <n v="2.9276E-2"/>
    <n v="43252"/>
    <x v="0"/>
  </r>
  <r>
    <n v="60000143"/>
    <x v="34"/>
    <x v="0"/>
    <x v="1"/>
    <x v="0"/>
    <x v="0"/>
    <n v="0.35"/>
    <x v="1"/>
    <x v="7"/>
    <x v="0"/>
    <x v="14"/>
    <x v="0"/>
    <x v="0"/>
    <x v="0"/>
    <n v="2"/>
    <n v="26313"/>
    <n v="2.6313E-2"/>
    <n v="43252"/>
    <x v="0"/>
  </r>
  <r>
    <n v="60000144"/>
    <x v="37"/>
    <x v="1"/>
    <x v="0"/>
    <x v="8"/>
    <x v="0"/>
    <n v="0.15"/>
    <x v="2"/>
    <x v="4"/>
    <x v="2"/>
    <x v="35"/>
    <x v="0"/>
    <x v="0"/>
    <x v="0"/>
    <n v="0"/>
    <n v="35278"/>
    <n v="3.5277999999999997E-2"/>
    <n v="43252"/>
    <x v="0"/>
  </r>
  <r>
    <n v="60000145"/>
    <x v="40"/>
    <x v="1"/>
    <x v="0"/>
    <x v="1"/>
    <x v="0"/>
    <n v="0.16"/>
    <x v="2"/>
    <x v="10"/>
    <x v="11"/>
    <x v="14"/>
    <x v="0"/>
    <x v="0"/>
    <x v="0"/>
    <n v="2"/>
    <n v="72189"/>
    <n v="7.2189000000000003E-2"/>
    <n v="43252"/>
    <x v="0"/>
  </r>
  <r>
    <n v="60000146"/>
    <x v="44"/>
    <x v="0"/>
    <x v="1"/>
    <x v="1"/>
    <x v="0"/>
    <n v="0.19"/>
    <x v="0"/>
    <x v="5"/>
    <x v="6"/>
    <x v="40"/>
    <x v="0"/>
    <x v="0"/>
    <x v="0"/>
    <n v="0"/>
    <n v="47169"/>
    <n v="4.7169000000000003E-2"/>
    <n v="43252"/>
    <x v="0"/>
  </r>
  <r>
    <n v="60000147"/>
    <x v="16"/>
    <x v="1"/>
    <x v="0"/>
    <x v="7"/>
    <x v="0"/>
    <n v="0.37"/>
    <x v="1"/>
    <x v="15"/>
    <x v="12"/>
    <x v="33"/>
    <x v="0"/>
    <x v="0"/>
    <x v="0"/>
    <n v="0"/>
    <n v="33136"/>
    <n v="3.3135999999999999E-2"/>
    <n v="43252"/>
    <x v="0"/>
  </r>
  <r>
    <n v="60000148"/>
    <x v="20"/>
    <x v="0"/>
    <x v="1"/>
    <x v="1"/>
    <x v="0"/>
    <n v="0.18"/>
    <x v="2"/>
    <x v="4"/>
    <x v="4"/>
    <x v="25"/>
    <x v="0"/>
    <x v="0"/>
    <x v="0"/>
    <n v="7"/>
    <n v="60885"/>
    <n v="6.0885000000000002E-2"/>
    <n v="43252"/>
    <x v="0"/>
  </r>
  <r>
    <n v="60000149"/>
    <x v="36"/>
    <x v="0"/>
    <x v="0"/>
    <x v="11"/>
    <x v="0"/>
    <n v="0.2"/>
    <x v="0"/>
    <x v="8"/>
    <x v="2"/>
    <x v="33"/>
    <x v="0"/>
    <x v="0"/>
    <x v="0"/>
    <n v="2"/>
    <n v="74807"/>
    <n v="7.4806999999999998E-2"/>
    <n v="43252"/>
    <x v="0"/>
  </r>
  <r>
    <n v="60000150"/>
    <x v="33"/>
    <x v="1"/>
    <x v="1"/>
    <x v="1"/>
    <x v="0"/>
    <n v="0.1"/>
    <x v="4"/>
    <x v="10"/>
    <x v="7"/>
    <x v="0"/>
    <x v="0"/>
    <x v="0"/>
    <x v="0"/>
    <n v="5"/>
    <n v="60944"/>
    <n v="6.0943999999999998E-2"/>
    <n v="43252"/>
    <x v="0"/>
  </r>
  <r>
    <n v="60000151"/>
    <x v="10"/>
    <x v="0"/>
    <x v="0"/>
    <x v="9"/>
    <x v="0"/>
    <n v="0.23"/>
    <x v="0"/>
    <x v="5"/>
    <x v="12"/>
    <x v="48"/>
    <x v="0"/>
    <x v="0"/>
    <x v="0"/>
    <n v="0"/>
    <n v="58918"/>
    <n v="5.8917999999999998E-2"/>
    <n v="43252"/>
    <x v="0"/>
  </r>
  <r>
    <n v="60000152"/>
    <x v="0"/>
    <x v="0"/>
    <x v="0"/>
    <x v="9"/>
    <x v="0"/>
    <n v="0.35"/>
    <x v="1"/>
    <x v="9"/>
    <x v="8"/>
    <x v="15"/>
    <x v="0"/>
    <x v="0"/>
    <x v="0"/>
    <n v="0"/>
    <n v="37923"/>
    <n v="3.7922999999999998E-2"/>
    <n v="43252"/>
    <x v="0"/>
  </r>
  <r>
    <n v="60000153"/>
    <x v="2"/>
    <x v="1"/>
    <x v="0"/>
    <x v="2"/>
    <x v="0"/>
    <n v="0.36"/>
    <x v="1"/>
    <x v="14"/>
    <x v="1"/>
    <x v="7"/>
    <x v="0"/>
    <x v="0"/>
    <x v="0"/>
    <n v="0"/>
    <n v="75896"/>
    <n v="7.5896000000000005E-2"/>
    <n v="43252"/>
    <x v="0"/>
  </r>
  <r>
    <n v="60000154"/>
    <x v="13"/>
    <x v="1"/>
    <x v="0"/>
    <x v="2"/>
    <x v="0"/>
    <n v="0.16"/>
    <x v="2"/>
    <x v="6"/>
    <x v="1"/>
    <x v="17"/>
    <x v="0"/>
    <x v="0"/>
    <x v="0"/>
    <n v="0"/>
    <n v="39248"/>
    <n v="3.9247999999999998E-2"/>
    <n v="43252"/>
    <x v="0"/>
  </r>
  <r>
    <n v="60000155"/>
    <x v="6"/>
    <x v="1"/>
    <x v="1"/>
    <x v="10"/>
    <x v="0"/>
    <n v="0.32"/>
    <x v="1"/>
    <x v="15"/>
    <x v="6"/>
    <x v="1"/>
    <x v="0"/>
    <x v="0"/>
    <x v="0"/>
    <n v="2"/>
    <n v="61793"/>
    <n v="6.1793000000000001E-2"/>
    <n v="43252"/>
    <x v="0"/>
  </r>
  <r>
    <n v="60000156"/>
    <x v="1"/>
    <x v="1"/>
    <x v="1"/>
    <x v="11"/>
    <x v="0"/>
    <n v="0.35"/>
    <x v="1"/>
    <x v="14"/>
    <x v="10"/>
    <x v="32"/>
    <x v="0"/>
    <x v="0"/>
    <x v="0"/>
    <n v="0"/>
    <n v="84062"/>
    <n v="8.4061999999999998E-2"/>
    <n v="43252"/>
    <x v="0"/>
  </r>
  <r>
    <n v="60000157"/>
    <x v="43"/>
    <x v="1"/>
    <x v="1"/>
    <x v="2"/>
    <x v="0"/>
    <n v="0.11"/>
    <x v="4"/>
    <x v="13"/>
    <x v="6"/>
    <x v="38"/>
    <x v="0"/>
    <x v="0"/>
    <x v="0"/>
    <n v="6"/>
    <n v="50759"/>
    <n v="5.0758999999999999E-2"/>
    <n v="43252"/>
    <x v="0"/>
  </r>
  <r>
    <n v="60000158"/>
    <x v="13"/>
    <x v="1"/>
    <x v="0"/>
    <x v="8"/>
    <x v="0"/>
    <n v="0.31"/>
    <x v="3"/>
    <x v="2"/>
    <x v="4"/>
    <x v="38"/>
    <x v="0"/>
    <x v="0"/>
    <x v="0"/>
    <n v="6"/>
    <n v="29568"/>
    <n v="2.9568000000000001E-2"/>
    <n v="43252"/>
    <x v="0"/>
  </r>
  <r>
    <n v="60000159"/>
    <x v="27"/>
    <x v="0"/>
    <x v="1"/>
    <x v="6"/>
    <x v="0"/>
    <n v="0.27"/>
    <x v="3"/>
    <x v="4"/>
    <x v="7"/>
    <x v="47"/>
    <x v="0"/>
    <x v="0"/>
    <x v="0"/>
    <n v="3"/>
    <n v="71682"/>
    <n v="7.1681999999999996E-2"/>
    <n v="43252"/>
    <x v="0"/>
  </r>
  <r>
    <n v="60000160"/>
    <x v="33"/>
    <x v="1"/>
    <x v="1"/>
    <x v="7"/>
    <x v="0"/>
    <n v="0.19"/>
    <x v="0"/>
    <x v="6"/>
    <x v="12"/>
    <x v="40"/>
    <x v="0"/>
    <x v="0"/>
    <x v="0"/>
    <n v="0"/>
    <n v="70908"/>
    <n v="7.0907999999999999E-2"/>
    <n v="43252"/>
    <x v="0"/>
  </r>
  <r>
    <n v="60000161"/>
    <x v="6"/>
    <x v="1"/>
    <x v="0"/>
    <x v="5"/>
    <x v="0"/>
    <n v="0.27"/>
    <x v="3"/>
    <x v="5"/>
    <x v="12"/>
    <x v="12"/>
    <x v="0"/>
    <x v="0"/>
    <x v="0"/>
    <n v="4"/>
    <n v="62729"/>
    <n v="6.2728999999999993E-2"/>
    <n v="43252"/>
    <x v="0"/>
  </r>
  <r>
    <n v="60000162"/>
    <x v="45"/>
    <x v="0"/>
    <x v="0"/>
    <x v="6"/>
    <x v="0"/>
    <n v="0.21"/>
    <x v="0"/>
    <x v="1"/>
    <x v="12"/>
    <x v="45"/>
    <x v="0"/>
    <x v="0"/>
    <x v="0"/>
    <n v="5"/>
    <n v="51872"/>
    <n v="5.1872000000000001E-2"/>
    <n v="43252"/>
    <x v="0"/>
  </r>
  <r>
    <n v="60000163"/>
    <x v="13"/>
    <x v="0"/>
    <x v="0"/>
    <x v="0"/>
    <x v="0"/>
    <n v="0.37"/>
    <x v="1"/>
    <x v="3"/>
    <x v="3"/>
    <x v="48"/>
    <x v="0"/>
    <x v="0"/>
    <x v="0"/>
    <n v="0"/>
    <n v="41202"/>
    <n v="4.1202000000000003E-2"/>
    <n v="43252"/>
    <x v="0"/>
  </r>
  <r>
    <n v="60000164"/>
    <x v="12"/>
    <x v="1"/>
    <x v="1"/>
    <x v="10"/>
    <x v="0"/>
    <n v="0.33"/>
    <x v="1"/>
    <x v="7"/>
    <x v="4"/>
    <x v="24"/>
    <x v="0"/>
    <x v="0"/>
    <x v="0"/>
    <n v="6"/>
    <n v="54180"/>
    <n v="5.4179999999999999E-2"/>
    <n v="43252"/>
    <x v="0"/>
  </r>
  <r>
    <n v="60000165"/>
    <x v="17"/>
    <x v="1"/>
    <x v="0"/>
    <x v="7"/>
    <x v="0"/>
    <n v="0.12"/>
    <x v="2"/>
    <x v="11"/>
    <x v="8"/>
    <x v="47"/>
    <x v="0"/>
    <x v="0"/>
    <x v="0"/>
    <n v="6"/>
    <n v="59795"/>
    <n v="5.9795000000000001E-2"/>
    <n v="43252"/>
    <x v="0"/>
  </r>
  <r>
    <n v="60000166"/>
    <x v="5"/>
    <x v="1"/>
    <x v="0"/>
    <x v="9"/>
    <x v="0"/>
    <n v="0.37"/>
    <x v="1"/>
    <x v="3"/>
    <x v="11"/>
    <x v="19"/>
    <x v="0"/>
    <x v="0"/>
    <x v="0"/>
    <n v="0"/>
    <n v="26722"/>
    <n v="2.6721999999999999E-2"/>
    <n v="43252"/>
    <x v="0"/>
  </r>
  <r>
    <n v="60000167"/>
    <x v="36"/>
    <x v="1"/>
    <x v="0"/>
    <x v="0"/>
    <x v="0"/>
    <n v="0.36"/>
    <x v="1"/>
    <x v="13"/>
    <x v="7"/>
    <x v="4"/>
    <x v="0"/>
    <x v="0"/>
    <x v="0"/>
    <n v="0"/>
    <n v="39648"/>
    <n v="3.9648000000000003E-2"/>
    <n v="43252"/>
    <x v="0"/>
  </r>
  <r>
    <n v="60000168"/>
    <x v="30"/>
    <x v="1"/>
    <x v="1"/>
    <x v="1"/>
    <x v="0"/>
    <n v="0.35"/>
    <x v="1"/>
    <x v="11"/>
    <x v="4"/>
    <x v="30"/>
    <x v="0"/>
    <x v="0"/>
    <x v="0"/>
    <n v="5"/>
    <n v="63995"/>
    <n v="6.3994999999999996E-2"/>
    <n v="43252"/>
    <x v="0"/>
  </r>
  <r>
    <n v="60000169"/>
    <x v="32"/>
    <x v="1"/>
    <x v="1"/>
    <x v="5"/>
    <x v="0"/>
    <n v="0.25"/>
    <x v="3"/>
    <x v="7"/>
    <x v="7"/>
    <x v="26"/>
    <x v="0"/>
    <x v="0"/>
    <x v="0"/>
    <n v="5"/>
    <n v="76037"/>
    <n v="7.6036999999999993E-2"/>
    <n v="43252"/>
    <x v="0"/>
  </r>
  <r>
    <n v="60000170"/>
    <x v="23"/>
    <x v="0"/>
    <x v="1"/>
    <x v="4"/>
    <x v="0"/>
    <n v="0.17"/>
    <x v="2"/>
    <x v="3"/>
    <x v="1"/>
    <x v="4"/>
    <x v="0"/>
    <x v="0"/>
    <x v="0"/>
    <n v="0"/>
    <n v="56856"/>
    <n v="5.6855999999999997E-2"/>
    <n v="43252"/>
    <x v="0"/>
  </r>
  <r>
    <n v="60000171"/>
    <x v="39"/>
    <x v="0"/>
    <x v="0"/>
    <x v="10"/>
    <x v="0"/>
    <n v="0.33"/>
    <x v="1"/>
    <x v="8"/>
    <x v="2"/>
    <x v="48"/>
    <x v="0"/>
    <x v="0"/>
    <x v="0"/>
    <n v="0"/>
    <n v="60704"/>
    <n v="6.0704000000000001E-2"/>
    <n v="43252"/>
    <x v="0"/>
  </r>
  <r>
    <n v="60000172"/>
    <x v="18"/>
    <x v="1"/>
    <x v="0"/>
    <x v="3"/>
    <x v="0"/>
    <n v="0.25"/>
    <x v="3"/>
    <x v="0"/>
    <x v="0"/>
    <x v="41"/>
    <x v="0"/>
    <x v="0"/>
    <x v="0"/>
    <n v="0"/>
    <n v="50080"/>
    <n v="5.008E-2"/>
    <n v="43252"/>
    <x v="0"/>
  </r>
  <r>
    <n v="60000173"/>
    <x v="19"/>
    <x v="1"/>
    <x v="0"/>
    <x v="7"/>
    <x v="0"/>
    <n v="0.21"/>
    <x v="0"/>
    <x v="10"/>
    <x v="6"/>
    <x v="7"/>
    <x v="0"/>
    <x v="0"/>
    <x v="0"/>
    <n v="0"/>
    <n v="26389"/>
    <n v="2.6388999999999999E-2"/>
    <n v="43252"/>
    <x v="0"/>
  </r>
  <r>
    <n v="60000174"/>
    <x v="26"/>
    <x v="1"/>
    <x v="0"/>
    <x v="3"/>
    <x v="0"/>
    <n v="0.25"/>
    <x v="3"/>
    <x v="14"/>
    <x v="1"/>
    <x v="21"/>
    <x v="0"/>
    <x v="0"/>
    <x v="0"/>
    <n v="0"/>
    <n v="29057"/>
    <n v="2.9056999999999999E-2"/>
    <n v="43252"/>
    <x v="0"/>
  </r>
  <r>
    <n v="60000175"/>
    <x v="30"/>
    <x v="1"/>
    <x v="1"/>
    <x v="2"/>
    <x v="0"/>
    <n v="0.14000000000000001"/>
    <x v="2"/>
    <x v="1"/>
    <x v="6"/>
    <x v="22"/>
    <x v="0"/>
    <x v="0"/>
    <x v="0"/>
    <n v="6"/>
    <n v="33747"/>
    <n v="3.3746999999999999E-2"/>
    <n v="43252"/>
    <x v="0"/>
  </r>
  <r>
    <n v="60000176"/>
    <x v="39"/>
    <x v="1"/>
    <x v="1"/>
    <x v="8"/>
    <x v="0"/>
    <n v="0.27"/>
    <x v="3"/>
    <x v="5"/>
    <x v="8"/>
    <x v="2"/>
    <x v="0"/>
    <x v="0"/>
    <x v="0"/>
    <n v="2"/>
    <n v="39675"/>
    <n v="3.9675000000000002E-2"/>
    <n v="43252"/>
    <x v="0"/>
  </r>
  <r>
    <n v="60000177"/>
    <x v="9"/>
    <x v="0"/>
    <x v="0"/>
    <x v="4"/>
    <x v="0"/>
    <n v="0.34"/>
    <x v="1"/>
    <x v="10"/>
    <x v="7"/>
    <x v="20"/>
    <x v="0"/>
    <x v="0"/>
    <x v="0"/>
    <n v="3"/>
    <n v="32052"/>
    <n v="3.2051999999999997E-2"/>
    <n v="43252"/>
    <x v="0"/>
  </r>
  <r>
    <n v="60000178"/>
    <x v="9"/>
    <x v="1"/>
    <x v="1"/>
    <x v="1"/>
    <x v="0"/>
    <n v="0.31"/>
    <x v="3"/>
    <x v="14"/>
    <x v="2"/>
    <x v="17"/>
    <x v="0"/>
    <x v="0"/>
    <x v="0"/>
    <n v="6"/>
    <n v="84649"/>
    <n v="8.4649000000000002E-2"/>
    <n v="43252"/>
    <x v="0"/>
  </r>
  <r>
    <n v="60000179"/>
    <x v="39"/>
    <x v="0"/>
    <x v="1"/>
    <x v="11"/>
    <x v="0"/>
    <n v="0.27"/>
    <x v="3"/>
    <x v="6"/>
    <x v="12"/>
    <x v="47"/>
    <x v="0"/>
    <x v="0"/>
    <x v="0"/>
    <n v="0"/>
    <n v="54095"/>
    <n v="5.4094999999999997E-2"/>
    <n v="43252"/>
    <x v="0"/>
  </r>
  <r>
    <n v="60000180"/>
    <x v="7"/>
    <x v="0"/>
    <x v="1"/>
    <x v="11"/>
    <x v="0"/>
    <n v="0.33"/>
    <x v="1"/>
    <x v="14"/>
    <x v="1"/>
    <x v="43"/>
    <x v="0"/>
    <x v="0"/>
    <x v="0"/>
    <n v="1"/>
    <n v="77038"/>
    <n v="7.7037999999999995E-2"/>
    <n v="43252"/>
    <x v="0"/>
  </r>
  <r>
    <n v="60000181"/>
    <x v="17"/>
    <x v="1"/>
    <x v="0"/>
    <x v="0"/>
    <x v="0"/>
    <n v="0.12"/>
    <x v="2"/>
    <x v="14"/>
    <x v="0"/>
    <x v="35"/>
    <x v="0"/>
    <x v="0"/>
    <x v="0"/>
    <n v="0"/>
    <n v="51058"/>
    <n v="5.1057999999999999E-2"/>
    <n v="43252"/>
    <x v="0"/>
  </r>
  <r>
    <n v="60000182"/>
    <x v="21"/>
    <x v="0"/>
    <x v="1"/>
    <x v="11"/>
    <x v="0"/>
    <n v="0.11"/>
    <x v="4"/>
    <x v="15"/>
    <x v="0"/>
    <x v="43"/>
    <x v="0"/>
    <x v="0"/>
    <x v="0"/>
    <n v="0"/>
    <n v="84183"/>
    <n v="8.4182999999999994E-2"/>
    <n v="43252"/>
    <x v="0"/>
  </r>
  <r>
    <n v="60000183"/>
    <x v="4"/>
    <x v="0"/>
    <x v="0"/>
    <x v="3"/>
    <x v="0"/>
    <n v="0.33"/>
    <x v="1"/>
    <x v="0"/>
    <x v="12"/>
    <x v="35"/>
    <x v="0"/>
    <x v="0"/>
    <x v="0"/>
    <n v="0"/>
    <n v="48307"/>
    <n v="4.8307000000000003E-2"/>
    <n v="43252"/>
    <x v="0"/>
  </r>
  <r>
    <n v="60000184"/>
    <x v="41"/>
    <x v="1"/>
    <x v="0"/>
    <x v="8"/>
    <x v="0"/>
    <n v="0.25"/>
    <x v="3"/>
    <x v="7"/>
    <x v="4"/>
    <x v="10"/>
    <x v="0"/>
    <x v="0"/>
    <x v="0"/>
    <n v="1"/>
    <n v="26567"/>
    <n v="2.6567E-2"/>
    <n v="43252"/>
    <x v="0"/>
  </r>
  <r>
    <n v="60000185"/>
    <x v="44"/>
    <x v="1"/>
    <x v="1"/>
    <x v="7"/>
    <x v="0"/>
    <n v="0.37"/>
    <x v="1"/>
    <x v="7"/>
    <x v="12"/>
    <x v="1"/>
    <x v="0"/>
    <x v="0"/>
    <x v="0"/>
    <n v="0"/>
    <n v="60974"/>
    <n v="6.0974E-2"/>
    <n v="43252"/>
    <x v="0"/>
  </r>
  <r>
    <n v="60000186"/>
    <x v="1"/>
    <x v="1"/>
    <x v="0"/>
    <x v="2"/>
    <x v="0"/>
    <n v="0.16"/>
    <x v="2"/>
    <x v="6"/>
    <x v="4"/>
    <x v="8"/>
    <x v="0"/>
    <x v="0"/>
    <x v="0"/>
    <n v="2"/>
    <n v="42439"/>
    <n v="4.2438999999999998E-2"/>
    <n v="43252"/>
    <x v="0"/>
  </r>
  <r>
    <n v="60000187"/>
    <x v="26"/>
    <x v="1"/>
    <x v="0"/>
    <x v="1"/>
    <x v="0"/>
    <n v="0.38"/>
    <x v="1"/>
    <x v="12"/>
    <x v="7"/>
    <x v="44"/>
    <x v="0"/>
    <x v="0"/>
    <x v="0"/>
    <n v="0"/>
    <n v="55285"/>
    <n v="5.5285000000000001E-2"/>
    <n v="43252"/>
    <x v="0"/>
  </r>
  <r>
    <n v="60000188"/>
    <x v="10"/>
    <x v="1"/>
    <x v="1"/>
    <x v="1"/>
    <x v="0"/>
    <n v="0.17"/>
    <x v="2"/>
    <x v="5"/>
    <x v="4"/>
    <x v="13"/>
    <x v="0"/>
    <x v="0"/>
    <x v="0"/>
    <n v="4"/>
    <n v="53544"/>
    <n v="5.3544000000000001E-2"/>
    <n v="43252"/>
    <x v="0"/>
  </r>
  <r>
    <n v="60000189"/>
    <x v="35"/>
    <x v="1"/>
    <x v="0"/>
    <x v="0"/>
    <x v="0"/>
    <n v="0.26"/>
    <x v="3"/>
    <x v="11"/>
    <x v="1"/>
    <x v="36"/>
    <x v="0"/>
    <x v="0"/>
    <x v="0"/>
    <n v="7"/>
    <n v="73705"/>
    <n v="7.3705000000000007E-2"/>
    <n v="43252"/>
    <x v="0"/>
  </r>
  <r>
    <n v="60000190"/>
    <x v="15"/>
    <x v="0"/>
    <x v="1"/>
    <x v="10"/>
    <x v="0"/>
    <n v="0.19"/>
    <x v="0"/>
    <x v="5"/>
    <x v="0"/>
    <x v="30"/>
    <x v="0"/>
    <x v="0"/>
    <x v="0"/>
    <n v="0"/>
    <n v="45558"/>
    <n v="4.5558000000000001E-2"/>
    <n v="43252"/>
    <x v="0"/>
  </r>
  <r>
    <n v="60000191"/>
    <x v="23"/>
    <x v="1"/>
    <x v="0"/>
    <x v="10"/>
    <x v="0"/>
    <n v="0.22"/>
    <x v="0"/>
    <x v="7"/>
    <x v="6"/>
    <x v="13"/>
    <x v="0"/>
    <x v="0"/>
    <x v="0"/>
    <n v="0"/>
    <n v="52826"/>
    <n v="5.2825999999999998E-2"/>
    <n v="43252"/>
    <x v="0"/>
  </r>
  <r>
    <n v="60000192"/>
    <x v="44"/>
    <x v="0"/>
    <x v="0"/>
    <x v="5"/>
    <x v="0"/>
    <n v="0.23"/>
    <x v="0"/>
    <x v="9"/>
    <x v="6"/>
    <x v="23"/>
    <x v="0"/>
    <x v="0"/>
    <x v="0"/>
    <n v="1"/>
    <n v="82293"/>
    <n v="8.2293000000000005E-2"/>
    <n v="43252"/>
    <x v="0"/>
  </r>
  <r>
    <n v="60000193"/>
    <x v="30"/>
    <x v="1"/>
    <x v="1"/>
    <x v="3"/>
    <x v="0"/>
    <n v="0.21"/>
    <x v="0"/>
    <x v="2"/>
    <x v="0"/>
    <x v="26"/>
    <x v="0"/>
    <x v="0"/>
    <x v="0"/>
    <n v="0"/>
    <n v="40443"/>
    <n v="4.0443E-2"/>
    <n v="43252"/>
    <x v="0"/>
  </r>
  <r>
    <n v="60000194"/>
    <x v="30"/>
    <x v="0"/>
    <x v="0"/>
    <x v="3"/>
    <x v="0"/>
    <n v="0.18"/>
    <x v="2"/>
    <x v="14"/>
    <x v="2"/>
    <x v="36"/>
    <x v="0"/>
    <x v="0"/>
    <x v="0"/>
    <n v="0"/>
    <n v="43835"/>
    <n v="4.3834999999999999E-2"/>
    <n v="43252"/>
    <x v="0"/>
  </r>
  <r>
    <n v="60000195"/>
    <x v="32"/>
    <x v="1"/>
    <x v="0"/>
    <x v="3"/>
    <x v="0"/>
    <n v="0.3"/>
    <x v="3"/>
    <x v="15"/>
    <x v="6"/>
    <x v="13"/>
    <x v="0"/>
    <x v="0"/>
    <x v="0"/>
    <n v="3"/>
    <n v="49676"/>
    <n v="4.9675999999999998E-2"/>
    <n v="43252"/>
    <x v="0"/>
  </r>
  <r>
    <n v="60000196"/>
    <x v="45"/>
    <x v="1"/>
    <x v="0"/>
    <x v="4"/>
    <x v="0"/>
    <n v="0.16"/>
    <x v="2"/>
    <x v="0"/>
    <x v="9"/>
    <x v="38"/>
    <x v="0"/>
    <x v="0"/>
    <x v="0"/>
    <n v="0"/>
    <n v="58756"/>
    <n v="5.8756000000000003E-2"/>
    <n v="43252"/>
    <x v="0"/>
  </r>
  <r>
    <n v="60000197"/>
    <x v="19"/>
    <x v="1"/>
    <x v="0"/>
    <x v="0"/>
    <x v="0"/>
    <n v="0.22"/>
    <x v="0"/>
    <x v="6"/>
    <x v="0"/>
    <x v="40"/>
    <x v="0"/>
    <x v="0"/>
    <x v="0"/>
    <n v="0"/>
    <n v="44749"/>
    <n v="4.4748999999999997E-2"/>
    <n v="43252"/>
    <x v="0"/>
  </r>
  <r>
    <n v="60000198"/>
    <x v="12"/>
    <x v="0"/>
    <x v="0"/>
    <x v="8"/>
    <x v="0"/>
    <n v="0.3"/>
    <x v="3"/>
    <x v="5"/>
    <x v="5"/>
    <x v="3"/>
    <x v="0"/>
    <x v="0"/>
    <x v="0"/>
    <n v="0"/>
    <n v="51884"/>
    <n v="5.1884E-2"/>
    <n v="43252"/>
    <x v="0"/>
  </r>
  <r>
    <n v="60000199"/>
    <x v="15"/>
    <x v="0"/>
    <x v="0"/>
    <x v="4"/>
    <x v="0"/>
    <n v="0.33"/>
    <x v="1"/>
    <x v="4"/>
    <x v="3"/>
    <x v="9"/>
    <x v="0"/>
    <x v="0"/>
    <x v="0"/>
    <n v="0"/>
    <n v="50267"/>
    <n v="5.0266999999999999E-2"/>
    <n v="43252"/>
    <x v="0"/>
  </r>
  <r>
    <n v="60000200"/>
    <x v="13"/>
    <x v="1"/>
    <x v="1"/>
    <x v="7"/>
    <x v="0"/>
    <n v="0.25"/>
    <x v="3"/>
    <x v="1"/>
    <x v="6"/>
    <x v="1"/>
    <x v="0"/>
    <x v="0"/>
    <x v="0"/>
    <n v="0"/>
    <n v="31636"/>
    <n v="3.1635999999999997E-2"/>
    <n v="43252"/>
    <x v="0"/>
  </r>
  <r>
    <n v="60000201"/>
    <x v="10"/>
    <x v="1"/>
    <x v="0"/>
    <x v="5"/>
    <x v="0"/>
    <n v="0.25"/>
    <x v="3"/>
    <x v="2"/>
    <x v="8"/>
    <x v="8"/>
    <x v="0"/>
    <x v="0"/>
    <x v="0"/>
    <n v="3"/>
    <n v="77924"/>
    <n v="7.7923999999999993E-2"/>
    <n v="43252"/>
    <x v="0"/>
  </r>
  <r>
    <n v="60000202"/>
    <x v="23"/>
    <x v="1"/>
    <x v="0"/>
    <x v="10"/>
    <x v="0"/>
    <n v="0.12"/>
    <x v="2"/>
    <x v="6"/>
    <x v="5"/>
    <x v="1"/>
    <x v="0"/>
    <x v="0"/>
    <x v="0"/>
    <n v="0"/>
    <n v="35126"/>
    <n v="3.5125999999999998E-2"/>
    <n v="43252"/>
    <x v="0"/>
  </r>
  <r>
    <n v="60000203"/>
    <x v="4"/>
    <x v="1"/>
    <x v="0"/>
    <x v="3"/>
    <x v="0"/>
    <n v="0.1"/>
    <x v="4"/>
    <x v="5"/>
    <x v="4"/>
    <x v="16"/>
    <x v="0"/>
    <x v="0"/>
    <x v="0"/>
    <n v="2"/>
    <n v="74576"/>
    <n v="7.4576000000000003E-2"/>
    <n v="43252"/>
    <x v="0"/>
  </r>
  <r>
    <n v="60000204"/>
    <x v="5"/>
    <x v="0"/>
    <x v="1"/>
    <x v="4"/>
    <x v="0"/>
    <n v="0.31"/>
    <x v="3"/>
    <x v="14"/>
    <x v="1"/>
    <x v="28"/>
    <x v="0"/>
    <x v="0"/>
    <x v="0"/>
    <n v="0"/>
    <n v="42426"/>
    <n v="4.2425999999999998E-2"/>
    <n v="43252"/>
    <x v="0"/>
  </r>
  <r>
    <n v="60000205"/>
    <x v="43"/>
    <x v="1"/>
    <x v="1"/>
    <x v="2"/>
    <x v="0"/>
    <n v="0.2"/>
    <x v="0"/>
    <x v="13"/>
    <x v="6"/>
    <x v="38"/>
    <x v="0"/>
    <x v="0"/>
    <x v="0"/>
    <n v="0"/>
    <n v="41369"/>
    <n v="4.1369000000000003E-2"/>
    <n v="43252"/>
    <x v="0"/>
  </r>
  <r>
    <n v="60000206"/>
    <x v="41"/>
    <x v="0"/>
    <x v="0"/>
    <x v="3"/>
    <x v="0"/>
    <n v="0.28999999999999998"/>
    <x v="3"/>
    <x v="4"/>
    <x v="0"/>
    <x v="48"/>
    <x v="0"/>
    <x v="0"/>
    <x v="0"/>
    <n v="2"/>
    <n v="80132"/>
    <n v="8.0131999999999995E-2"/>
    <n v="43252"/>
    <x v="0"/>
  </r>
  <r>
    <n v="60000207"/>
    <x v="35"/>
    <x v="1"/>
    <x v="0"/>
    <x v="10"/>
    <x v="0"/>
    <n v="0.17"/>
    <x v="2"/>
    <x v="3"/>
    <x v="8"/>
    <x v="21"/>
    <x v="0"/>
    <x v="0"/>
    <x v="0"/>
    <n v="0"/>
    <n v="54339"/>
    <n v="5.4338999999999998E-2"/>
    <n v="43252"/>
    <x v="0"/>
  </r>
  <r>
    <n v="60000208"/>
    <x v="34"/>
    <x v="0"/>
    <x v="1"/>
    <x v="2"/>
    <x v="0"/>
    <n v="0.34"/>
    <x v="1"/>
    <x v="0"/>
    <x v="1"/>
    <x v="41"/>
    <x v="0"/>
    <x v="0"/>
    <x v="0"/>
    <n v="2"/>
    <n v="29293"/>
    <n v="2.9293E-2"/>
    <n v="43252"/>
    <x v="0"/>
  </r>
  <r>
    <n v="60000209"/>
    <x v="13"/>
    <x v="0"/>
    <x v="0"/>
    <x v="8"/>
    <x v="0"/>
    <n v="0.35"/>
    <x v="1"/>
    <x v="12"/>
    <x v="1"/>
    <x v="13"/>
    <x v="0"/>
    <x v="0"/>
    <x v="0"/>
    <n v="2"/>
    <n v="49172"/>
    <n v="4.9172E-2"/>
    <n v="43252"/>
    <x v="0"/>
  </r>
  <r>
    <n v="60000210"/>
    <x v="18"/>
    <x v="1"/>
    <x v="0"/>
    <x v="2"/>
    <x v="0"/>
    <n v="0.25"/>
    <x v="3"/>
    <x v="13"/>
    <x v="4"/>
    <x v="12"/>
    <x v="0"/>
    <x v="0"/>
    <x v="0"/>
    <n v="1"/>
    <n v="56939"/>
    <n v="5.6938999999999997E-2"/>
    <n v="43252"/>
    <x v="0"/>
  </r>
  <r>
    <n v="60000211"/>
    <x v="40"/>
    <x v="1"/>
    <x v="1"/>
    <x v="0"/>
    <x v="0"/>
    <n v="0.13"/>
    <x v="2"/>
    <x v="15"/>
    <x v="1"/>
    <x v="46"/>
    <x v="0"/>
    <x v="0"/>
    <x v="0"/>
    <n v="6"/>
    <n v="68211"/>
    <n v="6.8210999999999994E-2"/>
    <n v="43252"/>
    <x v="0"/>
  </r>
  <r>
    <n v="60000212"/>
    <x v="39"/>
    <x v="1"/>
    <x v="0"/>
    <x v="5"/>
    <x v="0"/>
    <n v="0.3"/>
    <x v="3"/>
    <x v="5"/>
    <x v="8"/>
    <x v="46"/>
    <x v="0"/>
    <x v="0"/>
    <x v="0"/>
    <n v="3"/>
    <n v="28402"/>
    <n v="2.8402E-2"/>
    <n v="43252"/>
    <x v="0"/>
  </r>
  <r>
    <n v="60000213"/>
    <x v="32"/>
    <x v="0"/>
    <x v="0"/>
    <x v="0"/>
    <x v="0"/>
    <n v="0.31"/>
    <x v="3"/>
    <x v="11"/>
    <x v="4"/>
    <x v="26"/>
    <x v="0"/>
    <x v="0"/>
    <x v="0"/>
    <n v="7"/>
    <n v="55637"/>
    <n v="5.5636999999999999E-2"/>
    <n v="43252"/>
    <x v="0"/>
  </r>
  <r>
    <n v="60000214"/>
    <x v="10"/>
    <x v="1"/>
    <x v="0"/>
    <x v="0"/>
    <x v="0"/>
    <n v="0.28999999999999998"/>
    <x v="3"/>
    <x v="11"/>
    <x v="0"/>
    <x v="15"/>
    <x v="0"/>
    <x v="0"/>
    <x v="0"/>
    <n v="7"/>
    <n v="60695"/>
    <n v="6.0694999999999999E-2"/>
    <n v="43252"/>
    <x v="0"/>
  </r>
  <r>
    <n v="60000215"/>
    <x v="9"/>
    <x v="0"/>
    <x v="1"/>
    <x v="8"/>
    <x v="0"/>
    <n v="0.35"/>
    <x v="1"/>
    <x v="7"/>
    <x v="5"/>
    <x v="35"/>
    <x v="0"/>
    <x v="0"/>
    <x v="0"/>
    <n v="0"/>
    <n v="48064"/>
    <n v="4.8064000000000003E-2"/>
    <n v="43252"/>
    <x v="0"/>
  </r>
  <r>
    <n v="60000216"/>
    <x v="12"/>
    <x v="0"/>
    <x v="1"/>
    <x v="4"/>
    <x v="0"/>
    <n v="0.37"/>
    <x v="1"/>
    <x v="6"/>
    <x v="5"/>
    <x v="22"/>
    <x v="0"/>
    <x v="0"/>
    <x v="0"/>
    <n v="0"/>
    <n v="65535"/>
    <n v="6.5534999999999996E-2"/>
    <n v="43252"/>
    <x v="0"/>
  </r>
  <r>
    <n v="60000217"/>
    <x v="39"/>
    <x v="0"/>
    <x v="1"/>
    <x v="7"/>
    <x v="0"/>
    <n v="0.21"/>
    <x v="0"/>
    <x v="0"/>
    <x v="10"/>
    <x v="1"/>
    <x v="0"/>
    <x v="0"/>
    <x v="0"/>
    <n v="5"/>
    <n v="29266"/>
    <n v="2.9266E-2"/>
    <n v="43252"/>
    <x v="0"/>
  </r>
  <r>
    <n v="60000218"/>
    <x v="1"/>
    <x v="1"/>
    <x v="0"/>
    <x v="4"/>
    <x v="0"/>
    <n v="0.32"/>
    <x v="1"/>
    <x v="14"/>
    <x v="3"/>
    <x v="6"/>
    <x v="0"/>
    <x v="0"/>
    <x v="0"/>
    <n v="2"/>
    <n v="45406"/>
    <n v="4.5406000000000002E-2"/>
    <n v="43252"/>
    <x v="0"/>
  </r>
  <r>
    <n v="60000219"/>
    <x v="16"/>
    <x v="0"/>
    <x v="1"/>
    <x v="4"/>
    <x v="0"/>
    <n v="0.19"/>
    <x v="0"/>
    <x v="6"/>
    <x v="6"/>
    <x v="28"/>
    <x v="0"/>
    <x v="0"/>
    <x v="0"/>
    <n v="0"/>
    <n v="41428"/>
    <n v="4.1428E-2"/>
    <n v="43252"/>
    <x v="0"/>
  </r>
  <r>
    <n v="60000220"/>
    <x v="10"/>
    <x v="0"/>
    <x v="0"/>
    <x v="1"/>
    <x v="0"/>
    <n v="0.27"/>
    <x v="3"/>
    <x v="1"/>
    <x v="12"/>
    <x v="37"/>
    <x v="0"/>
    <x v="0"/>
    <x v="0"/>
    <n v="0"/>
    <n v="73750"/>
    <n v="7.3749999999999996E-2"/>
    <n v="43252"/>
    <x v="0"/>
  </r>
  <r>
    <n v="60000221"/>
    <x v="11"/>
    <x v="0"/>
    <x v="1"/>
    <x v="6"/>
    <x v="0"/>
    <n v="0.14000000000000001"/>
    <x v="2"/>
    <x v="12"/>
    <x v="10"/>
    <x v="18"/>
    <x v="0"/>
    <x v="0"/>
    <x v="0"/>
    <n v="2"/>
    <n v="72331"/>
    <n v="7.2331000000000006E-2"/>
    <n v="43252"/>
    <x v="0"/>
  </r>
  <r>
    <n v="60000222"/>
    <x v="10"/>
    <x v="1"/>
    <x v="0"/>
    <x v="8"/>
    <x v="0"/>
    <n v="0.2"/>
    <x v="0"/>
    <x v="15"/>
    <x v="12"/>
    <x v="8"/>
    <x v="0"/>
    <x v="0"/>
    <x v="0"/>
    <n v="0"/>
    <n v="35213"/>
    <n v="3.5213000000000001E-2"/>
    <n v="43252"/>
    <x v="0"/>
  </r>
  <r>
    <n v="60000223"/>
    <x v="31"/>
    <x v="0"/>
    <x v="1"/>
    <x v="3"/>
    <x v="0"/>
    <n v="0.13"/>
    <x v="2"/>
    <x v="13"/>
    <x v="12"/>
    <x v="12"/>
    <x v="0"/>
    <x v="0"/>
    <x v="0"/>
    <n v="4"/>
    <n v="82583"/>
    <n v="8.2583000000000004E-2"/>
    <n v="43252"/>
    <x v="0"/>
  </r>
  <r>
    <n v="60000224"/>
    <x v="6"/>
    <x v="0"/>
    <x v="0"/>
    <x v="0"/>
    <x v="0"/>
    <n v="0.28999999999999998"/>
    <x v="3"/>
    <x v="5"/>
    <x v="4"/>
    <x v="34"/>
    <x v="0"/>
    <x v="0"/>
    <x v="0"/>
    <n v="2"/>
    <n v="80511"/>
    <n v="8.0510999999999999E-2"/>
    <n v="43252"/>
    <x v="0"/>
  </r>
  <r>
    <n v="60000225"/>
    <x v="23"/>
    <x v="1"/>
    <x v="0"/>
    <x v="5"/>
    <x v="0"/>
    <n v="0.35"/>
    <x v="1"/>
    <x v="11"/>
    <x v="0"/>
    <x v="16"/>
    <x v="0"/>
    <x v="0"/>
    <x v="0"/>
    <n v="0"/>
    <n v="62373"/>
    <n v="6.2372999999999998E-2"/>
    <n v="43252"/>
    <x v="0"/>
  </r>
  <r>
    <n v="60000226"/>
    <x v="40"/>
    <x v="0"/>
    <x v="1"/>
    <x v="5"/>
    <x v="0"/>
    <n v="0.38"/>
    <x v="1"/>
    <x v="5"/>
    <x v="7"/>
    <x v="47"/>
    <x v="0"/>
    <x v="0"/>
    <x v="0"/>
    <n v="3"/>
    <n v="67931"/>
    <n v="6.7931000000000005E-2"/>
    <n v="43252"/>
    <x v="0"/>
  </r>
  <r>
    <n v="60000227"/>
    <x v="23"/>
    <x v="1"/>
    <x v="0"/>
    <x v="5"/>
    <x v="0"/>
    <n v="0.32"/>
    <x v="1"/>
    <x v="8"/>
    <x v="11"/>
    <x v="30"/>
    <x v="0"/>
    <x v="0"/>
    <x v="0"/>
    <n v="0"/>
    <n v="64359"/>
    <n v="6.4359E-2"/>
    <n v="43252"/>
    <x v="0"/>
  </r>
  <r>
    <n v="60000228"/>
    <x v="17"/>
    <x v="1"/>
    <x v="0"/>
    <x v="5"/>
    <x v="0"/>
    <n v="0.11"/>
    <x v="4"/>
    <x v="5"/>
    <x v="12"/>
    <x v="44"/>
    <x v="0"/>
    <x v="0"/>
    <x v="0"/>
    <n v="7"/>
    <n v="63840"/>
    <n v="6.3839999999999994E-2"/>
    <n v="43252"/>
    <x v="0"/>
  </r>
  <r>
    <n v="60000229"/>
    <x v="9"/>
    <x v="0"/>
    <x v="0"/>
    <x v="0"/>
    <x v="0"/>
    <n v="0.16"/>
    <x v="2"/>
    <x v="3"/>
    <x v="9"/>
    <x v="46"/>
    <x v="0"/>
    <x v="0"/>
    <x v="0"/>
    <n v="4"/>
    <n v="72038"/>
    <n v="7.2038000000000005E-2"/>
    <n v="43252"/>
    <x v="0"/>
  </r>
  <r>
    <n v="60000230"/>
    <x v="23"/>
    <x v="0"/>
    <x v="0"/>
    <x v="6"/>
    <x v="0"/>
    <n v="0.28999999999999998"/>
    <x v="3"/>
    <x v="1"/>
    <x v="3"/>
    <x v="41"/>
    <x v="0"/>
    <x v="0"/>
    <x v="0"/>
    <n v="4"/>
    <n v="26811"/>
    <n v="2.6811000000000001E-2"/>
    <n v="43252"/>
    <x v="0"/>
  </r>
  <r>
    <n v="60000231"/>
    <x v="5"/>
    <x v="0"/>
    <x v="0"/>
    <x v="0"/>
    <x v="0"/>
    <n v="0.24"/>
    <x v="0"/>
    <x v="15"/>
    <x v="4"/>
    <x v="1"/>
    <x v="0"/>
    <x v="0"/>
    <x v="0"/>
    <n v="0"/>
    <n v="23963"/>
    <n v="2.3963000000000002E-2"/>
    <n v="43252"/>
    <x v="0"/>
  </r>
  <r>
    <n v="60000232"/>
    <x v="30"/>
    <x v="1"/>
    <x v="1"/>
    <x v="6"/>
    <x v="0"/>
    <n v="0.31"/>
    <x v="3"/>
    <x v="5"/>
    <x v="0"/>
    <x v="26"/>
    <x v="0"/>
    <x v="0"/>
    <x v="0"/>
    <n v="0"/>
    <n v="32293"/>
    <n v="3.2293000000000002E-2"/>
    <n v="43252"/>
    <x v="0"/>
  </r>
  <r>
    <n v="60000233"/>
    <x v="20"/>
    <x v="0"/>
    <x v="0"/>
    <x v="2"/>
    <x v="0"/>
    <n v="0.19"/>
    <x v="0"/>
    <x v="6"/>
    <x v="7"/>
    <x v="13"/>
    <x v="0"/>
    <x v="0"/>
    <x v="0"/>
    <n v="1"/>
    <n v="69178"/>
    <n v="6.9178000000000003E-2"/>
    <n v="43252"/>
    <x v="0"/>
  </r>
  <r>
    <n v="60000234"/>
    <x v="29"/>
    <x v="0"/>
    <x v="1"/>
    <x v="1"/>
    <x v="0"/>
    <n v="0.25"/>
    <x v="3"/>
    <x v="12"/>
    <x v="12"/>
    <x v="5"/>
    <x v="0"/>
    <x v="0"/>
    <x v="0"/>
    <n v="1"/>
    <n v="52660"/>
    <n v="5.2659999999999998E-2"/>
    <n v="43252"/>
    <x v="0"/>
  </r>
  <r>
    <n v="60000235"/>
    <x v="22"/>
    <x v="1"/>
    <x v="1"/>
    <x v="3"/>
    <x v="0"/>
    <n v="0.27"/>
    <x v="3"/>
    <x v="9"/>
    <x v="1"/>
    <x v="16"/>
    <x v="0"/>
    <x v="0"/>
    <x v="0"/>
    <n v="0"/>
    <n v="40589"/>
    <n v="4.0589E-2"/>
    <n v="43252"/>
    <x v="0"/>
  </r>
  <r>
    <n v="60000236"/>
    <x v="33"/>
    <x v="1"/>
    <x v="1"/>
    <x v="8"/>
    <x v="0"/>
    <n v="0.1"/>
    <x v="4"/>
    <x v="2"/>
    <x v="4"/>
    <x v="19"/>
    <x v="0"/>
    <x v="0"/>
    <x v="0"/>
    <n v="5"/>
    <n v="35339"/>
    <n v="3.5339000000000002E-2"/>
    <n v="43252"/>
    <x v="0"/>
  </r>
  <r>
    <n v="60000237"/>
    <x v="16"/>
    <x v="1"/>
    <x v="1"/>
    <x v="2"/>
    <x v="0"/>
    <n v="0.15"/>
    <x v="2"/>
    <x v="4"/>
    <x v="3"/>
    <x v="23"/>
    <x v="0"/>
    <x v="0"/>
    <x v="0"/>
    <n v="0"/>
    <n v="31305"/>
    <n v="3.1304999999999999E-2"/>
    <n v="43252"/>
    <x v="0"/>
  </r>
  <r>
    <n v="60000238"/>
    <x v="25"/>
    <x v="0"/>
    <x v="1"/>
    <x v="11"/>
    <x v="0"/>
    <n v="0.38"/>
    <x v="1"/>
    <x v="4"/>
    <x v="3"/>
    <x v="8"/>
    <x v="0"/>
    <x v="0"/>
    <x v="0"/>
    <n v="0"/>
    <n v="42758"/>
    <n v="4.2757999999999997E-2"/>
    <n v="43252"/>
    <x v="0"/>
  </r>
  <r>
    <n v="60000239"/>
    <x v="20"/>
    <x v="0"/>
    <x v="1"/>
    <x v="2"/>
    <x v="0"/>
    <n v="0.12"/>
    <x v="2"/>
    <x v="5"/>
    <x v="3"/>
    <x v="35"/>
    <x v="1"/>
    <x v="0"/>
    <x v="0"/>
    <n v="0"/>
    <n v="52307"/>
    <n v="5.2306999999999999E-2"/>
    <n v="43252"/>
    <x v="0"/>
  </r>
  <r>
    <n v="60000240"/>
    <x v="29"/>
    <x v="0"/>
    <x v="1"/>
    <x v="7"/>
    <x v="0"/>
    <n v="0.36"/>
    <x v="1"/>
    <x v="13"/>
    <x v="5"/>
    <x v="48"/>
    <x v="2"/>
    <x v="0"/>
    <x v="0"/>
    <n v="0"/>
    <n v="27291"/>
    <n v="2.7290999999999999E-2"/>
    <n v="43252"/>
    <x v="0"/>
  </r>
  <r>
    <n v="60000241"/>
    <x v="21"/>
    <x v="0"/>
    <x v="0"/>
    <x v="8"/>
    <x v="0"/>
    <n v="0.14000000000000001"/>
    <x v="2"/>
    <x v="1"/>
    <x v="11"/>
    <x v="4"/>
    <x v="0"/>
    <x v="0"/>
    <x v="0"/>
    <n v="3"/>
    <n v="33519"/>
    <n v="3.3519E-2"/>
    <n v="43252"/>
    <x v="0"/>
  </r>
  <r>
    <n v="60000242"/>
    <x v="31"/>
    <x v="0"/>
    <x v="0"/>
    <x v="5"/>
    <x v="0"/>
    <n v="0.11"/>
    <x v="4"/>
    <x v="8"/>
    <x v="12"/>
    <x v="31"/>
    <x v="2"/>
    <x v="0"/>
    <x v="1"/>
    <n v="0"/>
    <n v="36838"/>
    <n v="3.6838000000000003E-2"/>
    <n v="43252"/>
    <x v="0"/>
  </r>
  <r>
    <n v="60000243"/>
    <x v="28"/>
    <x v="1"/>
    <x v="0"/>
    <x v="5"/>
    <x v="0"/>
    <n v="0.14000000000000001"/>
    <x v="2"/>
    <x v="4"/>
    <x v="4"/>
    <x v="16"/>
    <x v="1"/>
    <x v="0"/>
    <x v="1"/>
    <n v="7"/>
    <n v="71082"/>
    <n v="7.1082000000000006E-2"/>
    <n v="43252"/>
    <x v="0"/>
  </r>
  <r>
    <n v="60000244"/>
    <x v="7"/>
    <x v="0"/>
    <x v="0"/>
    <x v="3"/>
    <x v="0"/>
    <n v="0.27"/>
    <x v="3"/>
    <x v="1"/>
    <x v="9"/>
    <x v="39"/>
    <x v="1"/>
    <x v="0"/>
    <x v="0"/>
    <n v="0"/>
    <n v="50431"/>
    <n v="5.0430999999999997E-2"/>
    <n v="43252"/>
    <x v="0"/>
  </r>
  <r>
    <n v="60000245"/>
    <x v="5"/>
    <x v="1"/>
    <x v="0"/>
    <x v="1"/>
    <x v="0"/>
    <n v="0.1"/>
    <x v="4"/>
    <x v="15"/>
    <x v="3"/>
    <x v="23"/>
    <x v="2"/>
    <x v="0"/>
    <x v="0"/>
    <n v="5"/>
    <n v="27793"/>
    <n v="2.7793000000000002E-2"/>
    <n v="43252"/>
    <x v="0"/>
  </r>
  <r>
    <n v="60000246"/>
    <x v="23"/>
    <x v="0"/>
    <x v="0"/>
    <x v="3"/>
    <x v="0"/>
    <n v="0.11"/>
    <x v="4"/>
    <x v="6"/>
    <x v="4"/>
    <x v="0"/>
    <x v="1"/>
    <x v="0"/>
    <x v="0"/>
    <n v="6"/>
    <n v="53157"/>
    <n v="5.3157000000000003E-2"/>
    <n v="43252"/>
    <x v="0"/>
  </r>
  <r>
    <n v="60000247"/>
    <x v="27"/>
    <x v="1"/>
    <x v="0"/>
    <x v="8"/>
    <x v="0"/>
    <n v="0.35"/>
    <x v="1"/>
    <x v="7"/>
    <x v="2"/>
    <x v="44"/>
    <x v="0"/>
    <x v="0"/>
    <x v="0"/>
    <n v="0"/>
    <n v="62433"/>
    <n v="6.2433000000000002E-2"/>
    <n v="43252"/>
    <x v="0"/>
  </r>
  <r>
    <n v="60000248"/>
    <x v="22"/>
    <x v="0"/>
    <x v="0"/>
    <x v="4"/>
    <x v="0"/>
    <n v="0.3"/>
    <x v="3"/>
    <x v="14"/>
    <x v="4"/>
    <x v="17"/>
    <x v="2"/>
    <x v="0"/>
    <x v="0"/>
    <n v="0"/>
    <n v="25103"/>
    <n v="2.5103E-2"/>
    <n v="43252"/>
    <x v="0"/>
  </r>
  <r>
    <n v="60000249"/>
    <x v="0"/>
    <x v="0"/>
    <x v="0"/>
    <x v="11"/>
    <x v="0"/>
    <n v="0.34"/>
    <x v="1"/>
    <x v="14"/>
    <x v="4"/>
    <x v="1"/>
    <x v="1"/>
    <x v="0"/>
    <x v="1"/>
    <n v="0"/>
    <n v="36428"/>
    <n v="3.6428000000000002E-2"/>
    <n v="43252"/>
    <x v="0"/>
  </r>
  <r>
    <n v="60000250"/>
    <x v="24"/>
    <x v="1"/>
    <x v="0"/>
    <x v="8"/>
    <x v="0"/>
    <n v="0.19"/>
    <x v="0"/>
    <x v="5"/>
    <x v="6"/>
    <x v="20"/>
    <x v="1"/>
    <x v="0"/>
    <x v="0"/>
    <n v="2"/>
    <n v="44679"/>
    <n v="4.4679000000000003E-2"/>
    <n v="43252"/>
    <x v="0"/>
  </r>
  <r>
    <n v="60000251"/>
    <x v="23"/>
    <x v="0"/>
    <x v="1"/>
    <x v="0"/>
    <x v="0"/>
    <n v="0.21"/>
    <x v="0"/>
    <x v="13"/>
    <x v="1"/>
    <x v="11"/>
    <x v="2"/>
    <x v="0"/>
    <x v="1"/>
    <n v="0"/>
    <n v="60136"/>
    <n v="6.0136000000000002E-2"/>
    <n v="43252"/>
    <x v="0"/>
  </r>
  <r>
    <n v="60000252"/>
    <x v="38"/>
    <x v="0"/>
    <x v="1"/>
    <x v="0"/>
    <x v="0"/>
    <n v="0.2"/>
    <x v="0"/>
    <x v="15"/>
    <x v="11"/>
    <x v="1"/>
    <x v="0"/>
    <x v="0"/>
    <x v="0"/>
    <n v="0"/>
    <n v="45590"/>
    <n v="4.5589999999999999E-2"/>
    <n v="43252"/>
    <x v="0"/>
  </r>
  <r>
    <n v="60000253"/>
    <x v="10"/>
    <x v="0"/>
    <x v="0"/>
    <x v="3"/>
    <x v="0"/>
    <n v="0.19"/>
    <x v="0"/>
    <x v="8"/>
    <x v="10"/>
    <x v="23"/>
    <x v="2"/>
    <x v="0"/>
    <x v="1"/>
    <n v="3"/>
    <n v="38361"/>
    <n v="3.8360999999999999E-2"/>
    <n v="43252"/>
    <x v="0"/>
  </r>
  <r>
    <n v="60000254"/>
    <x v="37"/>
    <x v="1"/>
    <x v="0"/>
    <x v="9"/>
    <x v="0"/>
    <n v="0.35"/>
    <x v="1"/>
    <x v="11"/>
    <x v="12"/>
    <x v="16"/>
    <x v="2"/>
    <x v="0"/>
    <x v="1"/>
    <n v="0"/>
    <n v="42979"/>
    <n v="4.2979000000000003E-2"/>
    <n v="43252"/>
    <x v="0"/>
  </r>
  <r>
    <n v="60000255"/>
    <x v="32"/>
    <x v="0"/>
    <x v="1"/>
    <x v="1"/>
    <x v="0"/>
    <n v="0.36"/>
    <x v="1"/>
    <x v="3"/>
    <x v="12"/>
    <x v="26"/>
    <x v="1"/>
    <x v="0"/>
    <x v="1"/>
    <n v="0"/>
    <n v="55189"/>
    <n v="5.5189000000000002E-2"/>
    <n v="43252"/>
    <x v="0"/>
  </r>
  <r>
    <n v="60000256"/>
    <x v="12"/>
    <x v="0"/>
    <x v="0"/>
    <x v="6"/>
    <x v="0"/>
    <n v="0.15"/>
    <x v="2"/>
    <x v="14"/>
    <x v="6"/>
    <x v="1"/>
    <x v="0"/>
    <x v="0"/>
    <x v="0"/>
    <n v="0"/>
    <n v="44547"/>
    <n v="4.4547000000000003E-2"/>
    <n v="43252"/>
    <x v="0"/>
  </r>
  <r>
    <n v="60000257"/>
    <x v="31"/>
    <x v="1"/>
    <x v="1"/>
    <x v="0"/>
    <x v="0"/>
    <n v="0.21"/>
    <x v="0"/>
    <x v="9"/>
    <x v="8"/>
    <x v="21"/>
    <x v="1"/>
    <x v="0"/>
    <x v="1"/>
    <n v="0"/>
    <n v="36625"/>
    <n v="3.6624999999999998E-2"/>
    <n v="43252"/>
    <x v="0"/>
  </r>
  <r>
    <n v="60000258"/>
    <x v="20"/>
    <x v="0"/>
    <x v="0"/>
    <x v="11"/>
    <x v="0"/>
    <n v="0.33"/>
    <x v="1"/>
    <x v="6"/>
    <x v="1"/>
    <x v="21"/>
    <x v="0"/>
    <x v="0"/>
    <x v="0"/>
    <n v="4"/>
    <n v="51401"/>
    <n v="5.1401000000000002E-2"/>
    <n v="43252"/>
    <x v="0"/>
  </r>
  <r>
    <n v="60000259"/>
    <x v="36"/>
    <x v="1"/>
    <x v="0"/>
    <x v="10"/>
    <x v="0"/>
    <n v="0.12"/>
    <x v="2"/>
    <x v="2"/>
    <x v="5"/>
    <x v="17"/>
    <x v="0"/>
    <x v="0"/>
    <x v="0"/>
    <n v="4"/>
    <n v="43733"/>
    <n v="4.3733000000000001E-2"/>
    <n v="43252"/>
    <x v="0"/>
  </r>
  <r>
    <n v="60000260"/>
    <x v="42"/>
    <x v="0"/>
    <x v="0"/>
    <x v="4"/>
    <x v="0"/>
    <n v="0.19"/>
    <x v="0"/>
    <x v="8"/>
    <x v="7"/>
    <x v="39"/>
    <x v="1"/>
    <x v="0"/>
    <x v="0"/>
    <n v="0"/>
    <n v="52142"/>
    <n v="5.2142000000000001E-2"/>
    <n v="43252"/>
    <x v="0"/>
  </r>
  <r>
    <n v="60000261"/>
    <x v="15"/>
    <x v="1"/>
    <x v="0"/>
    <x v="10"/>
    <x v="0"/>
    <n v="0.25"/>
    <x v="3"/>
    <x v="4"/>
    <x v="4"/>
    <x v="48"/>
    <x v="2"/>
    <x v="0"/>
    <x v="1"/>
    <n v="0"/>
    <n v="68355"/>
    <n v="6.8354999999999999E-2"/>
    <n v="43252"/>
    <x v="0"/>
  </r>
  <r>
    <n v="60000262"/>
    <x v="36"/>
    <x v="0"/>
    <x v="0"/>
    <x v="4"/>
    <x v="0"/>
    <n v="0.35"/>
    <x v="1"/>
    <x v="7"/>
    <x v="2"/>
    <x v="5"/>
    <x v="2"/>
    <x v="0"/>
    <x v="1"/>
    <n v="6"/>
    <n v="64273"/>
    <n v="6.4272999999999997E-2"/>
    <n v="43252"/>
    <x v="0"/>
  </r>
  <r>
    <n v="60000263"/>
    <x v="20"/>
    <x v="1"/>
    <x v="0"/>
    <x v="5"/>
    <x v="0"/>
    <n v="0.23"/>
    <x v="0"/>
    <x v="5"/>
    <x v="10"/>
    <x v="36"/>
    <x v="0"/>
    <x v="0"/>
    <x v="1"/>
    <n v="0"/>
    <n v="73415"/>
    <n v="7.3414999999999994E-2"/>
    <n v="43252"/>
    <x v="0"/>
  </r>
  <r>
    <n v="60000264"/>
    <x v="40"/>
    <x v="0"/>
    <x v="1"/>
    <x v="4"/>
    <x v="0"/>
    <n v="0.32"/>
    <x v="1"/>
    <x v="2"/>
    <x v="1"/>
    <x v="14"/>
    <x v="1"/>
    <x v="0"/>
    <x v="0"/>
    <n v="7"/>
    <n v="28009"/>
    <n v="2.8008999999999999E-2"/>
    <n v="43252"/>
    <x v="0"/>
  </r>
  <r>
    <n v="60000265"/>
    <x v="16"/>
    <x v="0"/>
    <x v="0"/>
    <x v="6"/>
    <x v="0"/>
    <n v="0.32"/>
    <x v="1"/>
    <x v="5"/>
    <x v="7"/>
    <x v="11"/>
    <x v="0"/>
    <x v="0"/>
    <x v="1"/>
    <n v="0"/>
    <n v="50117"/>
    <n v="5.0117000000000002E-2"/>
    <n v="43252"/>
    <x v="0"/>
  </r>
  <r>
    <n v="60000266"/>
    <x v="18"/>
    <x v="1"/>
    <x v="1"/>
    <x v="9"/>
    <x v="0"/>
    <n v="0.24"/>
    <x v="0"/>
    <x v="0"/>
    <x v="9"/>
    <x v="46"/>
    <x v="1"/>
    <x v="0"/>
    <x v="1"/>
    <n v="5"/>
    <n v="73685"/>
    <n v="7.3685E-2"/>
    <n v="43252"/>
    <x v="0"/>
  </r>
  <r>
    <n v="60000267"/>
    <x v="26"/>
    <x v="0"/>
    <x v="1"/>
    <x v="9"/>
    <x v="0"/>
    <n v="0.19"/>
    <x v="0"/>
    <x v="0"/>
    <x v="0"/>
    <x v="27"/>
    <x v="1"/>
    <x v="0"/>
    <x v="1"/>
    <n v="3"/>
    <n v="75872"/>
    <n v="7.5871999999999995E-2"/>
    <n v="43252"/>
    <x v="0"/>
  </r>
  <r>
    <n v="60000268"/>
    <x v="35"/>
    <x v="1"/>
    <x v="0"/>
    <x v="7"/>
    <x v="0"/>
    <n v="0.35"/>
    <x v="1"/>
    <x v="0"/>
    <x v="12"/>
    <x v="7"/>
    <x v="0"/>
    <x v="0"/>
    <x v="1"/>
    <n v="0"/>
    <n v="81531"/>
    <n v="8.1531000000000006E-2"/>
    <n v="43252"/>
    <x v="0"/>
  </r>
  <r>
    <n v="60000269"/>
    <x v="15"/>
    <x v="1"/>
    <x v="1"/>
    <x v="2"/>
    <x v="0"/>
    <n v="0.34"/>
    <x v="1"/>
    <x v="8"/>
    <x v="3"/>
    <x v="17"/>
    <x v="2"/>
    <x v="0"/>
    <x v="0"/>
    <n v="5"/>
    <n v="74132"/>
    <n v="7.4132000000000003E-2"/>
    <n v="43252"/>
    <x v="0"/>
  </r>
  <r>
    <n v="60000270"/>
    <x v="5"/>
    <x v="1"/>
    <x v="0"/>
    <x v="3"/>
    <x v="0"/>
    <n v="0.33"/>
    <x v="1"/>
    <x v="13"/>
    <x v="3"/>
    <x v="34"/>
    <x v="2"/>
    <x v="0"/>
    <x v="0"/>
    <n v="1"/>
    <n v="42932"/>
    <n v="4.2931999999999998E-2"/>
    <n v="43252"/>
    <x v="0"/>
  </r>
  <r>
    <n v="60000271"/>
    <x v="24"/>
    <x v="1"/>
    <x v="1"/>
    <x v="7"/>
    <x v="0"/>
    <n v="0.16"/>
    <x v="2"/>
    <x v="15"/>
    <x v="11"/>
    <x v="14"/>
    <x v="1"/>
    <x v="0"/>
    <x v="1"/>
    <n v="0"/>
    <n v="62947"/>
    <n v="6.2947000000000003E-2"/>
    <n v="43252"/>
    <x v="0"/>
  </r>
  <r>
    <n v="60000272"/>
    <x v="41"/>
    <x v="1"/>
    <x v="0"/>
    <x v="3"/>
    <x v="0"/>
    <n v="0.17"/>
    <x v="2"/>
    <x v="5"/>
    <x v="8"/>
    <x v="42"/>
    <x v="0"/>
    <x v="0"/>
    <x v="1"/>
    <n v="0"/>
    <n v="56032"/>
    <n v="5.6031999999999998E-2"/>
    <n v="43252"/>
    <x v="0"/>
  </r>
  <r>
    <n v="60000273"/>
    <x v="25"/>
    <x v="1"/>
    <x v="1"/>
    <x v="3"/>
    <x v="0"/>
    <n v="0.21"/>
    <x v="0"/>
    <x v="7"/>
    <x v="0"/>
    <x v="24"/>
    <x v="1"/>
    <x v="0"/>
    <x v="0"/>
    <n v="0"/>
    <n v="67233"/>
    <n v="6.7233000000000001E-2"/>
    <n v="43252"/>
    <x v="0"/>
  </r>
  <r>
    <n v="60000274"/>
    <x v="37"/>
    <x v="0"/>
    <x v="1"/>
    <x v="10"/>
    <x v="0"/>
    <n v="0.27"/>
    <x v="3"/>
    <x v="5"/>
    <x v="5"/>
    <x v="48"/>
    <x v="0"/>
    <x v="0"/>
    <x v="1"/>
    <n v="6"/>
    <n v="42157"/>
    <n v="4.2157E-2"/>
    <n v="43252"/>
    <x v="0"/>
  </r>
  <r>
    <n v="60000275"/>
    <x v="15"/>
    <x v="1"/>
    <x v="0"/>
    <x v="11"/>
    <x v="0"/>
    <n v="0.35"/>
    <x v="1"/>
    <x v="6"/>
    <x v="1"/>
    <x v="44"/>
    <x v="1"/>
    <x v="0"/>
    <x v="0"/>
    <n v="2"/>
    <n v="80127"/>
    <n v="8.0127000000000004E-2"/>
    <n v="43252"/>
    <x v="0"/>
  </r>
  <r>
    <n v="60000276"/>
    <x v="4"/>
    <x v="1"/>
    <x v="0"/>
    <x v="0"/>
    <x v="0"/>
    <n v="0.22"/>
    <x v="0"/>
    <x v="0"/>
    <x v="9"/>
    <x v="20"/>
    <x v="1"/>
    <x v="0"/>
    <x v="1"/>
    <n v="5"/>
    <n v="63859"/>
    <n v="6.3858999999999999E-2"/>
    <n v="43252"/>
    <x v="0"/>
  </r>
  <r>
    <n v="60000277"/>
    <x v="12"/>
    <x v="1"/>
    <x v="0"/>
    <x v="4"/>
    <x v="0"/>
    <n v="0.19"/>
    <x v="0"/>
    <x v="0"/>
    <x v="2"/>
    <x v="39"/>
    <x v="1"/>
    <x v="0"/>
    <x v="0"/>
    <n v="4"/>
    <n v="56370"/>
    <n v="5.6370000000000003E-2"/>
    <n v="43252"/>
    <x v="0"/>
  </r>
  <r>
    <n v="60000278"/>
    <x v="40"/>
    <x v="0"/>
    <x v="1"/>
    <x v="11"/>
    <x v="0"/>
    <n v="0.35"/>
    <x v="1"/>
    <x v="5"/>
    <x v="2"/>
    <x v="24"/>
    <x v="0"/>
    <x v="0"/>
    <x v="0"/>
    <n v="4"/>
    <n v="45869"/>
    <n v="4.5869E-2"/>
    <n v="43252"/>
    <x v="0"/>
  </r>
  <r>
    <n v="60000279"/>
    <x v="13"/>
    <x v="1"/>
    <x v="0"/>
    <x v="7"/>
    <x v="0"/>
    <n v="0.28000000000000003"/>
    <x v="3"/>
    <x v="14"/>
    <x v="1"/>
    <x v="28"/>
    <x v="0"/>
    <x v="0"/>
    <x v="0"/>
    <n v="0"/>
    <n v="61650"/>
    <n v="6.1650000000000003E-2"/>
    <n v="43252"/>
    <x v="0"/>
  </r>
  <r>
    <n v="60000280"/>
    <x v="7"/>
    <x v="0"/>
    <x v="1"/>
    <x v="8"/>
    <x v="0"/>
    <n v="0.19"/>
    <x v="0"/>
    <x v="9"/>
    <x v="5"/>
    <x v="47"/>
    <x v="0"/>
    <x v="0"/>
    <x v="0"/>
    <n v="0"/>
    <n v="54763"/>
    <n v="5.4762999999999999E-2"/>
    <n v="43252"/>
    <x v="0"/>
  </r>
  <r>
    <n v="60000281"/>
    <x v="39"/>
    <x v="0"/>
    <x v="0"/>
    <x v="6"/>
    <x v="0"/>
    <n v="0.14000000000000001"/>
    <x v="2"/>
    <x v="13"/>
    <x v="0"/>
    <x v="25"/>
    <x v="1"/>
    <x v="0"/>
    <x v="1"/>
    <n v="0"/>
    <n v="84890"/>
    <n v="8.4889999999999993E-2"/>
    <n v="43252"/>
    <x v="0"/>
  </r>
  <r>
    <n v="60000282"/>
    <x v="27"/>
    <x v="1"/>
    <x v="0"/>
    <x v="5"/>
    <x v="0"/>
    <n v="0.11"/>
    <x v="4"/>
    <x v="3"/>
    <x v="4"/>
    <x v="13"/>
    <x v="1"/>
    <x v="0"/>
    <x v="1"/>
    <n v="6"/>
    <n v="62574"/>
    <n v="6.2574000000000005E-2"/>
    <n v="43252"/>
    <x v="0"/>
  </r>
  <r>
    <n v="60000283"/>
    <x v="30"/>
    <x v="0"/>
    <x v="1"/>
    <x v="3"/>
    <x v="0"/>
    <n v="0.37"/>
    <x v="1"/>
    <x v="9"/>
    <x v="4"/>
    <x v="0"/>
    <x v="0"/>
    <x v="0"/>
    <x v="1"/>
    <n v="0"/>
    <n v="25808"/>
    <n v="2.5808000000000001E-2"/>
    <n v="43252"/>
    <x v="0"/>
  </r>
  <r>
    <n v="60000284"/>
    <x v="34"/>
    <x v="0"/>
    <x v="1"/>
    <x v="2"/>
    <x v="0"/>
    <n v="0.16"/>
    <x v="2"/>
    <x v="9"/>
    <x v="5"/>
    <x v="19"/>
    <x v="1"/>
    <x v="0"/>
    <x v="0"/>
    <n v="0"/>
    <n v="40642"/>
    <n v="4.0641999999999998E-2"/>
    <n v="43252"/>
    <x v="0"/>
  </r>
  <r>
    <n v="60000285"/>
    <x v="28"/>
    <x v="1"/>
    <x v="0"/>
    <x v="8"/>
    <x v="0"/>
    <n v="0.19"/>
    <x v="0"/>
    <x v="8"/>
    <x v="9"/>
    <x v="37"/>
    <x v="0"/>
    <x v="0"/>
    <x v="1"/>
    <n v="0"/>
    <n v="79634"/>
    <n v="7.9633999999999996E-2"/>
    <n v="43252"/>
    <x v="0"/>
  </r>
  <r>
    <n v="60000286"/>
    <x v="27"/>
    <x v="1"/>
    <x v="0"/>
    <x v="1"/>
    <x v="0"/>
    <n v="0.25"/>
    <x v="3"/>
    <x v="3"/>
    <x v="10"/>
    <x v="39"/>
    <x v="0"/>
    <x v="0"/>
    <x v="0"/>
    <n v="7"/>
    <n v="45068"/>
    <n v="4.5067999999999997E-2"/>
    <n v="43252"/>
    <x v="0"/>
  </r>
  <r>
    <n v="60000287"/>
    <x v="31"/>
    <x v="1"/>
    <x v="0"/>
    <x v="8"/>
    <x v="0"/>
    <n v="0.21"/>
    <x v="0"/>
    <x v="12"/>
    <x v="0"/>
    <x v="49"/>
    <x v="0"/>
    <x v="0"/>
    <x v="1"/>
    <n v="0"/>
    <n v="71844"/>
    <n v="7.1844000000000005E-2"/>
    <n v="43252"/>
    <x v="0"/>
  </r>
  <r>
    <n v="60000288"/>
    <x v="5"/>
    <x v="0"/>
    <x v="1"/>
    <x v="9"/>
    <x v="0"/>
    <n v="0.27"/>
    <x v="3"/>
    <x v="12"/>
    <x v="7"/>
    <x v="19"/>
    <x v="1"/>
    <x v="0"/>
    <x v="1"/>
    <n v="0"/>
    <n v="23846"/>
    <n v="2.3845999999999999E-2"/>
    <n v="43252"/>
    <x v="0"/>
  </r>
  <r>
    <n v="60000289"/>
    <x v="6"/>
    <x v="0"/>
    <x v="0"/>
    <x v="9"/>
    <x v="0"/>
    <n v="0.28000000000000003"/>
    <x v="3"/>
    <x v="0"/>
    <x v="8"/>
    <x v="26"/>
    <x v="1"/>
    <x v="0"/>
    <x v="0"/>
    <n v="0"/>
    <n v="68805"/>
    <n v="6.8805000000000005E-2"/>
    <n v="43252"/>
    <x v="0"/>
  </r>
  <r>
    <n v="60000290"/>
    <x v="30"/>
    <x v="1"/>
    <x v="1"/>
    <x v="5"/>
    <x v="0"/>
    <n v="0.3"/>
    <x v="3"/>
    <x v="1"/>
    <x v="11"/>
    <x v="0"/>
    <x v="2"/>
    <x v="0"/>
    <x v="0"/>
    <n v="6"/>
    <n v="79400"/>
    <n v="7.9399999999999998E-2"/>
    <n v="43252"/>
    <x v="0"/>
  </r>
  <r>
    <n v="60000291"/>
    <x v="6"/>
    <x v="0"/>
    <x v="0"/>
    <x v="7"/>
    <x v="0"/>
    <n v="0.36"/>
    <x v="1"/>
    <x v="1"/>
    <x v="1"/>
    <x v="40"/>
    <x v="1"/>
    <x v="0"/>
    <x v="1"/>
    <n v="3"/>
    <n v="65258"/>
    <n v="6.5257999999999997E-2"/>
    <n v="43252"/>
    <x v="0"/>
  </r>
  <r>
    <n v="60000292"/>
    <x v="13"/>
    <x v="0"/>
    <x v="0"/>
    <x v="10"/>
    <x v="0"/>
    <n v="0.13"/>
    <x v="2"/>
    <x v="3"/>
    <x v="10"/>
    <x v="39"/>
    <x v="2"/>
    <x v="0"/>
    <x v="0"/>
    <n v="7"/>
    <n v="79127"/>
    <n v="7.9127000000000003E-2"/>
    <n v="43252"/>
    <x v="0"/>
  </r>
  <r>
    <n v="60000293"/>
    <x v="3"/>
    <x v="0"/>
    <x v="1"/>
    <x v="6"/>
    <x v="0"/>
    <n v="0.27"/>
    <x v="3"/>
    <x v="12"/>
    <x v="3"/>
    <x v="41"/>
    <x v="0"/>
    <x v="0"/>
    <x v="1"/>
    <n v="0"/>
    <n v="54971"/>
    <n v="5.4970999999999999E-2"/>
    <n v="43252"/>
    <x v="0"/>
  </r>
  <r>
    <n v="60000294"/>
    <x v="24"/>
    <x v="1"/>
    <x v="0"/>
    <x v="10"/>
    <x v="0"/>
    <n v="0.27"/>
    <x v="3"/>
    <x v="11"/>
    <x v="3"/>
    <x v="42"/>
    <x v="2"/>
    <x v="0"/>
    <x v="0"/>
    <n v="0"/>
    <n v="35141"/>
    <n v="3.5140999999999999E-2"/>
    <n v="43252"/>
    <x v="0"/>
  </r>
  <r>
    <n v="60000295"/>
    <x v="32"/>
    <x v="1"/>
    <x v="1"/>
    <x v="6"/>
    <x v="0"/>
    <n v="0.27"/>
    <x v="3"/>
    <x v="15"/>
    <x v="5"/>
    <x v="34"/>
    <x v="2"/>
    <x v="0"/>
    <x v="0"/>
    <n v="0"/>
    <n v="31060"/>
    <n v="3.1060000000000001E-2"/>
    <n v="43252"/>
    <x v="0"/>
  </r>
  <r>
    <n v="60000296"/>
    <x v="43"/>
    <x v="0"/>
    <x v="1"/>
    <x v="9"/>
    <x v="0"/>
    <n v="0.13"/>
    <x v="2"/>
    <x v="11"/>
    <x v="1"/>
    <x v="7"/>
    <x v="1"/>
    <x v="0"/>
    <x v="1"/>
    <n v="0"/>
    <n v="66888"/>
    <n v="6.6888000000000003E-2"/>
    <n v="43252"/>
    <x v="0"/>
  </r>
  <r>
    <n v="60000297"/>
    <x v="3"/>
    <x v="1"/>
    <x v="1"/>
    <x v="9"/>
    <x v="0"/>
    <n v="0.16"/>
    <x v="2"/>
    <x v="10"/>
    <x v="2"/>
    <x v="36"/>
    <x v="1"/>
    <x v="0"/>
    <x v="0"/>
    <n v="0"/>
    <n v="31251"/>
    <n v="3.1251000000000001E-2"/>
    <n v="43252"/>
    <x v="0"/>
  </r>
  <r>
    <n v="60000298"/>
    <x v="9"/>
    <x v="0"/>
    <x v="0"/>
    <x v="11"/>
    <x v="0"/>
    <n v="0.32"/>
    <x v="1"/>
    <x v="15"/>
    <x v="9"/>
    <x v="15"/>
    <x v="1"/>
    <x v="0"/>
    <x v="1"/>
    <n v="5"/>
    <n v="71949"/>
    <n v="7.1948999999999999E-2"/>
    <n v="43252"/>
    <x v="0"/>
  </r>
  <r>
    <n v="60000299"/>
    <x v="20"/>
    <x v="0"/>
    <x v="0"/>
    <x v="6"/>
    <x v="0"/>
    <n v="0.1"/>
    <x v="4"/>
    <x v="9"/>
    <x v="10"/>
    <x v="33"/>
    <x v="2"/>
    <x v="0"/>
    <x v="0"/>
    <n v="3"/>
    <n v="78768"/>
    <n v="7.8768000000000005E-2"/>
    <n v="43252"/>
    <x v="0"/>
  </r>
  <r>
    <n v="60000300"/>
    <x v="5"/>
    <x v="1"/>
    <x v="1"/>
    <x v="3"/>
    <x v="0"/>
    <n v="0.28999999999999998"/>
    <x v="3"/>
    <x v="14"/>
    <x v="7"/>
    <x v="43"/>
    <x v="1"/>
    <x v="0"/>
    <x v="1"/>
    <n v="0"/>
    <n v="66516"/>
    <n v="6.6516000000000006E-2"/>
    <n v="43252"/>
    <x v="0"/>
  </r>
  <r>
    <n v="60000301"/>
    <x v="15"/>
    <x v="0"/>
    <x v="0"/>
    <x v="6"/>
    <x v="0"/>
    <n v="0.25"/>
    <x v="3"/>
    <x v="8"/>
    <x v="10"/>
    <x v="20"/>
    <x v="0"/>
    <x v="0"/>
    <x v="0"/>
    <n v="0"/>
    <n v="80286"/>
    <n v="8.0285999999999996E-2"/>
    <n v="43252"/>
    <x v="0"/>
  </r>
  <r>
    <n v="60000302"/>
    <x v="9"/>
    <x v="1"/>
    <x v="0"/>
    <x v="5"/>
    <x v="0"/>
    <n v="0.36"/>
    <x v="1"/>
    <x v="8"/>
    <x v="3"/>
    <x v="17"/>
    <x v="2"/>
    <x v="0"/>
    <x v="0"/>
    <n v="7"/>
    <n v="27132"/>
    <n v="2.7132E-2"/>
    <n v="43252"/>
    <x v="0"/>
  </r>
  <r>
    <n v="60000303"/>
    <x v="30"/>
    <x v="0"/>
    <x v="1"/>
    <x v="4"/>
    <x v="0"/>
    <n v="0.31"/>
    <x v="3"/>
    <x v="9"/>
    <x v="5"/>
    <x v="45"/>
    <x v="1"/>
    <x v="0"/>
    <x v="0"/>
    <n v="5"/>
    <n v="47731"/>
    <n v="4.7731000000000003E-2"/>
    <n v="43252"/>
    <x v="0"/>
  </r>
  <r>
    <n v="60000304"/>
    <x v="44"/>
    <x v="0"/>
    <x v="0"/>
    <x v="4"/>
    <x v="0"/>
    <n v="0.33"/>
    <x v="1"/>
    <x v="2"/>
    <x v="10"/>
    <x v="37"/>
    <x v="1"/>
    <x v="0"/>
    <x v="0"/>
    <n v="0"/>
    <n v="36561"/>
    <n v="3.6561000000000003E-2"/>
    <n v="43252"/>
    <x v="0"/>
  </r>
  <r>
    <n v="60000305"/>
    <x v="18"/>
    <x v="1"/>
    <x v="0"/>
    <x v="1"/>
    <x v="0"/>
    <n v="0.26"/>
    <x v="3"/>
    <x v="3"/>
    <x v="0"/>
    <x v="12"/>
    <x v="2"/>
    <x v="0"/>
    <x v="0"/>
    <n v="0"/>
    <n v="67604"/>
    <n v="6.7603999999999997E-2"/>
    <n v="43252"/>
    <x v="0"/>
  </r>
  <r>
    <n v="60000306"/>
    <x v="7"/>
    <x v="1"/>
    <x v="1"/>
    <x v="8"/>
    <x v="0"/>
    <n v="0.13"/>
    <x v="2"/>
    <x v="4"/>
    <x v="7"/>
    <x v="14"/>
    <x v="0"/>
    <x v="0"/>
    <x v="0"/>
    <n v="3"/>
    <n v="65598"/>
    <n v="6.5598000000000004E-2"/>
    <n v="43252"/>
    <x v="0"/>
  </r>
  <r>
    <n v="60000307"/>
    <x v="17"/>
    <x v="0"/>
    <x v="0"/>
    <x v="7"/>
    <x v="0"/>
    <n v="0.17"/>
    <x v="2"/>
    <x v="13"/>
    <x v="11"/>
    <x v="44"/>
    <x v="0"/>
    <x v="0"/>
    <x v="1"/>
    <n v="0"/>
    <n v="34810"/>
    <n v="3.4810000000000001E-2"/>
    <n v="43252"/>
    <x v="0"/>
  </r>
  <r>
    <n v="60000308"/>
    <x v="29"/>
    <x v="0"/>
    <x v="1"/>
    <x v="7"/>
    <x v="0"/>
    <n v="0.32"/>
    <x v="1"/>
    <x v="15"/>
    <x v="1"/>
    <x v="37"/>
    <x v="1"/>
    <x v="0"/>
    <x v="1"/>
    <n v="0"/>
    <n v="71181"/>
    <n v="7.1180999999999994E-2"/>
    <n v="43252"/>
    <x v="0"/>
  </r>
  <r>
    <n v="60000309"/>
    <x v="17"/>
    <x v="0"/>
    <x v="1"/>
    <x v="11"/>
    <x v="0"/>
    <n v="0.13"/>
    <x v="2"/>
    <x v="5"/>
    <x v="3"/>
    <x v="23"/>
    <x v="2"/>
    <x v="0"/>
    <x v="0"/>
    <n v="0"/>
    <n v="27743"/>
    <n v="2.7743E-2"/>
    <n v="43252"/>
    <x v="0"/>
  </r>
  <r>
    <n v="60000310"/>
    <x v="22"/>
    <x v="1"/>
    <x v="1"/>
    <x v="9"/>
    <x v="0"/>
    <n v="0.26"/>
    <x v="3"/>
    <x v="4"/>
    <x v="11"/>
    <x v="0"/>
    <x v="0"/>
    <x v="0"/>
    <x v="1"/>
    <n v="7"/>
    <n v="33018"/>
    <n v="3.3017999999999999E-2"/>
    <n v="43252"/>
    <x v="0"/>
  </r>
  <r>
    <n v="60000311"/>
    <x v="35"/>
    <x v="1"/>
    <x v="0"/>
    <x v="0"/>
    <x v="0"/>
    <n v="0.36"/>
    <x v="1"/>
    <x v="0"/>
    <x v="2"/>
    <x v="45"/>
    <x v="2"/>
    <x v="0"/>
    <x v="0"/>
    <n v="4"/>
    <n v="81977"/>
    <n v="8.1976999999999994E-2"/>
    <n v="43252"/>
    <x v="0"/>
  </r>
  <r>
    <n v="60000312"/>
    <x v="12"/>
    <x v="0"/>
    <x v="0"/>
    <x v="11"/>
    <x v="0"/>
    <n v="0.17"/>
    <x v="2"/>
    <x v="10"/>
    <x v="8"/>
    <x v="41"/>
    <x v="2"/>
    <x v="0"/>
    <x v="1"/>
    <n v="3"/>
    <n v="40365"/>
    <n v="4.0364999999999998E-2"/>
    <n v="43252"/>
    <x v="0"/>
  </r>
  <r>
    <n v="60000313"/>
    <x v="27"/>
    <x v="1"/>
    <x v="0"/>
    <x v="10"/>
    <x v="0"/>
    <n v="0.35"/>
    <x v="1"/>
    <x v="7"/>
    <x v="10"/>
    <x v="36"/>
    <x v="1"/>
    <x v="0"/>
    <x v="1"/>
    <n v="0"/>
    <n v="24396"/>
    <n v="2.4396000000000001E-2"/>
    <n v="43252"/>
    <x v="0"/>
  </r>
  <r>
    <n v="60000314"/>
    <x v="43"/>
    <x v="0"/>
    <x v="1"/>
    <x v="7"/>
    <x v="0"/>
    <n v="0.34"/>
    <x v="1"/>
    <x v="15"/>
    <x v="11"/>
    <x v="20"/>
    <x v="1"/>
    <x v="0"/>
    <x v="1"/>
    <n v="0"/>
    <n v="60089"/>
    <n v="6.0088999999999997E-2"/>
    <n v="43252"/>
    <x v="0"/>
  </r>
  <r>
    <n v="60000315"/>
    <x v="29"/>
    <x v="1"/>
    <x v="1"/>
    <x v="7"/>
    <x v="0"/>
    <n v="0.37"/>
    <x v="1"/>
    <x v="5"/>
    <x v="4"/>
    <x v="12"/>
    <x v="1"/>
    <x v="0"/>
    <x v="1"/>
    <n v="0"/>
    <n v="80153"/>
    <n v="8.0153000000000002E-2"/>
    <n v="43252"/>
    <x v="0"/>
  </r>
  <r>
    <n v="60000316"/>
    <x v="42"/>
    <x v="1"/>
    <x v="1"/>
    <x v="4"/>
    <x v="0"/>
    <n v="0.17"/>
    <x v="2"/>
    <x v="6"/>
    <x v="10"/>
    <x v="43"/>
    <x v="0"/>
    <x v="0"/>
    <x v="1"/>
    <n v="0"/>
    <n v="30014"/>
    <n v="3.0013999999999999E-2"/>
    <n v="43252"/>
    <x v="0"/>
  </r>
  <r>
    <n v="60000317"/>
    <x v="38"/>
    <x v="1"/>
    <x v="0"/>
    <x v="3"/>
    <x v="0"/>
    <n v="0.3"/>
    <x v="3"/>
    <x v="8"/>
    <x v="12"/>
    <x v="17"/>
    <x v="0"/>
    <x v="0"/>
    <x v="0"/>
    <n v="3"/>
    <n v="59887"/>
    <n v="5.9887000000000003E-2"/>
    <n v="43252"/>
    <x v="0"/>
  </r>
  <r>
    <n v="60000318"/>
    <x v="18"/>
    <x v="1"/>
    <x v="1"/>
    <x v="3"/>
    <x v="0"/>
    <n v="0.19"/>
    <x v="0"/>
    <x v="8"/>
    <x v="11"/>
    <x v="39"/>
    <x v="2"/>
    <x v="0"/>
    <x v="0"/>
    <n v="0"/>
    <n v="54530"/>
    <n v="5.4530000000000002E-2"/>
    <n v="43252"/>
    <x v="0"/>
  </r>
  <r>
    <n v="60000319"/>
    <x v="16"/>
    <x v="0"/>
    <x v="0"/>
    <x v="11"/>
    <x v="0"/>
    <n v="0.34"/>
    <x v="1"/>
    <x v="7"/>
    <x v="3"/>
    <x v="34"/>
    <x v="1"/>
    <x v="0"/>
    <x v="0"/>
    <n v="0"/>
    <n v="69493"/>
    <n v="6.9492999999999999E-2"/>
    <n v="43252"/>
    <x v="0"/>
  </r>
  <r>
    <n v="60000320"/>
    <x v="24"/>
    <x v="0"/>
    <x v="0"/>
    <x v="1"/>
    <x v="0"/>
    <n v="0.25"/>
    <x v="3"/>
    <x v="13"/>
    <x v="3"/>
    <x v="45"/>
    <x v="1"/>
    <x v="0"/>
    <x v="0"/>
    <n v="0"/>
    <n v="59545"/>
    <n v="5.9545000000000001E-2"/>
    <n v="43252"/>
    <x v="0"/>
  </r>
  <r>
    <n v="60000321"/>
    <x v="42"/>
    <x v="0"/>
    <x v="0"/>
    <x v="6"/>
    <x v="0"/>
    <n v="0.23"/>
    <x v="0"/>
    <x v="7"/>
    <x v="9"/>
    <x v="28"/>
    <x v="1"/>
    <x v="0"/>
    <x v="1"/>
    <n v="0"/>
    <n v="44617"/>
    <n v="4.4616999999999997E-2"/>
    <n v="43252"/>
    <x v="0"/>
  </r>
  <r>
    <n v="60000322"/>
    <x v="41"/>
    <x v="1"/>
    <x v="0"/>
    <x v="10"/>
    <x v="0"/>
    <n v="0.16"/>
    <x v="2"/>
    <x v="4"/>
    <x v="12"/>
    <x v="34"/>
    <x v="1"/>
    <x v="0"/>
    <x v="0"/>
    <n v="4"/>
    <n v="73689"/>
    <n v="7.3689000000000004E-2"/>
    <n v="43252"/>
    <x v="0"/>
  </r>
  <r>
    <n v="60000323"/>
    <x v="17"/>
    <x v="0"/>
    <x v="1"/>
    <x v="10"/>
    <x v="0"/>
    <n v="0.16"/>
    <x v="2"/>
    <x v="14"/>
    <x v="1"/>
    <x v="2"/>
    <x v="0"/>
    <x v="0"/>
    <x v="1"/>
    <n v="6"/>
    <n v="40223"/>
    <n v="4.0223000000000002E-2"/>
    <n v="43252"/>
    <x v="0"/>
  </r>
  <r>
    <n v="60000324"/>
    <x v="44"/>
    <x v="1"/>
    <x v="0"/>
    <x v="7"/>
    <x v="0"/>
    <n v="0.18"/>
    <x v="2"/>
    <x v="1"/>
    <x v="7"/>
    <x v="3"/>
    <x v="0"/>
    <x v="0"/>
    <x v="0"/>
    <n v="0"/>
    <n v="57482"/>
    <n v="5.7481999999999998E-2"/>
    <n v="43252"/>
    <x v="0"/>
  </r>
  <r>
    <n v="60000325"/>
    <x v="38"/>
    <x v="1"/>
    <x v="0"/>
    <x v="0"/>
    <x v="0"/>
    <n v="0.27"/>
    <x v="3"/>
    <x v="1"/>
    <x v="7"/>
    <x v="12"/>
    <x v="2"/>
    <x v="0"/>
    <x v="0"/>
    <n v="7"/>
    <n v="64281"/>
    <n v="6.4281000000000005E-2"/>
    <n v="43252"/>
    <x v="0"/>
  </r>
  <r>
    <n v="60000326"/>
    <x v="40"/>
    <x v="1"/>
    <x v="0"/>
    <x v="0"/>
    <x v="0"/>
    <n v="0.12"/>
    <x v="2"/>
    <x v="9"/>
    <x v="4"/>
    <x v="3"/>
    <x v="0"/>
    <x v="0"/>
    <x v="0"/>
    <n v="2"/>
    <n v="71618"/>
    <n v="7.1618000000000001E-2"/>
    <n v="43252"/>
    <x v="0"/>
  </r>
  <r>
    <n v="60000327"/>
    <x v="5"/>
    <x v="1"/>
    <x v="0"/>
    <x v="8"/>
    <x v="0"/>
    <n v="0.15"/>
    <x v="2"/>
    <x v="13"/>
    <x v="12"/>
    <x v="17"/>
    <x v="2"/>
    <x v="0"/>
    <x v="1"/>
    <n v="0"/>
    <n v="26318"/>
    <n v="2.6318000000000001E-2"/>
    <n v="43252"/>
    <x v="0"/>
  </r>
  <r>
    <n v="60000328"/>
    <x v="17"/>
    <x v="0"/>
    <x v="1"/>
    <x v="0"/>
    <x v="0"/>
    <n v="0.1"/>
    <x v="4"/>
    <x v="2"/>
    <x v="12"/>
    <x v="18"/>
    <x v="0"/>
    <x v="0"/>
    <x v="1"/>
    <n v="4"/>
    <n v="46356"/>
    <n v="4.6356000000000001E-2"/>
    <n v="43252"/>
    <x v="0"/>
  </r>
  <r>
    <n v="60000329"/>
    <x v="11"/>
    <x v="1"/>
    <x v="1"/>
    <x v="9"/>
    <x v="0"/>
    <n v="0.28000000000000003"/>
    <x v="3"/>
    <x v="6"/>
    <x v="7"/>
    <x v="18"/>
    <x v="0"/>
    <x v="0"/>
    <x v="0"/>
    <n v="0"/>
    <n v="81647"/>
    <n v="8.1646999999999997E-2"/>
    <n v="43252"/>
    <x v="0"/>
  </r>
  <r>
    <n v="60000330"/>
    <x v="24"/>
    <x v="1"/>
    <x v="0"/>
    <x v="8"/>
    <x v="0"/>
    <n v="0.14000000000000001"/>
    <x v="2"/>
    <x v="9"/>
    <x v="8"/>
    <x v="21"/>
    <x v="1"/>
    <x v="0"/>
    <x v="1"/>
    <n v="3"/>
    <n v="54648"/>
    <n v="5.4648000000000002E-2"/>
    <n v="43252"/>
    <x v="0"/>
  </r>
  <r>
    <n v="60000331"/>
    <x v="12"/>
    <x v="1"/>
    <x v="0"/>
    <x v="2"/>
    <x v="0"/>
    <n v="0.24"/>
    <x v="0"/>
    <x v="5"/>
    <x v="11"/>
    <x v="10"/>
    <x v="0"/>
    <x v="0"/>
    <x v="0"/>
    <n v="7"/>
    <n v="81653"/>
    <n v="8.1653000000000003E-2"/>
    <n v="43252"/>
    <x v="0"/>
  </r>
  <r>
    <n v="60000332"/>
    <x v="43"/>
    <x v="1"/>
    <x v="0"/>
    <x v="1"/>
    <x v="0"/>
    <n v="0.38"/>
    <x v="1"/>
    <x v="0"/>
    <x v="12"/>
    <x v="25"/>
    <x v="1"/>
    <x v="0"/>
    <x v="0"/>
    <n v="7"/>
    <n v="77875"/>
    <n v="7.7875E-2"/>
    <n v="43252"/>
    <x v="0"/>
  </r>
  <r>
    <n v="60000333"/>
    <x v="45"/>
    <x v="0"/>
    <x v="0"/>
    <x v="2"/>
    <x v="0"/>
    <n v="0.11"/>
    <x v="4"/>
    <x v="0"/>
    <x v="7"/>
    <x v="47"/>
    <x v="2"/>
    <x v="0"/>
    <x v="1"/>
    <n v="0"/>
    <n v="45273"/>
    <n v="4.5273000000000001E-2"/>
    <n v="43252"/>
    <x v="0"/>
  </r>
  <r>
    <n v="60000334"/>
    <x v="12"/>
    <x v="0"/>
    <x v="1"/>
    <x v="6"/>
    <x v="0"/>
    <n v="0.25"/>
    <x v="3"/>
    <x v="13"/>
    <x v="2"/>
    <x v="32"/>
    <x v="1"/>
    <x v="0"/>
    <x v="1"/>
    <n v="3"/>
    <n v="61595"/>
    <n v="6.1594999999999997E-2"/>
    <n v="43252"/>
    <x v="0"/>
  </r>
  <r>
    <n v="60000335"/>
    <x v="6"/>
    <x v="0"/>
    <x v="0"/>
    <x v="7"/>
    <x v="0"/>
    <n v="0.14000000000000001"/>
    <x v="2"/>
    <x v="3"/>
    <x v="1"/>
    <x v="38"/>
    <x v="1"/>
    <x v="0"/>
    <x v="0"/>
    <n v="0"/>
    <n v="63891"/>
    <n v="6.3891000000000003E-2"/>
    <n v="43252"/>
    <x v="0"/>
  </r>
  <r>
    <n v="60000336"/>
    <x v="27"/>
    <x v="1"/>
    <x v="1"/>
    <x v="7"/>
    <x v="0"/>
    <n v="0.35"/>
    <x v="1"/>
    <x v="6"/>
    <x v="10"/>
    <x v="22"/>
    <x v="2"/>
    <x v="0"/>
    <x v="0"/>
    <n v="3"/>
    <n v="82738"/>
    <n v="8.2738000000000006E-2"/>
    <n v="43252"/>
    <x v="0"/>
  </r>
  <r>
    <n v="60000337"/>
    <x v="16"/>
    <x v="0"/>
    <x v="1"/>
    <x v="8"/>
    <x v="0"/>
    <n v="0.2"/>
    <x v="0"/>
    <x v="1"/>
    <x v="6"/>
    <x v="11"/>
    <x v="2"/>
    <x v="0"/>
    <x v="1"/>
    <n v="0"/>
    <n v="70406"/>
    <n v="7.0405999999999996E-2"/>
    <n v="43252"/>
    <x v="0"/>
  </r>
  <r>
    <n v="60000338"/>
    <x v="1"/>
    <x v="1"/>
    <x v="1"/>
    <x v="6"/>
    <x v="0"/>
    <n v="0.24"/>
    <x v="0"/>
    <x v="7"/>
    <x v="2"/>
    <x v="2"/>
    <x v="0"/>
    <x v="0"/>
    <x v="1"/>
    <n v="0"/>
    <n v="32704"/>
    <n v="3.2703999999999997E-2"/>
    <n v="43252"/>
    <x v="0"/>
  </r>
  <r>
    <n v="60000339"/>
    <x v="41"/>
    <x v="0"/>
    <x v="0"/>
    <x v="4"/>
    <x v="0"/>
    <n v="0.18"/>
    <x v="2"/>
    <x v="4"/>
    <x v="1"/>
    <x v="42"/>
    <x v="2"/>
    <x v="0"/>
    <x v="1"/>
    <n v="5"/>
    <n v="55853"/>
    <n v="5.5853E-2"/>
    <n v="43252"/>
    <x v="0"/>
  </r>
  <r>
    <n v="60000340"/>
    <x v="38"/>
    <x v="1"/>
    <x v="0"/>
    <x v="10"/>
    <x v="0"/>
    <n v="0.21"/>
    <x v="0"/>
    <x v="2"/>
    <x v="10"/>
    <x v="22"/>
    <x v="2"/>
    <x v="0"/>
    <x v="1"/>
    <n v="1"/>
    <n v="68248"/>
    <n v="6.8248000000000003E-2"/>
    <n v="43252"/>
    <x v="0"/>
  </r>
  <r>
    <n v="60000341"/>
    <x v="35"/>
    <x v="0"/>
    <x v="1"/>
    <x v="1"/>
    <x v="0"/>
    <n v="0.21"/>
    <x v="0"/>
    <x v="3"/>
    <x v="5"/>
    <x v="47"/>
    <x v="2"/>
    <x v="0"/>
    <x v="0"/>
    <n v="7"/>
    <n v="66416"/>
    <n v="6.6416000000000003E-2"/>
    <n v="43252"/>
    <x v="0"/>
  </r>
  <r>
    <n v="60000342"/>
    <x v="13"/>
    <x v="0"/>
    <x v="0"/>
    <x v="9"/>
    <x v="0"/>
    <n v="0.31"/>
    <x v="3"/>
    <x v="7"/>
    <x v="0"/>
    <x v="7"/>
    <x v="1"/>
    <x v="0"/>
    <x v="0"/>
    <n v="0"/>
    <n v="30843"/>
    <n v="3.0842999999999999E-2"/>
    <n v="43252"/>
    <x v="0"/>
  </r>
  <r>
    <n v="60000343"/>
    <x v="20"/>
    <x v="0"/>
    <x v="0"/>
    <x v="7"/>
    <x v="0"/>
    <n v="0.33"/>
    <x v="1"/>
    <x v="2"/>
    <x v="12"/>
    <x v="35"/>
    <x v="1"/>
    <x v="0"/>
    <x v="1"/>
    <n v="1"/>
    <n v="75103"/>
    <n v="7.5103000000000003E-2"/>
    <n v="43252"/>
    <x v="0"/>
  </r>
  <r>
    <n v="60000344"/>
    <x v="32"/>
    <x v="0"/>
    <x v="1"/>
    <x v="9"/>
    <x v="0"/>
    <n v="0.3"/>
    <x v="3"/>
    <x v="13"/>
    <x v="0"/>
    <x v="42"/>
    <x v="1"/>
    <x v="0"/>
    <x v="1"/>
    <n v="0"/>
    <n v="25142"/>
    <n v="2.5142000000000001E-2"/>
    <n v="43252"/>
    <x v="0"/>
  </r>
  <r>
    <n v="60000345"/>
    <x v="30"/>
    <x v="1"/>
    <x v="0"/>
    <x v="8"/>
    <x v="0"/>
    <n v="0.25"/>
    <x v="3"/>
    <x v="11"/>
    <x v="5"/>
    <x v="32"/>
    <x v="2"/>
    <x v="0"/>
    <x v="1"/>
    <n v="0"/>
    <n v="66513"/>
    <n v="6.6513000000000003E-2"/>
    <n v="43252"/>
    <x v="0"/>
  </r>
  <r>
    <n v="60000346"/>
    <x v="4"/>
    <x v="0"/>
    <x v="1"/>
    <x v="6"/>
    <x v="0"/>
    <n v="0.24"/>
    <x v="0"/>
    <x v="9"/>
    <x v="12"/>
    <x v="4"/>
    <x v="1"/>
    <x v="0"/>
    <x v="1"/>
    <n v="0"/>
    <n v="27384"/>
    <n v="2.7383999999999999E-2"/>
    <n v="43252"/>
    <x v="0"/>
  </r>
  <r>
    <n v="60000347"/>
    <x v="25"/>
    <x v="0"/>
    <x v="0"/>
    <x v="1"/>
    <x v="0"/>
    <n v="0.23"/>
    <x v="0"/>
    <x v="5"/>
    <x v="11"/>
    <x v="25"/>
    <x v="1"/>
    <x v="0"/>
    <x v="1"/>
    <n v="6"/>
    <n v="38490"/>
    <n v="3.8490000000000003E-2"/>
    <n v="43252"/>
    <x v="0"/>
  </r>
  <r>
    <n v="60000348"/>
    <x v="13"/>
    <x v="0"/>
    <x v="0"/>
    <x v="5"/>
    <x v="0"/>
    <n v="0.11"/>
    <x v="4"/>
    <x v="10"/>
    <x v="2"/>
    <x v="17"/>
    <x v="2"/>
    <x v="0"/>
    <x v="1"/>
    <n v="7"/>
    <n v="82763"/>
    <n v="8.2763000000000003E-2"/>
    <n v="43252"/>
    <x v="0"/>
  </r>
  <r>
    <n v="60000349"/>
    <x v="4"/>
    <x v="0"/>
    <x v="0"/>
    <x v="6"/>
    <x v="0"/>
    <n v="0.36"/>
    <x v="1"/>
    <x v="8"/>
    <x v="12"/>
    <x v="40"/>
    <x v="0"/>
    <x v="0"/>
    <x v="0"/>
    <n v="3"/>
    <n v="43345"/>
    <n v="4.3345000000000002E-2"/>
    <n v="43252"/>
    <x v="0"/>
  </r>
  <r>
    <n v="60000350"/>
    <x v="14"/>
    <x v="1"/>
    <x v="0"/>
    <x v="5"/>
    <x v="0"/>
    <n v="0.32"/>
    <x v="1"/>
    <x v="1"/>
    <x v="5"/>
    <x v="26"/>
    <x v="2"/>
    <x v="0"/>
    <x v="0"/>
    <n v="0"/>
    <n v="24990"/>
    <n v="2.4989999999999998E-2"/>
    <n v="43252"/>
    <x v="0"/>
  </r>
  <r>
    <n v="60000351"/>
    <x v="36"/>
    <x v="0"/>
    <x v="0"/>
    <x v="0"/>
    <x v="0"/>
    <n v="0.18"/>
    <x v="2"/>
    <x v="0"/>
    <x v="12"/>
    <x v="48"/>
    <x v="2"/>
    <x v="0"/>
    <x v="1"/>
    <n v="0"/>
    <n v="25961"/>
    <n v="2.5961000000000001E-2"/>
    <n v="43252"/>
    <x v="0"/>
  </r>
  <r>
    <n v="60000352"/>
    <x v="8"/>
    <x v="0"/>
    <x v="0"/>
    <x v="3"/>
    <x v="0"/>
    <n v="0.38"/>
    <x v="1"/>
    <x v="11"/>
    <x v="3"/>
    <x v="29"/>
    <x v="0"/>
    <x v="0"/>
    <x v="1"/>
    <n v="4"/>
    <n v="37228"/>
    <n v="3.7227999999999997E-2"/>
    <n v="43252"/>
    <x v="0"/>
  </r>
  <r>
    <n v="60000353"/>
    <x v="24"/>
    <x v="1"/>
    <x v="0"/>
    <x v="8"/>
    <x v="0"/>
    <n v="0.28999999999999998"/>
    <x v="3"/>
    <x v="1"/>
    <x v="6"/>
    <x v="44"/>
    <x v="1"/>
    <x v="0"/>
    <x v="0"/>
    <n v="0"/>
    <n v="26244"/>
    <n v="2.6244E-2"/>
    <n v="43252"/>
    <x v="0"/>
  </r>
  <r>
    <n v="60000354"/>
    <x v="42"/>
    <x v="0"/>
    <x v="0"/>
    <x v="6"/>
    <x v="0"/>
    <n v="0.35"/>
    <x v="1"/>
    <x v="12"/>
    <x v="10"/>
    <x v="42"/>
    <x v="2"/>
    <x v="0"/>
    <x v="0"/>
    <n v="6"/>
    <n v="69760"/>
    <n v="6.9760000000000003E-2"/>
    <n v="43252"/>
    <x v="0"/>
  </r>
  <r>
    <n v="60000355"/>
    <x v="33"/>
    <x v="0"/>
    <x v="1"/>
    <x v="8"/>
    <x v="0"/>
    <n v="0.36"/>
    <x v="1"/>
    <x v="13"/>
    <x v="10"/>
    <x v="0"/>
    <x v="0"/>
    <x v="0"/>
    <x v="0"/>
    <n v="2"/>
    <n v="49433"/>
    <n v="4.9432999999999998E-2"/>
    <n v="43252"/>
    <x v="0"/>
  </r>
  <r>
    <n v="60000356"/>
    <x v="38"/>
    <x v="1"/>
    <x v="0"/>
    <x v="0"/>
    <x v="0"/>
    <n v="0.37"/>
    <x v="1"/>
    <x v="6"/>
    <x v="8"/>
    <x v="22"/>
    <x v="0"/>
    <x v="0"/>
    <x v="0"/>
    <n v="0"/>
    <n v="32841"/>
    <n v="3.2841000000000002E-2"/>
    <n v="43252"/>
    <x v="0"/>
  </r>
  <r>
    <n v="60000357"/>
    <x v="18"/>
    <x v="0"/>
    <x v="1"/>
    <x v="7"/>
    <x v="0"/>
    <n v="0.35"/>
    <x v="1"/>
    <x v="5"/>
    <x v="9"/>
    <x v="25"/>
    <x v="0"/>
    <x v="0"/>
    <x v="1"/>
    <n v="0"/>
    <n v="26497"/>
    <n v="2.6497E-2"/>
    <n v="43252"/>
    <x v="0"/>
  </r>
  <r>
    <n v="60000358"/>
    <x v="14"/>
    <x v="0"/>
    <x v="0"/>
    <x v="3"/>
    <x v="0"/>
    <n v="0.37"/>
    <x v="1"/>
    <x v="11"/>
    <x v="6"/>
    <x v="8"/>
    <x v="0"/>
    <x v="0"/>
    <x v="0"/>
    <n v="3"/>
    <n v="24475"/>
    <n v="2.4475E-2"/>
    <n v="43252"/>
    <x v="0"/>
  </r>
  <r>
    <n v="60000359"/>
    <x v="31"/>
    <x v="0"/>
    <x v="0"/>
    <x v="3"/>
    <x v="0"/>
    <n v="0.35"/>
    <x v="1"/>
    <x v="9"/>
    <x v="0"/>
    <x v="32"/>
    <x v="2"/>
    <x v="0"/>
    <x v="0"/>
    <n v="0"/>
    <n v="61193"/>
    <n v="6.1192999999999997E-2"/>
    <n v="43252"/>
    <x v="0"/>
  </r>
  <r>
    <n v="60000360"/>
    <x v="43"/>
    <x v="1"/>
    <x v="1"/>
    <x v="1"/>
    <x v="0"/>
    <n v="0.14000000000000001"/>
    <x v="2"/>
    <x v="10"/>
    <x v="5"/>
    <x v="6"/>
    <x v="0"/>
    <x v="0"/>
    <x v="1"/>
    <n v="6"/>
    <n v="55051"/>
    <n v="5.5051000000000003E-2"/>
    <n v="43252"/>
    <x v="0"/>
  </r>
  <r>
    <n v="60000361"/>
    <x v="14"/>
    <x v="0"/>
    <x v="0"/>
    <x v="0"/>
    <x v="0"/>
    <n v="0.28000000000000003"/>
    <x v="3"/>
    <x v="2"/>
    <x v="0"/>
    <x v="27"/>
    <x v="1"/>
    <x v="0"/>
    <x v="0"/>
    <n v="0"/>
    <n v="36268"/>
    <n v="3.6268000000000002E-2"/>
    <n v="43252"/>
    <x v="0"/>
  </r>
  <r>
    <n v="60000362"/>
    <x v="23"/>
    <x v="0"/>
    <x v="1"/>
    <x v="0"/>
    <x v="0"/>
    <n v="0.21"/>
    <x v="0"/>
    <x v="7"/>
    <x v="10"/>
    <x v="1"/>
    <x v="2"/>
    <x v="0"/>
    <x v="0"/>
    <n v="5"/>
    <n v="62522"/>
    <n v="6.2521999999999994E-2"/>
    <n v="43252"/>
    <x v="0"/>
  </r>
  <r>
    <n v="60000363"/>
    <x v="32"/>
    <x v="0"/>
    <x v="1"/>
    <x v="10"/>
    <x v="0"/>
    <n v="0.16"/>
    <x v="2"/>
    <x v="8"/>
    <x v="6"/>
    <x v="22"/>
    <x v="0"/>
    <x v="0"/>
    <x v="1"/>
    <n v="0"/>
    <n v="74630"/>
    <n v="7.4630000000000002E-2"/>
    <n v="43252"/>
    <x v="0"/>
  </r>
  <r>
    <n v="60000364"/>
    <x v="22"/>
    <x v="0"/>
    <x v="1"/>
    <x v="9"/>
    <x v="0"/>
    <n v="0.14000000000000001"/>
    <x v="2"/>
    <x v="13"/>
    <x v="10"/>
    <x v="2"/>
    <x v="2"/>
    <x v="0"/>
    <x v="0"/>
    <n v="0"/>
    <n v="39889"/>
    <n v="3.9889000000000001E-2"/>
    <n v="43252"/>
    <x v="0"/>
  </r>
  <r>
    <n v="60000365"/>
    <x v="28"/>
    <x v="1"/>
    <x v="1"/>
    <x v="7"/>
    <x v="0"/>
    <n v="0.28999999999999998"/>
    <x v="3"/>
    <x v="2"/>
    <x v="8"/>
    <x v="5"/>
    <x v="1"/>
    <x v="0"/>
    <x v="0"/>
    <n v="5"/>
    <n v="27928"/>
    <n v="2.7928000000000001E-2"/>
    <n v="43252"/>
    <x v="0"/>
  </r>
  <r>
    <n v="60000366"/>
    <x v="31"/>
    <x v="0"/>
    <x v="1"/>
    <x v="4"/>
    <x v="0"/>
    <n v="0.25"/>
    <x v="3"/>
    <x v="5"/>
    <x v="10"/>
    <x v="16"/>
    <x v="0"/>
    <x v="0"/>
    <x v="0"/>
    <n v="1"/>
    <n v="49493"/>
    <n v="4.9493000000000002E-2"/>
    <n v="43252"/>
    <x v="0"/>
  </r>
  <r>
    <n v="60000367"/>
    <x v="34"/>
    <x v="0"/>
    <x v="1"/>
    <x v="3"/>
    <x v="0"/>
    <n v="0.16"/>
    <x v="2"/>
    <x v="0"/>
    <x v="7"/>
    <x v="43"/>
    <x v="0"/>
    <x v="0"/>
    <x v="1"/>
    <n v="0"/>
    <n v="64826"/>
    <n v="6.4825999999999995E-2"/>
    <n v="43252"/>
    <x v="0"/>
  </r>
  <r>
    <n v="60000368"/>
    <x v="43"/>
    <x v="0"/>
    <x v="0"/>
    <x v="2"/>
    <x v="0"/>
    <n v="0.14000000000000001"/>
    <x v="2"/>
    <x v="2"/>
    <x v="11"/>
    <x v="14"/>
    <x v="2"/>
    <x v="0"/>
    <x v="1"/>
    <n v="3"/>
    <n v="54304"/>
    <n v="5.4303999999999998E-2"/>
    <n v="43252"/>
    <x v="0"/>
  </r>
  <r>
    <n v="60000369"/>
    <x v="32"/>
    <x v="1"/>
    <x v="1"/>
    <x v="2"/>
    <x v="0"/>
    <n v="0.28999999999999998"/>
    <x v="3"/>
    <x v="2"/>
    <x v="10"/>
    <x v="27"/>
    <x v="2"/>
    <x v="0"/>
    <x v="1"/>
    <n v="0"/>
    <n v="80617"/>
    <n v="8.0616999999999994E-2"/>
    <n v="43252"/>
    <x v="0"/>
  </r>
  <r>
    <n v="60000370"/>
    <x v="23"/>
    <x v="0"/>
    <x v="0"/>
    <x v="5"/>
    <x v="0"/>
    <n v="0.19"/>
    <x v="0"/>
    <x v="8"/>
    <x v="0"/>
    <x v="23"/>
    <x v="2"/>
    <x v="0"/>
    <x v="1"/>
    <n v="0"/>
    <n v="74854"/>
    <n v="7.4854000000000004E-2"/>
    <n v="43252"/>
    <x v="0"/>
  </r>
  <r>
    <n v="60000371"/>
    <x v="44"/>
    <x v="1"/>
    <x v="1"/>
    <x v="7"/>
    <x v="0"/>
    <n v="0.16"/>
    <x v="2"/>
    <x v="12"/>
    <x v="11"/>
    <x v="4"/>
    <x v="1"/>
    <x v="0"/>
    <x v="0"/>
    <n v="0"/>
    <n v="49343"/>
    <n v="4.9342999999999998E-2"/>
    <n v="43252"/>
    <x v="0"/>
  </r>
  <r>
    <n v="60000372"/>
    <x v="10"/>
    <x v="1"/>
    <x v="1"/>
    <x v="3"/>
    <x v="0"/>
    <n v="0.16"/>
    <x v="2"/>
    <x v="10"/>
    <x v="7"/>
    <x v="25"/>
    <x v="2"/>
    <x v="0"/>
    <x v="0"/>
    <n v="4"/>
    <n v="80425"/>
    <n v="8.0424999999999996E-2"/>
    <n v="43252"/>
    <x v="0"/>
  </r>
  <r>
    <n v="60000373"/>
    <x v="12"/>
    <x v="1"/>
    <x v="0"/>
    <x v="9"/>
    <x v="0"/>
    <n v="0.19"/>
    <x v="0"/>
    <x v="15"/>
    <x v="3"/>
    <x v="31"/>
    <x v="0"/>
    <x v="0"/>
    <x v="1"/>
    <n v="0"/>
    <n v="28635"/>
    <n v="2.8635000000000001E-2"/>
    <n v="43252"/>
    <x v="0"/>
  </r>
  <r>
    <n v="60000374"/>
    <x v="37"/>
    <x v="0"/>
    <x v="0"/>
    <x v="10"/>
    <x v="0"/>
    <n v="0.26"/>
    <x v="3"/>
    <x v="13"/>
    <x v="11"/>
    <x v="34"/>
    <x v="2"/>
    <x v="0"/>
    <x v="0"/>
    <n v="0"/>
    <n v="28074"/>
    <n v="2.8074000000000002E-2"/>
    <n v="43252"/>
    <x v="0"/>
  </r>
  <r>
    <n v="60000375"/>
    <x v="15"/>
    <x v="1"/>
    <x v="0"/>
    <x v="9"/>
    <x v="0"/>
    <n v="0.34"/>
    <x v="1"/>
    <x v="13"/>
    <x v="8"/>
    <x v="20"/>
    <x v="1"/>
    <x v="0"/>
    <x v="0"/>
    <n v="3"/>
    <n v="68445"/>
    <n v="6.8445000000000006E-2"/>
    <n v="43252"/>
    <x v="0"/>
  </r>
  <r>
    <n v="60000376"/>
    <x v="12"/>
    <x v="1"/>
    <x v="1"/>
    <x v="8"/>
    <x v="0"/>
    <n v="0.25"/>
    <x v="3"/>
    <x v="5"/>
    <x v="11"/>
    <x v="38"/>
    <x v="1"/>
    <x v="0"/>
    <x v="1"/>
    <n v="0"/>
    <n v="84067"/>
    <n v="8.4067000000000003E-2"/>
    <n v="43252"/>
    <x v="0"/>
  </r>
  <r>
    <n v="60000377"/>
    <x v="19"/>
    <x v="0"/>
    <x v="1"/>
    <x v="5"/>
    <x v="0"/>
    <n v="0.11"/>
    <x v="4"/>
    <x v="3"/>
    <x v="2"/>
    <x v="36"/>
    <x v="0"/>
    <x v="0"/>
    <x v="0"/>
    <n v="0"/>
    <n v="83731"/>
    <n v="8.3731E-2"/>
    <n v="43252"/>
    <x v="0"/>
  </r>
  <r>
    <n v="60000378"/>
    <x v="25"/>
    <x v="1"/>
    <x v="1"/>
    <x v="6"/>
    <x v="0"/>
    <n v="0.27"/>
    <x v="3"/>
    <x v="10"/>
    <x v="8"/>
    <x v="11"/>
    <x v="0"/>
    <x v="0"/>
    <x v="0"/>
    <n v="1"/>
    <n v="28557"/>
    <n v="2.8556999999999999E-2"/>
    <n v="43252"/>
    <x v="0"/>
  </r>
  <r>
    <n v="60000379"/>
    <x v="2"/>
    <x v="1"/>
    <x v="0"/>
    <x v="5"/>
    <x v="0"/>
    <n v="0.35"/>
    <x v="1"/>
    <x v="6"/>
    <x v="11"/>
    <x v="3"/>
    <x v="2"/>
    <x v="0"/>
    <x v="1"/>
    <n v="5"/>
    <n v="79614"/>
    <n v="7.9614000000000004E-2"/>
    <n v="43252"/>
    <x v="0"/>
  </r>
  <r>
    <n v="60000380"/>
    <x v="8"/>
    <x v="0"/>
    <x v="0"/>
    <x v="6"/>
    <x v="0"/>
    <n v="0.3"/>
    <x v="3"/>
    <x v="3"/>
    <x v="10"/>
    <x v="20"/>
    <x v="1"/>
    <x v="0"/>
    <x v="0"/>
    <n v="0"/>
    <n v="54684"/>
    <n v="5.4684000000000003E-2"/>
    <n v="43252"/>
    <x v="0"/>
  </r>
  <r>
    <n v="60000381"/>
    <x v="21"/>
    <x v="1"/>
    <x v="0"/>
    <x v="6"/>
    <x v="0"/>
    <n v="0.31"/>
    <x v="3"/>
    <x v="3"/>
    <x v="6"/>
    <x v="45"/>
    <x v="2"/>
    <x v="0"/>
    <x v="1"/>
    <n v="7"/>
    <n v="27227"/>
    <n v="2.7227000000000001E-2"/>
    <n v="43252"/>
    <x v="0"/>
  </r>
  <r>
    <n v="60000382"/>
    <x v="20"/>
    <x v="1"/>
    <x v="0"/>
    <x v="4"/>
    <x v="0"/>
    <n v="0.13"/>
    <x v="2"/>
    <x v="5"/>
    <x v="7"/>
    <x v="10"/>
    <x v="1"/>
    <x v="0"/>
    <x v="1"/>
    <n v="0"/>
    <n v="32045"/>
    <n v="3.2044999999999997E-2"/>
    <n v="43252"/>
    <x v="0"/>
  </r>
  <r>
    <n v="60000383"/>
    <x v="43"/>
    <x v="0"/>
    <x v="1"/>
    <x v="3"/>
    <x v="0"/>
    <n v="0.28000000000000003"/>
    <x v="3"/>
    <x v="1"/>
    <x v="8"/>
    <x v="48"/>
    <x v="2"/>
    <x v="0"/>
    <x v="1"/>
    <n v="0"/>
    <n v="25551"/>
    <n v="2.5551000000000001E-2"/>
    <n v="43252"/>
    <x v="0"/>
  </r>
  <r>
    <n v="60000384"/>
    <x v="12"/>
    <x v="0"/>
    <x v="1"/>
    <x v="6"/>
    <x v="0"/>
    <n v="0.2"/>
    <x v="0"/>
    <x v="13"/>
    <x v="7"/>
    <x v="42"/>
    <x v="0"/>
    <x v="0"/>
    <x v="1"/>
    <n v="0"/>
    <n v="43464"/>
    <n v="4.3464000000000003E-2"/>
    <n v="43252"/>
    <x v="0"/>
  </r>
  <r>
    <n v="60000385"/>
    <x v="12"/>
    <x v="1"/>
    <x v="1"/>
    <x v="3"/>
    <x v="0"/>
    <n v="0.3"/>
    <x v="3"/>
    <x v="14"/>
    <x v="4"/>
    <x v="10"/>
    <x v="2"/>
    <x v="0"/>
    <x v="0"/>
    <n v="5"/>
    <n v="41890"/>
    <n v="4.1889999999999997E-2"/>
    <n v="43252"/>
    <x v="0"/>
  </r>
  <r>
    <n v="60000386"/>
    <x v="43"/>
    <x v="1"/>
    <x v="0"/>
    <x v="6"/>
    <x v="0"/>
    <n v="0.17"/>
    <x v="2"/>
    <x v="6"/>
    <x v="0"/>
    <x v="18"/>
    <x v="1"/>
    <x v="0"/>
    <x v="1"/>
    <n v="7"/>
    <n v="36063"/>
    <n v="3.6062999999999998E-2"/>
    <n v="43252"/>
    <x v="0"/>
  </r>
  <r>
    <n v="60000387"/>
    <x v="33"/>
    <x v="0"/>
    <x v="0"/>
    <x v="3"/>
    <x v="0"/>
    <n v="0.24"/>
    <x v="0"/>
    <x v="3"/>
    <x v="2"/>
    <x v="32"/>
    <x v="0"/>
    <x v="0"/>
    <x v="1"/>
    <n v="0"/>
    <n v="80040"/>
    <n v="8.004E-2"/>
    <n v="43252"/>
    <x v="0"/>
  </r>
  <r>
    <n v="60000388"/>
    <x v="20"/>
    <x v="1"/>
    <x v="1"/>
    <x v="0"/>
    <x v="0"/>
    <n v="0.32"/>
    <x v="1"/>
    <x v="10"/>
    <x v="5"/>
    <x v="0"/>
    <x v="2"/>
    <x v="0"/>
    <x v="1"/>
    <n v="1"/>
    <n v="72998"/>
    <n v="7.2997999999999993E-2"/>
    <n v="43252"/>
    <x v="0"/>
  </r>
  <r>
    <n v="60000389"/>
    <x v="34"/>
    <x v="1"/>
    <x v="0"/>
    <x v="8"/>
    <x v="0"/>
    <n v="0.12"/>
    <x v="2"/>
    <x v="9"/>
    <x v="10"/>
    <x v="18"/>
    <x v="2"/>
    <x v="0"/>
    <x v="0"/>
    <n v="0"/>
    <n v="66477"/>
    <n v="6.6476999999999994E-2"/>
    <n v="43252"/>
    <x v="0"/>
  </r>
  <r>
    <n v="60000390"/>
    <x v="26"/>
    <x v="1"/>
    <x v="1"/>
    <x v="6"/>
    <x v="0"/>
    <n v="0.13"/>
    <x v="2"/>
    <x v="6"/>
    <x v="8"/>
    <x v="19"/>
    <x v="2"/>
    <x v="0"/>
    <x v="1"/>
    <n v="7"/>
    <n v="48518"/>
    <n v="4.8517999999999999E-2"/>
    <n v="43252"/>
    <x v="0"/>
  </r>
  <r>
    <n v="60000391"/>
    <x v="28"/>
    <x v="0"/>
    <x v="0"/>
    <x v="9"/>
    <x v="0"/>
    <n v="0.14000000000000001"/>
    <x v="2"/>
    <x v="13"/>
    <x v="12"/>
    <x v="5"/>
    <x v="1"/>
    <x v="0"/>
    <x v="1"/>
    <n v="4"/>
    <n v="34127"/>
    <n v="3.4126999999999998E-2"/>
    <n v="43252"/>
    <x v="0"/>
  </r>
  <r>
    <n v="60000392"/>
    <x v="20"/>
    <x v="0"/>
    <x v="0"/>
    <x v="5"/>
    <x v="0"/>
    <n v="0.21"/>
    <x v="0"/>
    <x v="1"/>
    <x v="8"/>
    <x v="1"/>
    <x v="0"/>
    <x v="0"/>
    <x v="1"/>
    <n v="0"/>
    <n v="64482"/>
    <n v="6.4481999999999998E-2"/>
    <n v="43252"/>
    <x v="0"/>
  </r>
  <r>
    <n v="60000393"/>
    <x v="34"/>
    <x v="1"/>
    <x v="1"/>
    <x v="7"/>
    <x v="0"/>
    <n v="0.21"/>
    <x v="0"/>
    <x v="9"/>
    <x v="2"/>
    <x v="29"/>
    <x v="1"/>
    <x v="0"/>
    <x v="1"/>
    <n v="6"/>
    <n v="54672"/>
    <n v="5.4671999999999998E-2"/>
    <n v="43252"/>
    <x v="0"/>
  </r>
  <r>
    <n v="60000394"/>
    <x v="30"/>
    <x v="1"/>
    <x v="1"/>
    <x v="3"/>
    <x v="0"/>
    <n v="0.17"/>
    <x v="2"/>
    <x v="5"/>
    <x v="8"/>
    <x v="0"/>
    <x v="2"/>
    <x v="0"/>
    <x v="0"/>
    <n v="4"/>
    <n v="51554"/>
    <n v="5.1554000000000003E-2"/>
    <n v="43252"/>
    <x v="0"/>
  </r>
  <r>
    <n v="60000395"/>
    <x v="45"/>
    <x v="1"/>
    <x v="0"/>
    <x v="8"/>
    <x v="0"/>
    <n v="0.37"/>
    <x v="1"/>
    <x v="7"/>
    <x v="1"/>
    <x v="11"/>
    <x v="0"/>
    <x v="0"/>
    <x v="1"/>
    <n v="0"/>
    <n v="44090"/>
    <n v="4.4089999999999997E-2"/>
    <n v="43252"/>
    <x v="0"/>
  </r>
  <r>
    <n v="60000396"/>
    <x v="10"/>
    <x v="0"/>
    <x v="1"/>
    <x v="6"/>
    <x v="0"/>
    <n v="0.23"/>
    <x v="0"/>
    <x v="7"/>
    <x v="0"/>
    <x v="11"/>
    <x v="0"/>
    <x v="0"/>
    <x v="1"/>
    <n v="0"/>
    <n v="81393"/>
    <n v="8.1392999999999993E-2"/>
    <n v="43252"/>
    <x v="0"/>
  </r>
  <r>
    <n v="60000397"/>
    <x v="34"/>
    <x v="1"/>
    <x v="1"/>
    <x v="2"/>
    <x v="0"/>
    <n v="0.33"/>
    <x v="1"/>
    <x v="10"/>
    <x v="0"/>
    <x v="14"/>
    <x v="0"/>
    <x v="0"/>
    <x v="1"/>
    <n v="1"/>
    <n v="35847"/>
    <n v="3.5846999999999997E-2"/>
    <n v="43252"/>
    <x v="0"/>
  </r>
  <r>
    <n v="60000398"/>
    <x v="10"/>
    <x v="1"/>
    <x v="1"/>
    <x v="9"/>
    <x v="0"/>
    <n v="0.27"/>
    <x v="3"/>
    <x v="10"/>
    <x v="5"/>
    <x v="38"/>
    <x v="0"/>
    <x v="0"/>
    <x v="0"/>
    <n v="3"/>
    <n v="73014"/>
    <n v="7.3013999999999996E-2"/>
    <n v="43252"/>
    <x v="0"/>
  </r>
  <r>
    <n v="60000399"/>
    <x v="3"/>
    <x v="0"/>
    <x v="0"/>
    <x v="11"/>
    <x v="0"/>
    <n v="0.16"/>
    <x v="2"/>
    <x v="11"/>
    <x v="6"/>
    <x v="18"/>
    <x v="0"/>
    <x v="0"/>
    <x v="1"/>
    <n v="2"/>
    <n v="48965"/>
    <n v="4.8965000000000002E-2"/>
    <n v="43252"/>
    <x v="0"/>
  </r>
  <r>
    <n v="60000400"/>
    <x v="35"/>
    <x v="0"/>
    <x v="0"/>
    <x v="10"/>
    <x v="0"/>
    <n v="0.15"/>
    <x v="2"/>
    <x v="11"/>
    <x v="8"/>
    <x v="10"/>
    <x v="1"/>
    <x v="0"/>
    <x v="1"/>
    <n v="0"/>
    <n v="23504"/>
    <n v="2.3504000000000001E-2"/>
    <n v="43252"/>
    <x v="0"/>
  </r>
  <r>
    <n v="60000401"/>
    <x v="5"/>
    <x v="0"/>
    <x v="0"/>
    <x v="3"/>
    <x v="0"/>
    <n v="0.12"/>
    <x v="2"/>
    <x v="4"/>
    <x v="3"/>
    <x v="37"/>
    <x v="0"/>
    <x v="0"/>
    <x v="1"/>
    <n v="0"/>
    <n v="28997"/>
    <n v="2.8996999999999998E-2"/>
    <n v="43252"/>
    <x v="0"/>
  </r>
  <r>
    <n v="60000402"/>
    <x v="35"/>
    <x v="1"/>
    <x v="1"/>
    <x v="6"/>
    <x v="0"/>
    <n v="0.37"/>
    <x v="1"/>
    <x v="3"/>
    <x v="2"/>
    <x v="7"/>
    <x v="0"/>
    <x v="0"/>
    <x v="1"/>
    <n v="0"/>
    <n v="29285"/>
    <n v="2.9284999999999999E-2"/>
    <n v="43252"/>
    <x v="0"/>
  </r>
  <r>
    <n v="60000403"/>
    <x v="6"/>
    <x v="0"/>
    <x v="0"/>
    <x v="11"/>
    <x v="0"/>
    <n v="0.14000000000000001"/>
    <x v="2"/>
    <x v="3"/>
    <x v="2"/>
    <x v="16"/>
    <x v="2"/>
    <x v="0"/>
    <x v="0"/>
    <n v="0"/>
    <n v="47552"/>
    <n v="4.7551999999999997E-2"/>
    <n v="43252"/>
    <x v="0"/>
  </r>
  <r>
    <n v="60000404"/>
    <x v="9"/>
    <x v="1"/>
    <x v="0"/>
    <x v="7"/>
    <x v="0"/>
    <n v="0.36"/>
    <x v="1"/>
    <x v="10"/>
    <x v="5"/>
    <x v="43"/>
    <x v="2"/>
    <x v="0"/>
    <x v="1"/>
    <n v="7"/>
    <n v="69505"/>
    <n v="6.9504999999999997E-2"/>
    <n v="43252"/>
    <x v="0"/>
  </r>
  <r>
    <n v="60000405"/>
    <x v="17"/>
    <x v="0"/>
    <x v="1"/>
    <x v="6"/>
    <x v="0"/>
    <n v="0.12"/>
    <x v="2"/>
    <x v="10"/>
    <x v="0"/>
    <x v="19"/>
    <x v="2"/>
    <x v="0"/>
    <x v="1"/>
    <n v="0"/>
    <n v="67632"/>
    <n v="6.7631999999999998E-2"/>
    <n v="43252"/>
    <x v="0"/>
  </r>
  <r>
    <n v="60000406"/>
    <x v="35"/>
    <x v="1"/>
    <x v="0"/>
    <x v="0"/>
    <x v="0"/>
    <n v="0.21"/>
    <x v="0"/>
    <x v="8"/>
    <x v="11"/>
    <x v="40"/>
    <x v="1"/>
    <x v="0"/>
    <x v="0"/>
    <n v="0"/>
    <n v="60132"/>
    <n v="6.0131999999999998E-2"/>
    <n v="43252"/>
    <x v="0"/>
  </r>
  <r>
    <n v="60000407"/>
    <x v="43"/>
    <x v="1"/>
    <x v="1"/>
    <x v="8"/>
    <x v="0"/>
    <n v="0.38"/>
    <x v="1"/>
    <x v="1"/>
    <x v="4"/>
    <x v="48"/>
    <x v="0"/>
    <x v="0"/>
    <x v="1"/>
    <n v="6"/>
    <n v="81351"/>
    <n v="8.1351000000000007E-2"/>
    <n v="43252"/>
    <x v="0"/>
  </r>
  <r>
    <n v="60000408"/>
    <x v="40"/>
    <x v="0"/>
    <x v="0"/>
    <x v="7"/>
    <x v="0"/>
    <n v="0.32"/>
    <x v="1"/>
    <x v="1"/>
    <x v="12"/>
    <x v="10"/>
    <x v="0"/>
    <x v="0"/>
    <x v="1"/>
    <n v="1"/>
    <n v="56880"/>
    <n v="5.688E-2"/>
    <n v="43252"/>
    <x v="0"/>
  </r>
  <r>
    <n v="60000409"/>
    <x v="28"/>
    <x v="1"/>
    <x v="1"/>
    <x v="0"/>
    <x v="0"/>
    <n v="0.3"/>
    <x v="3"/>
    <x v="3"/>
    <x v="7"/>
    <x v="18"/>
    <x v="1"/>
    <x v="0"/>
    <x v="0"/>
    <n v="1"/>
    <n v="58453"/>
    <n v="5.8452999999999998E-2"/>
    <n v="43252"/>
    <x v="0"/>
  </r>
  <r>
    <n v="60000410"/>
    <x v="27"/>
    <x v="1"/>
    <x v="1"/>
    <x v="5"/>
    <x v="0"/>
    <n v="0.2"/>
    <x v="0"/>
    <x v="6"/>
    <x v="10"/>
    <x v="39"/>
    <x v="1"/>
    <x v="0"/>
    <x v="0"/>
    <n v="5"/>
    <n v="67984"/>
    <n v="6.7984000000000003E-2"/>
    <n v="43252"/>
    <x v="0"/>
  </r>
  <r>
    <n v="60000411"/>
    <x v="18"/>
    <x v="0"/>
    <x v="0"/>
    <x v="10"/>
    <x v="0"/>
    <n v="0.32"/>
    <x v="1"/>
    <x v="11"/>
    <x v="10"/>
    <x v="42"/>
    <x v="0"/>
    <x v="0"/>
    <x v="1"/>
    <n v="1"/>
    <n v="72612"/>
    <n v="7.2611999999999996E-2"/>
    <n v="43252"/>
    <x v="0"/>
  </r>
  <r>
    <n v="60000412"/>
    <x v="38"/>
    <x v="1"/>
    <x v="1"/>
    <x v="1"/>
    <x v="0"/>
    <n v="0.33"/>
    <x v="1"/>
    <x v="9"/>
    <x v="7"/>
    <x v="13"/>
    <x v="2"/>
    <x v="0"/>
    <x v="1"/>
    <n v="0"/>
    <n v="27132"/>
    <n v="2.7132E-2"/>
    <n v="43252"/>
    <x v="0"/>
  </r>
  <r>
    <n v="60000413"/>
    <x v="24"/>
    <x v="0"/>
    <x v="1"/>
    <x v="3"/>
    <x v="0"/>
    <n v="0.36"/>
    <x v="1"/>
    <x v="7"/>
    <x v="12"/>
    <x v="31"/>
    <x v="0"/>
    <x v="0"/>
    <x v="1"/>
    <n v="0"/>
    <n v="42131"/>
    <n v="4.2131000000000002E-2"/>
    <n v="43252"/>
    <x v="0"/>
  </r>
  <r>
    <n v="60000414"/>
    <x v="21"/>
    <x v="1"/>
    <x v="0"/>
    <x v="4"/>
    <x v="0"/>
    <n v="0.21"/>
    <x v="0"/>
    <x v="3"/>
    <x v="4"/>
    <x v="33"/>
    <x v="1"/>
    <x v="0"/>
    <x v="1"/>
    <n v="4"/>
    <n v="31293"/>
    <n v="3.1293000000000001E-2"/>
    <n v="43252"/>
    <x v="0"/>
  </r>
  <r>
    <n v="60000415"/>
    <x v="43"/>
    <x v="0"/>
    <x v="0"/>
    <x v="8"/>
    <x v="0"/>
    <n v="0.28000000000000003"/>
    <x v="3"/>
    <x v="14"/>
    <x v="10"/>
    <x v="13"/>
    <x v="0"/>
    <x v="0"/>
    <x v="0"/>
    <n v="4"/>
    <n v="50744"/>
    <n v="5.0743999999999997E-2"/>
    <n v="43252"/>
    <x v="0"/>
  </r>
  <r>
    <n v="60000416"/>
    <x v="27"/>
    <x v="0"/>
    <x v="1"/>
    <x v="7"/>
    <x v="0"/>
    <n v="0.3"/>
    <x v="3"/>
    <x v="5"/>
    <x v="10"/>
    <x v="1"/>
    <x v="2"/>
    <x v="0"/>
    <x v="0"/>
    <n v="0"/>
    <n v="27824"/>
    <n v="2.7824000000000002E-2"/>
    <n v="43252"/>
    <x v="0"/>
  </r>
  <r>
    <n v="60000417"/>
    <x v="3"/>
    <x v="0"/>
    <x v="1"/>
    <x v="3"/>
    <x v="0"/>
    <n v="0.19"/>
    <x v="0"/>
    <x v="8"/>
    <x v="7"/>
    <x v="48"/>
    <x v="0"/>
    <x v="0"/>
    <x v="1"/>
    <n v="3"/>
    <n v="37576"/>
    <n v="3.7575999999999998E-2"/>
    <n v="43252"/>
    <x v="0"/>
  </r>
  <r>
    <n v="60000418"/>
    <x v="8"/>
    <x v="0"/>
    <x v="0"/>
    <x v="7"/>
    <x v="0"/>
    <n v="0.2"/>
    <x v="0"/>
    <x v="11"/>
    <x v="11"/>
    <x v="21"/>
    <x v="0"/>
    <x v="0"/>
    <x v="0"/>
    <n v="0"/>
    <n v="28458"/>
    <n v="2.8458000000000001E-2"/>
    <n v="43252"/>
    <x v="0"/>
  </r>
  <r>
    <n v="60000419"/>
    <x v="38"/>
    <x v="0"/>
    <x v="1"/>
    <x v="10"/>
    <x v="0"/>
    <n v="0.18"/>
    <x v="2"/>
    <x v="6"/>
    <x v="10"/>
    <x v="11"/>
    <x v="1"/>
    <x v="0"/>
    <x v="1"/>
    <n v="0"/>
    <n v="23995"/>
    <n v="2.3994999999999999E-2"/>
    <n v="43252"/>
    <x v="0"/>
  </r>
  <r>
    <n v="60000420"/>
    <x v="19"/>
    <x v="1"/>
    <x v="0"/>
    <x v="3"/>
    <x v="0"/>
    <n v="0.26"/>
    <x v="3"/>
    <x v="11"/>
    <x v="4"/>
    <x v="2"/>
    <x v="1"/>
    <x v="0"/>
    <x v="1"/>
    <n v="5"/>
    <n v="23626"/>
    <n v="2.3626000000000001E-2"/>
    <n v="43252"/>
    <x v="0"/>
  </r>
  <r>
    <n v="60000421"/>
    <x v="4"/>
    <x v="1"/>
    <x v="1"/>
    <x v="5"/>
    <x v="0"/>
    <n v="0.1"/>
    <x v="4"/>
    <x v="5"/>
    <x v="0"/>
    <x v="43"/>
    <x v="2"/>
    <x v="0"/>
    <x v="0"/>
    <n v="5"/>
    <n v="24556"/>
    <n v="2.4556000000000001E-2"/>
    <n v="43252"/>
    <x v="0"/>
  </r>
  <r>
    <n v="60000422"/>
    <x v="26"/>
    <x v="0"/>
    <x v="0"/>
    <x v="8"/>
    <x v="0"/>
    <n v="0.12"/>
    <x v="2"/>
    <x v="13"/>
    <x v="1"/>
    <x v="30"/>
    <x v="2"/>
    <x v="0"/>
    <x v="1"/>
    <n v="7"/>
    <n v="36555"/>
    <n v="3.6554999999999997E-2"/>
    <n v="43252"/>
    <x v="0"/>
  </r>
  <r>
    <n v="60000423"/>
    <x v="7"/>
    <x v="1"/>
    <x v="0"/>
    <x v="10"/>
    <x v="0"/>
    <n v="0.3"/>
    <x v="3"/>
    <x v="11"/>
    <x v="6"/>
    <x v="36"/>
    <x v="1"/>
    <x v="0"/>
    <x v="0"/>
    <n v="0"/>
    <n v="61440"/>
    <n v="6.1440000000000002E-2"/>
    <n v="43252"/>
    <x v="0"/>
  </r>
  <r>
    <n v="60000424"/>
    <x v="16"/>
    <x v="1"/>
    <x v="1"/>
    <x v="0"/>
    <x v="0"/>
    <n v="0.16"/>
    <x v="2"/>
    <x v="5"/>
    <x v="12"/>
    <x v="4"/>
    <x v="1"/>
    <x v="0"/>
    <x v="1"/>
    <n v="7"/>
    <n v="38307"/>
    <n v="3.8307000000000001E-2"/>
    <n v="43252"/>
    <x v="0"/>
  </r>
  <r>
    <n v="60000425"/>
    <x v="18"/>
    <x v="1"/>
    <x v="0"/>
    <x v="7"/>
    <x v="0"/>
    <n v="0.24"/>
    <x v="0"/>
    <x v="9"/>
    <x v="4"/>
    <x v="10"/>
    <x v="0"/>
    <x v="0"/>
    <x v="0"/>
    <n v="0"/>
    <n v="49359"/>
    <n v="4.9359E-2"/>
    <n v="43252"/>
    <x v="0"/>
  </r>
  <r>
    <n v="60000426"/>
    <x v="8"/>
    <x v="1"/>
    <x v="1"/>
    <x v="0"/>
    <x v="0"/>
    <n v="0.1"/>
    <x v="4"/>
    <x v="6"/>
    <x v="10"/>
    <x v="44"/>
    <x v="2"/>
    <x v="0"/>
    <x v="1"/>
    <n v="4"/>
    <n v="73142"/>
    <n v="7.3141999999999999E-2"/>
    <n v="43252"/>
    <x v="0"/>
  </r>
  <r>
    <n v="60000427"/>
    <x v="9"/>
    <x v="1"/>
    <x v="1"/>
    <x v="11"/>
    <x v="0"/>
    <n v="0.22"/>
    <x v="0"/>
    <x v="15"/>
    <x v="6"/>
    <x v="2"/>
    <x v="0"/>
    <x v="0"/>
    <x v="1"/>
    <n v="4"/>
    <n v="36101"/>
    <n v="3.6101000000000001E-2"/>
    <n v="43252"/>
    <x v="0"/>
  </r>
  <r>
    <n v="60000428"/>
    <x v="20"/>
    <x v="1"/>
    <x v="1"/>
    <x v="1"/>
    <x v="0"/>
    <n v="0.35"/>
    <x v="1"/>
    <x v="0"/>
    <x v="11"/>
    <x v="8"/>
    <x v="1"/>
    <x v="0"/>
    <x v="1"/>
    <n v="5"/>
    <n v="25090"/>
    <n v="2.5090000000000001E-2"/>
    <n v="43252"/>
    <x v="0"/>
  </r>
  <r>
    <n v="60000429"/>
    <x v="43"/>
    <x v="0"/>
    <x v="1"/>
    <x v="7"/>
    <x v="0"/>
    <n v="0.33"/>
    <x v="1"/>
    <x v="12"/>
    <x v="5"/>
    <x v="1"/>
    <x v="1"/>
    <x v="0"/>
    <x v="1"/>
    <n v="0"/>
    <n v="41042"/>
    <n v="4.1042000000000002E-2"/>
    <n v="43252"/>
    <x v="0"/>
  </r>
  <r>
    <n v="60000430"/>
    <x v="11"/>
    <x v="0"/>
    <x v="1"/>
    <x v="11"/>
    <x v="0"/>
    <n v="0.21"/>
    <x v="0"/>
    <x v="12"/>
    <x v="1"/>
    <x v="23"/>
    <x v="0"/>
    <x v="0"/>
    <x v="1"/>
    <n v="0"/>
    <n v="60451"/>
    <n v="6.0450999999999998E-2"/>
    <n v="43252"/>
    <x v="0"/>
  </r>
  <r>
    <n v="60000431"/>
    <x v="27"/>
    <x v="0"/>
    <x v="1"/>
    <x v="0"/>
    <x v="0"/>
    <n v="0.12"/>
    <x v="2"/>
    <x v="9"/>
    <x v="9"/>
    <x v="47"/>
    <x v="0"/>
    <x v="0"/>
    <x v="1"/>
    <n v="6"/>
    <n v="26178"/>
    <n v="2.6178E-2"/>
    <n v="43252"/>
    <x v="0"/>
  </r>
  <r>
    <n v="60000432"/>
    <x v="10"/>
    <x v="1"/>
    <x v="0"/>
    <x v="2"/>
    <x v="0"/>
    <n v="0.22"/>
    <x v="0"/>
    <x v="13"/>
    <x v="5"/>
    <x v="8"/>
    <x v="0"/>
    <x v="0"/>
    <x v="1"/>
    <n v="1"/>
    <n v="57367"/>
    <n v="5.7367000000000001E-2"/>
    <n v="43252"/>
    <x v="0"/>
  </r>
  <r>
    <n v="60000433"/>
    <x v="11"/>
    <x v="0"/>
    <x v="1"/>
    <x v="10"/>
    <x v="0"/>
    <n v="0.33"/>
    <x v="1"/>
    <x v="3"/>
    <x v="11"/>
    <x v="15"/>
    <x v="2"/>
    <x v="0"/>
    <x v="1"/>
    <n v="0"/>
    <n v="70761"/>
    <n v="7.0761000000000004E-2"/>
    <n v="43252"/>
    <x v="0"/>
  </r>
  <r>
    <n v="60000434"/>
    <x v="37"/>
    <x v="0"/>
    <x v="0"/>
    <x v="9"/>
    <x v="0"/>
    <n v="0.13"/>
    <x v="2"/>
    <x v="6"/>
    <x v="8"/>
    <x v="17"/>
    <x v="0"/>
    <x v="0"/>
    <x v="0"/>
    <n v="2"/>
    <n v="26855"/>
    <n v="2.6855E-2"/>
    <n v="43252"/>
    <x v="0"/>
  </r>
  <r>
    <n v="60000435"/>
    <x v="19"/>
    <x v="1"/>
    <x v="0"/>
    <x v="7"/>
    <x v="0"/>
    <n v="0.33"/>
    <x v="1"/>
    <x v="0"/>
    <x v="6"/>
    <x v="8"/>
    <x v="2"/>
    <x v="0"/>
    <x v="0"/>
    <n v="0"/>
    <n v="78889"/>
    <n v="7.8889000000000001E-2"/>
    <n v="43252"/>
    <x v="0"/>
  </r>
  <r>
    <n v="60000436"/>
    <x v="29"/>
    <x v="1"/>
    <x v="0"/>
    <x v="0"/>
    <x v="0"/>
    <n v="0.38"/>
    <x v="1"/>
    <x v="5"/>
    <x v="11"/>
    <x v="19"/>
    <x v="1"/>
    <x v="0"/>
    <x v="0"/>
    <n v="3"/>
    <n v="34581"/>
    <n v="3.4581000000000001E-2"/>
    <n v="43252"/>
    <x v="0"/>
  </r>
  <r>
    <n v="60000437"/>
    <x v="18"/>
    <x v="0"/>
    <x v="1"/>
    <x v="10"/>
    <x v="0"/>
    <n v="0.37"/>
    <x v="1"/>
    <x v="7"/>
    <x v="9"/>
    <x v="26"/>
    <x v="0"/>
    <x v="0"/>
    <x v="0"/>
    <n v="0"/>
    <n v="38750"/>
    <n v="3.875E-2"/>
    <n v="43252"/>
    <x v="0"/>
  </r>
  <r>
    <n v="60000438"/>
    <x v="23"/>
    <x v="0"/>
    <x v="1"/>
    <x v="6"/>
    <x v="0"/>
    <n v="0.15"/>
    <x v="2"/>
    <x v="1"/>
    <x v="8"/>
    <x v="31"/>
    <x v="0"/>
    <x v="0"/>
    <x v="1"/>
    <n v="3"/>
    <n v="27003"/>
    <n v="2.7002999999999999E-2"/>
    <n v="43252"/>
    <x v="0"/>
  </r>
  <r>
    <n v="60000439"/>
    <x v="12"/>
    <x v="1"/>
    <x v="0"/>
    <x v="5"/>
    <x v="0"/>
    <n v="0.1"/>
    <x v="4"/>
    <x v="1"/>
    <x v="6"/>
    <x v="33"/>
    <x v="1"/>
    <x v="0"/>
    <x v="0"/>
    <n v="7"/>
    <n v="35593"/>
    <n v="3.5593E-2"/>
    <n v="43252"/>
    <x v="0"/>
  </r>
  <r>
    <n v="60000440"/>
    <x v="9"/>
    <x v="0"/>
    <x v="0"/>
    <x v="10"/>
    <x v="1"/>
    <n v="0.18"/>
    <x v="2"/>
    <x v="6"/>
    <x v="0"/>
    <x v="18"/>
    <x v="2"/>
    <x v="0"/>
    <x v="0"/>
    <n v="4"/>
    <n v="54011"/>
    <n v="5.4011000000000003E-2"/>
    <n v="43252"/>
    <x v="0"/>
  </r>
  <r>
    <n v="60000441"/>
    <x v="12"/>
    <x v="0"/>
    <x v="0"/>
    <x v="11"/>
    <x v="1"/>
    <n v="0.1"/>
    <x v="4"/>
    <x v="5"/>
    <x v="8"/>
    <x v="3"/>
    <x v="2"/>
    <x v="0"/>
    <x v="1"/>
    <n v="0"/>
    <n v="39860"/>
    <n v="3.986E-2"/>
    <n v="43252"/>
    <x v="0"/>
  </r>
  <r>
    <n v="60000442"/>
    <x v="35"/>
    <x v="1"/>
    <x v="1"/>
    <x v="11"/>
    <x v="0"/>
    <n v="0.35"/>
    <x v="1"/>
    <x v="7"/>
    <x v="1"/>
    <x v="20"/>
    <x v="0"/>
    <x v="0"/>
    <x v="0"/>
    <n v="0"/>
    <n v="78921"/>
    <n v="7.8921000000000005E-2"/>
    <n v="43252"/>
    <x v="0"/>
  </r>
  <r>
    <n v="60000443"/>
    <x v="36"/>
    <x v="1"/>
    <x v="1"/>
    <x v="0"/>
    <x v="0"/>
    <n v="0.37"/>
    <x v="1"/>
    <x v="14"/>
    <x v="4"/>
    <x v="17"/>
    <x v="0"/>
    <x v="0"/>
    <x v="1"/>
    <n v="3"/>
    <n v="49834"/>
    <n v="4.9834000000000003E-2"/>
    <n v="43252"/>
    <x v="0"/>
  </r>
  <r>
    <n v="60000444"/>
    <x v="28"/>
    <x v="1"/>
    <x v="0"/>
    <x v="7"/>
    <x v="2"/>
    <n v="0.19"/>
    <x v="0"/>
    <x v="8"/>
    <x v="10"/>
    <x v="20"/>
    <x v="2"/>
    <x v="0"/>
    <x v="1"/>
    <n v="0"/>
    <n v="37822"/>
    <n v="3.7822000000000001E-2"/>
    <n v="43252"/>
    <x v="0"/>
  </r>
  <r>
    <n v="60000445"/>
    <x v="32"/>
    <x v="0"/>
    <x v="1"/>
    <x v="5"/>
    <x v="0"/>
    <n v="0.3"/>
    <x v="3"/>
    <x v="7"/>
    <x v="3"/>
    <x v="24"/>
    <x v="2"/>
    <x v="0"/>
    <x v="1"/>
    <n v="0"/>
    <n v="38296"/>
    <n v="3.8295999999999997E-2"/>
    <n v="43252"/>
    <x v="0"/>
  </r>
  <r>
    <n v="60000446"/>
    <x v="34"/>
    <x v="1"/>
    <x v="1"/>
    <x v="3"/>
    <x v="0"/>
    <n v="0.14000000000000001"/>
    <x v="2"/>
    <x v="2"/>
    <x v="4"/>
    <x v="20"/>
    <x v="1"/>
    <x v="0"/>
    <x v="1"/>
    <n v="0"/>
    <n v="78541"/>
    <n v="7.8541E-2"/>
    <n v="43252"/>
    <x v="0"/>
  </r>
  <r>
    <n v="60000447"/>
    <x v="11"/>
    <x v="0"/>
    <x v="1"/>
    <x v="6"/>
    <x v="2"/>
    <n v="0.3"/>
    <x v="3"/>
    <x v="1"/>
    <x v="10"/>
    <x v="32"/>
    <x v="0"/>
    <x v="0"/>
    <x v="1"/>
    <n v="0"/>
    <n v="79092"/>
    <n v="7.9091999999999996E-2"/>
    <n v="43252"/>
    <x v="0"/>
  </r>
  <r>
    <n v="60000448"/>
    <x v="15"/>
    <x v="0"/>
    <x v="1"/>
    <x v="2"/>
    <x v="1"/>
    <n v="0.18"/>
    <x v="2"/>
    <x v="5"/>
    <x v="9"/>
    <x v="31"/>
    <x v="0"/>
    <x v="0"/>
    <x v="1"/>
    <n v="7"/>
    <n v="76003"/>
    <n v="7.6003000000000001E-2"/>
    <n v="43252"/>
    <x v="0"/>
  </r>
  <r>
    <n v="60000449"/>
    <x v="34"/>
    <x v="1"/>
    <x v="0"/>
    <x v="10"/>
    <x v="0"/>
    <n v="0.34"/>
    <x v="1"/>
    <x v="12"/>
    <x v="6"/>
    <x v="7"/>
    <x v="2"/>
    <x v="0"/>
    <x v="1"/>
    <n v="6"/>
    <n v="46543"/>
    <n v="4.6543000000000001E-2"/>
    <n v="43252"/>
    <x v="0"/>
  </r>
  <r>
    <n v="60000450"/>
    <x v="11"/>
    <x v="1"/>
    <x v="1"/>
    <x v="10"/>
    <x v="0"/>
    <n v="0.18"/>
    <x v="2"/>
    <x v="0"/>
    <x v="7"/>
    <x v="37"/>
    <x v="1"/>
    <x v="0"/>
    <x v="1"/>
    <n v="0"/>
    <n v="81088"/>
    <n v="8.1087999999999993E-2"/>
    <n v="43252"/>
    <x v="0"/>
  </r>
  <r>
    <n v="60000451"/>
    <x v="24"/>
    <x v="1"/>
    <x v="1"/>
    <x v="4"/>
    <x v="0"/>
    <n v="0.32"/>
    <x v="1"/>
    <x v="11"/>
    <x v="1"/>
    <x v="20"/>
    <x v="1"/>
    <x v="0"/>
    <x v="1"/>
    <n v="1"/>
    <n v="69209"/>
    <n v="6.9209000000000007E-2"/>
    <n v="43252"/>
    <x v="0"/>
  </r>
  <r>
    <n v="60000452"/>
    <x v="26"/>
    <x v="0"/>
    <x v="1"/>
    <x v="4"/>
    <x v="2"/>
    <n v="0.31"/>
    <x v="3"/>
    <x v="4"/>
    <x v="0"/>
    <x v="9"/>
    <x v="2"/>
    <x v="0"/>
    <x v="0"/>
    <n v="2"/>
    <n v="33431"/>
    <n v="3.3431000000000002E-2"/>
    <n v="43252"/>
    <x v="0"/>
  </r>
  <r>
    <n v="60000453"/>
    <x v="2"/>
    <x v="0"/>
    <x v="0"/>
    <x v="9"/>
    <x v="2"/>
    <n v="0.17"/>
    <x v="2"/>
    <x v="10"/>
    <x v="12"/>
    <x v="20"/>
    <x v="1"/>
    <x v="0"/>
    <x v="1"/>
    <n v="0"/>
    <n v="59716"/>
    <n v="5.9715999999999998E-2"/>
    <n v="43252"/>
    <x v="0"/>
  </r>
  <r>
    <n v="60000454"/>
    <x v="5"/>
    <x v="0"/>
    <x v="0"/>
    <x v="9"/>
    <x v="2"/>
    <n v="0.32"/>
    <x v="1"/>
    <x v="2"/>
    <x v="5"/>
    <x v="19"/>
    <x v="1"/>
    <x v="0"/>
    <x v="0"/>
    <n v="4"/>
    <n v="84839"/>
    <n v="8.4838999999999998E-2"/>
    <n v="43252"/>
    <x v="0"/>
  </r>
  <r>
    <n v="60000455"/>
    <x v="21"/>
    <x v="1"/>
    <x v="1"/>
    <x v="1"/>
    <x v="1"/>
    <n v="0.35"/>
    <x v="1"/>
    <x v="7"/>
    <x v="0"/>
    <x v="15"/>
    <x v="0"/>
    <x v="0"/>
    <x v="1"/>
    <n v="0"/>
    <n v="52981"/>
    <n v="5.2981E-2"/>
    <n v="43252"/>
    <x v="0"/>
  </r>
  <r>
    <n v="60000456"/>
    <x v="5"/>
    <x v="0"/>
    <x v="0"/>
    <x v="9"/>
    <x v="0"/>
    <n v="0.25"/>
    <x v="3"/>
    <x v="5"/>
    <x v="7"/>
    <x v="49"/>
    <x v="0"/>
    <x v="0"/>
    <x v="0"/>
    <n v="0"/>
    <n v="75264"/>
    <n v="7.5263999999999998E-2"/>
    <n v="43252"/>
    <x v="0"/>
  </r>
  <r>
    <n v="60000457"/>
    <x v="27"/>
    <x v="0"/>
    <x v="1"/>
    <x v="9"/>
    <x v="2"/>
    <n v="0.17"/>
    <x v="2"/>
    <x v="10"/>
    <x v="7"/>
    <x v="22"/>
    <x v="2"/>
    <x v="0"/>
    <x v="0"/>
    <n v="0"/>
    <n v="40112"/>
    <n v="4.0112000000000002E-2"/>
    <n v="43252"/>
    <x v="0"/>
  </r>
  <r>
    <n v="60000458"/>
    <x v="10"/>
    <x v="0"/>
    <x v="1"/>
    <x v="1"/>
    <x v="1"/>
    <n v="0.32"/>
    <x v="1"/>
    <x v="4"/>
    <x v="3"/>
    <x v="6"/>
    <x v="2"/>
    <x v="0"/>
    <x v="1"/>
    <n v="1"/>
    <n v="35550"/>
    <n v="3.5549999999999998E-2"/>
    <n v="43252"/>
    <x v="0"/>
  </r>
  <r>
    <n v="60000459"/>
    <x v="12"/>
    <x v="1"/>
    <x v="1"/>
    <x v="11"/>
    <x v="1"/>
    <n v="0.13"/>
    <x v="2"/>
    <x v="3"/>
    <x v="5"/>
    <x v="33"/>
    <x v="0"/>
    <x v="0"/>
    <x v="0"/>
    <n v="0"/>
    <n v="31234"/>
    <n v="3.1234000000000001E-2"/>
    <n v="43252"/>
    <x v="0"/>
  </r>
  <r>
    <n v="60000460"/>
    <x v="0"/>
    <x v="0"/>
    <x v="0"/>
    <x v="11"/>
    <x v="0"/>
    <n v="0.15"/>
    <x v="2"/>
    <x v="11"/>
    <x v="4"/>
    <x v="15"/>
    <x v="0"/>
    <x v="0"/>
    <x v="0"/>
    <n v="5"/>
    <n v="47650"/>
    <n v="4.7649999999999998E-2"/>
    <n v="43252"/>
    <x v="0"/>
  </r>
  <r>
    <n v="60000461"/>
    <x v="4"/>
    <x v="0"/>
    <x v="0"/>
    <x v="8"/>
    <x v="1"/>
    <n v="0.28999999999999998"/>
    <x v="3"/>
    <x v="5"/>
    <x v="0"/>
    <x v="6"/>
    <x v="1"/>
    <x v="0"/>
    <x v="1"/>
    <n v="0"/>
    <n v="74390"/>
    <n v="7.4389999999999998E-2"/>
    <n v="43252"/>
    <x v="0"/>
  </r>
  <r>
    <n v="60000462"/>
    <x v="33"/>
    <x v="1"/>
    <x v="1"/>
    <x v="4"/>
    <x v="2"/>
    <n v="0.27"/>
    <x v="3"/>
    <x v="9"/>
    <x v="7"/>
    <x v="21"/>
    <x v="2"/>
    <x v="0"/>
    <x v="1"/>
    <n v="1"/>
    <n v="31964"/>
    <n v="3.1963999999999999E-2"/>
    <n v="43252"/>
    <x v="0"/>
  </r>
  <r>
    <n v="60000463"/>
    <x v="40"/>
    <x v="1"/>
    <x v="1"/>
    <x v="5"/>
    <x v="2"/>
    <n v="0.18"/>
    <x v="2"/>
    <x v="3"/>
    <x v="11"/>
    <x v="29"/>
    <x v="2"/>
    <x v="0"/>
    <x v="0"/>
    <n v="0"/>
    <n v="36758"/>
    <n v="3.6757999999999999E-2"/>
    <n v="43252"/>
    <x v="0"/>
  </r>
  <r>
    <n v="60000464"/>
    <x v="11"/>
    <x v="0"/>
    <x v="1"/>
    <x v="10"/>
    <x v="0"/>
    <n v="0.2"/>
    <x v="0"/>
    <x v="3"/>
    <x v="8"/>
    <x v="11"/>
    <x v="1"/>
    <x v="0"/>
    <x v="0"/>
    <n v="3"/>
    <n v="74360"/>
    <n v="7.4359999999999996E-2"/>
    <n v="43252"/>
    <x v="0"/>
  </r>
  <r>
    <n v="60000465"/>
    <x v="42"/>
    <x v="1"/>
    <x v="1"/>
    <x v="6"/>
    <x v="2"/>
    <n v="0.15"/>
    <x v="2"/>
    <x v="2"/>
    <x v="7"/>
    <x v="36"/>
    <x v="2"/>
    <x v="0"/>
    <x v="0"/>
    <n v="6"/>
    <n v="38342"/>
    <n v="3.8342000000000001E-2"/>
    <n v="43252"/>
    <x v="0"/>
  </r>
  <r>
    <n v="60000466"/>
    <x v="8"/>
    <x v="1"/>
    <x v="0"/>
    <x v="5"/>
    <x v="2"/>
    <n v="0.25"/>
    <x v="3"/>
    <x v="5"/>
    <x v="3"/>
    <x v="7"/>
    <x v="2"/>
    <x v="0"/>
    <x v="0"/>
    <n v="0"/>
    <n v="23348"/>
    <n v="2.3348000000000001E-2"/>
    <n v="43252"/>
    <x v="0"/>
  </r>
  <r>
    <n v="60000467"/>
    <x v="26"/>
    <x v="1"/>
    <x v="0"/>
    <x v="4"/>
    <x v="2"/>
    <n v="0.1"/>
    <x v="4"/>
    <x v="1"/>
    <x v="9"/>
    <x v="27"/>
    <x v="2"/>
    <x v="0"/>
    <x v="1"/>
    <n v="0"/>
    <n v="59192"/>
    <n v="5.9192000000000002E-2"/>
    <n v="43252"/>
    <x v="0"/>
  </r>
  <r>
    <n v="60000468"/>
    <x v="44"/>
    <x v="0"/>
    <x v="0"/>
    <x v="9"/>
    <x v="0"/>
    <n v="0.13"/>
    <x v="2"/>
    <x v="6"/>
    <x v="1"/>
    <x v="6"/>
    <x v="1"/>
    <x v="0"/>
    <x v="0"/>
    <n v="6"/>
    <n v="84233"/>
    <n v="8.4233000000000002E-2"/>
    <n v="43252"/>
    <x v="0"/>
  </r>
  <r>
    <n v="60000469"/>
    <x v="42"/>
    <x v="0"/>
    <x v="1"/>
    <x v="3"/>
    <x v="0"/>
    <n v="0.28000000000000003"/>
    <x v="3"/>
    <x v="2"/>
    <x v="2"/>
    <x v="19"/>
    <x v="0"/>
    <x v="0"/>
    <x v="0"/>
    <n v="6"/>
    <n v="68066"/>
    <n v="6.8066000000000002E-2"/>
    <n v="43252"/>
    <x v="0"/>
  </r>
  <r>
    <n v="60000470"/>
    <x v="6"/>
    <x v="1"/>
    <x v="0"/>
    <x v="0"/>
    <x v="0"/>
    <n v="0.23"/>
    <x v="0"/>
    <x v="12"/>
    <x v="2"/>
    <x v="18"/>
    <x v="2"/>
    <x v="0"/>
    <x v="1"/>
    <n v="6"/>
    <n v="76494"/>
    <n v="7.6494000000000006E-2"/>
    <n v="43252"/>
    <x v="0"/>
  </r>
  <r>
    <n v="60000471"/>
    <x v="9"/>
    <x v="1"/>
    <x v="0"/>
    <x v="6"/>
    <x v="1"/>
    <n v="0.13"/>
    <x v="2"/>
    <x v="5"/>
    <x v="12"/>
    <x v="31"/>
    <x v="2"/>
    <x v="0"/>
    <x v="1"/>
    <n v="6"/>
    <n v="34053"/>
    <n v="3.4053E-2"/>
    <n v="43252"/>
    <x v="0"/>
  </r>
  <r>
    <n v="60000472"/>
    <x v="30"/>
    <x v="1"/>
    <x v="0"/>
    <x v="3"/>
    <x v="2"/>
    <n v="0.32"/>
    <x v="1"/>
    <x v="2"/>
    <x v="1"/>
    <x v="40"/>
    <x v="2"/>
    <x v="0"/>
    <x v="0"/>
    <n v="0"/>
    <n v="79293"/>
    <n v="7.9293000000000002E-2"/>
    <n v="43252"/>
    <x v="0"/>
  </r>
  <r>
    <n v="60000473"/>
    <x v="28"/>
    <x v="1"/>
    <x v="1"/>
    <x v="3"/>
    <x v="2"/>
    <n v="0.23"/>
    <x v="0"/>
    <x v="10"/>
    <x v="1"/>
    <x v="48"/>
    <x v="1"/>
    <x v="0"/>
    <x v="1"/>
    <n v="0"/>
    <n v="25683"/>
    <n v="2.5683000000000001E-2"/>
    <n v="43252"/>
    <x v="0"/>
  </r>
  <r>
    <n v="60000474"/>
    <x v="22"/>
    <x v="1"/>
    <x v="0"/>
    <x v="3"/>
    <x v="0"/>
    <n v="0.15"/>
    <x v="2"/>
    <x v="15"/>
    <x v="12"/>
    <x v="35"/>
    <x v="2"/>
    <x v="0"/>
    <x v="1"/>
    <n v="0"/>
    <n v="57179"/>
    <n v="5.7179000000000001E-2"/>
    <n v="43252"/>
    <x v="0"/>
  </r>
  <r>
    <n v="60000475"/>
    <x v="30"/>
    <x v="1"/>
    <x v="1"/>
    <x v="10"/>
    <x v="2"/>
    <n v="0.2"/>
    <x v="0"/>
    <x v="7"/>
    <x v="2"/>
    <x v="46"/>
    <x v="2"/>
    <x v="0"/>
    <x v="0"/>
    <n v="3"/>
    <n v="75455"/>
    <n v="7.5454999999999994E-2"/>
    <n v="43252"/>
    <x v="0"/>
  </r>
  <r>
    <n v="60000476"/>
    <x v="44"/>
    <x v="1"/>
    <x v="0"/>
    <x v="8"/>
    <x v="1"/>
    <n v="0.31"/>
    <x v="3"/>
    <x v="7"/>
    <x v="0"/>
    <x v="35"/>
    <x v="1"/>
    <x v="0"/>
    <x v="1"/>
    <n v="3"/>
    <n v="84609"/>
    <n v="8.4609000000000004E-2"/>
    <n v="43252"/>
    <x v="0"/>
  </r>
  <r>
    <n v="60000477"/>
    <x v="19"/>
    <x v="0"/>
    <x v="1"/>
    <x v="1"/>
    <x v="2"/>
    <n v="0.11"/>
    <x v="4"/>
    <x v="5"/>
    <x v="2"/>
    <x v="43"/>
    <x v="0"/>
    <x v="0"/>
    <x v="1"/>
    <n v="5"/>
    <n v="55080"/>
    <n v="5.5079999999999997E-2"/>
    <n v="43252"/>
    <x v="0"/>
  </r>
  <r>
    <n v="60000478"/>
    <x v="45"/>
    <x v="1"/>
    <x v="0"/>
    <x v="6"/>
    <x v="0"/>
    <n v="0.35"/>
    <x v="1"/>
    <x v="14"/>
    <x v="3"/>
    <x v="19"/>
    <x v="0"/>
    <x v="0"/>
    <x v="1"/>
    <n v="3"/>
    <n v="56686"/>
    <n v="5.6686E-2"/>
    <n v="43252"/>
    <x v="0"/>
  </r>
  <r>
    <n v="60000479"/>
    <x v="2"/>
    <x v="1"/>
    <x v="0"/>
    <x v="5"/>
    <x v="0"/>
    <n v="0.35"/>
    <x v="1"/>
    <x v="9"/>
    <x v="2"/>
    <x v="19"/>
    <x v="0"/>
    <x v="0"/>
    <x v="0"/>
    <n v="5"/>
    <n v="61577"/>
    <n v="6.1577E-2"/>
    <n v="43252"/>
    <x v="0"/>
  </r>
  <r>
    <n v="60000480"/>
    <x v="2"/>
    <x v="1"/>
    <x v="0"/>
    <x v="3"/>
    <x v="2"/>
    <n v="0.2"/>
    <x v="0"/>
    <x v="10"/>
    <x v="1"/>
    <x v="31"/>
    <x v="0"/>
    <x v="0"/>
    <x v="1"/>
    <n v="0"/>
    <n v="56751"/>
    <n v="5.6751000000000003E-2"/>
    <n v="43252"/>
    <x v="0"/>
  </r>
  <r>
    <n v="60000481"/>
    <x v="30"/>
    <x v="0"/>
    <x v="0"/>
    <x v="7"/>
    <x v="0"/>
    <n v="0.32"/>
    <x v="1"/>
    <x v="4"/>
    <x v="6"/>
    <x v="41"/>
    <x v="1"/>
    <x v="0"/>
    <x v="1"/>
    <n v="3"/>
    <n v="68563"/>
    <n v="6.8562999999999999E-2"/>
    <n v="43252"/>
    <x v="0"/>
  </r>
  <r>
    <n v="60000482"/>
    <x v="24"/>
    <x v="0"/>
    <x v="0"/>
    <x v="5"/>
    <x v="0"/>
    <n v="0.31"/>
    <x v="3"/>
    <x v="7"/>
    <x v="1"/>
    <x v="22"/>
    <x v="0"/>
    <x v="0"/>
    <x v="0"/>
    <n v="3"/>
    <n v="71105"/>
    <n v="7.1105000000000002E-2"/>
    <n v="43252"/>
    <x v="0"/>
  </r>
  <r>
    <n v="60000483"/>
    <x v="21"/>
    <x v="1"/>
    <x v="1"/>
    <x v="8"/>
    <x v="2"/>
    <n v="0.35"/>
    <x v="1"/>
    <x v="14"/>
    <x v="1"/>
    <x v="4"/>
    <x v="1"/>
    <x v="0"/>
    <x v="1"/>
    <n v="1"/>
    <n v="60253"/>
    <n v="6.0253000000000001E-2"/>
    <n v="43252"/>
    <x v="0"/>
  </r>
  <r>
    <n v="60000484"/>
    <x v="31"/>
    <x v="1"/>
    <x v="0"/>
    <x v="3"/>
    <x v="0"/>
    <n v="0.3"/>
    <x v="3"/>
    <x v="1"/>
    <x v="12"/>
    <x v="37"/>
    <x v="1"/>
    <x v="0"/>
    <x v="1"/>
    <n v="1"/>
    <n v="80860"/>
    <n v="8.0860000000000001E-2"/>
    <n v="43252"/>
    <x v="0"/>
  </r>
  <r>
    <n v="60000485"/>
    <x v="7"/>
    <x v="0"/>
    <x v="1"/>
    <x v="11"/>
    <x v="0"/>
    <n v="0.11"/>
    <x v="4"/>
    <x v="0"/>
    <x v="12"/>
    <x v="48"/>
    <x v="1"/>
    <x v="0"/>
    <x v="1"/>
    <n v="0"/>
    <n v="48374"/>
    <n v="4.8374E-2"/>
    <n v="43252"/>
    <x v="0"/>
  </r>
  <r>
    <n v="60000486"/>
    <x v="4"/>
    <x v="0"/>
    <x v="0"/>
    <x v="9"/>
    <x v="0"/>
    <n v="0.14000000000000001"/>
    <x v="2"/>
    <x v="10"/>
    <x v="7"/>
    <x v="12"/>
    <x v="2"/>
    <x v="0"/>
    <x v="1"/>
    <n v="0"/>
    <n v="51538"/>
    <n v="5.1538E-2"/>
    <n v="43252"/>
    <x v="0"/>
  </r>
  <r>
    <n v="60000487"/>
    <x v="3"/>
    <x v="1"/>
    <x v="1"/>
    <x v="4"/>
    <x v="2"/>
    <n v="0.18"/>
    <x v="2"/>
    <x v="11"/>
    <x v="8"/>
    <x v="45"/>
    <x v="1"/>
    <x v="0"/>
    <x v="0"/>
    <n v="1"/>
    <n v="39944"/>
    <n v="3.9944E-2"/>
    <n v="43252"/>
    <x v="0"/>
  </r>
  <r>
    <n v="60000488"/>
    <x v="36"/>
    <x v="0"/>
    <x v="0"/>
    <x v="9"/>
    <x v="2"/>
    <n v="0.11"/>
    <x v="4"/>
    <x v="15"/>
    <x v="1"/>
    <x v="31"/>
    <x v="0"/>
    <x v="0"/>
    <x v="0"/>
    <n v="2"/>
    <n v="84587"/>
    <n v="8.4586999999999996E-2"/>
    <n v="43252"/>
    <x v="0"/>
  </r>
  <r>
    <n v="60000489"/>
    <x v="14"/>
    <x v="1"/>
    <x v="1"/>
    <x v="5"/>
    <x v="1"/>
    <n v="0.36"/>
    <x v="1"/>
    <x v="13"/>
    <x v="6"/>
    <x v="0"/>
    <x v="1"/>
    <x v="0"/>
    <x v="0"/>
    <n v="0"/>
    <n v="30344"/>
    <n v="3.0343999999999999E-2"/>
    <n v="43252"/>
    <x v="0"/>
  </r>
  <r>
    <n v="60000490"/>
    <x v="25"/>
    <x v="0"/>
    <x v="0"/>
    <x v="9"/>
    <x v="1"/>
    <n v="0.24"/>
    <x v="0"/>
    <x v="3"/>
    <x v="10"/>
    <x v="17"/>
    <x v="1"/>
    <x v="0"/>
    <x v="1"/>
    <n v="2"/>
    <n v="37773"/>
    <n v="3.7773000000000001E-2"/>
    <n v="43252"/>
    <x v="0"/>
  </r>
  <r>
    <n v="60000491"/>
    <x v="19"/>
    <x v="1"/>
    <x v="0"/>
    <x v="5"/>
    <x v="0"/>
    <n v="0.32"/>
    <x v="1"/>
    <x v="13"/>
    <x v="3"/>
    <x v="42"/>
    <x v="1"/>
    <x v="0"/>
    <x v="1"/>
    <n v="7"/>
    <n v="54503"/>
    <n v="5.4503000000000003E-2"/>
    <n v="43252"/>
    <x v="0"/>
  </r>
  <r>
    <n v="60000492"/>
    <x v="7"/>
    <x v="0"/>
    <x v="0"/>
    <x v="6"/>
    <x v="1"/>
    <n v="0.17"/>
    <x v="2"/>
    <x v="7"/>
    <x v="7"/>
    <x v="3"/>
    <x v="1"/>
    <x v="0"/>
    <x v="0"/>
    <n v="2"/>
    <n v="69843"/>
    <n v="6.9843000000000002E-2"/>
    <n v="43252"/>
    <x v="0"/>
  </r>
  <r>
    <n v="60000493"/>
    <x v="6"/>
    <x v="0"/>
    <x v="1"/>
    <x v="10"/>
    <x v="2"/>
    <n v="0.26"/>
    <x v="3"/>
    <x v="1"/>
    <x v="3"/>
    <x v="32"/>
    <x v="1"/>
    <x v="0"/>
    <x v="0"/>
    <n v="2"/>
    <n v="52179"/>
    <n v="5.2179000000000003E-2"/>
    <n v="43252"/>
    <x v="0"/>
  </r>
  <r>
    <n v="60000494"/>
    <x v="37"/>
    <x v="0"/>
    <x v="0"/>
    <x v="4"/>
    <x v="1"/>
    <n v="0.28999999999999998"/>
    <x v="3"/>
    <x v="8"/>
    <x v="4"/>
    <x v="47"/>
    <x v="0"/>
    <x v="0"/>
    <x v="0"/>
    <n v="0"/>
    <n v="74828"/>
    <n v="7.4828000000000006E-2"/>
    <n v="43252"/>
    <x v="0"/>
  </r>
  <r>
    <n v="60000495"/>
    <x v="18"/>
    <x v="0"/>
    <x v="1"/>
    <x v="7"/>
    <x v="2"/>
    <n v="0.1"/>
    <x v="4"/>
    <x v="15"/>
    <x v="9"/>
    <x v="24"/>
    <x v="1"/>
    <x v="0"/>
    <x v="1"/>
    <n v="0"/>
    <n v="33616"/>
    <n v="3.3616E-2"/>
    <n v="43252"/>
    <x v="0"/>
  </r>
  <r>
    <n v="60000496"/>
    <x v="35"/>
    <x v="0"/>
    <x v="1"/>
    <x v="10"/>
    <x v="0"/>
    <n v="0.18"/>
    <x v="2"/>
    <x v="4"/>
    <x v="8"/>
    <x v="23"/>
    <x v="2"/>
    <x v="0"/>
    <x v="0"/>
    <n v="0"/>
    <n v="26557"/>
    <n v="2.6557000000000001E-2"/>
    <n v="43252"/>
    <x v="0"/>
  </r>
  <r>
    <n v="60000497"/>
    <x v="10"/>
    <x v="0"/>
    <x v="1"/>
    <x v="4"/>
    <x v="0"/>
    <n v="0.3"/>
    <x v="3"/>
    <x v="9"/>
    <x v="12"/>
    <x v="14"/>
    <x v="0"/>
    <x v="0"/>
    <x v="0"/>
    <n v="0"/>
    <n v="62858"/>
    <n v="6.2857999999999997E-2"/>
    <n v="43252"/>
    <x v="0"/>
  </r>
  <r>
    <n v="60000498"/>
    <x v="16"/>
    <x v="1"/>
    <x v="1"/>
    <x v="0"/>
    <x v="0"/>
    <n v="0.33"/>
    <x v="1"/>
    <x v="5"/>
    <x v="2"/>
    <x v="18"/>
    <x v="1"/>
    <x v="0"/>
    <x v="1"/>
    <n v="1"/>
    <n v="61560"/>
    <n v="6.1559999999999997E-2"/>
    <n v="43252"/>
    <x v="0"/>
  </r>
  <r>
    <n v="60000499"/>
    <x v="9"/>
    <x v="1"/>
    <x v="0"/>
    <x v="0"/>
    <x v="0"/>
    <n v="0.18"/>
    <x v="2"/>
    <x v="7"/>
    <x v="12"/>
    <x v="30"/>
    <x v="2"/>
    <x v="0"/>
    <x v="1"/>
    <n v="0"/>
    <n v="79005"/>
    <n v="7.9005000000000006E-2"/>
    <n v="43252"/>
    <x v="0"/>
  </r>
  <r>
    <n v="60000500"/>
    <x v="14"/>
    <x v="1"/>
    <x v="1"/>
    <x v="0"/>
    <x v="2"/>
    <n v="0.28000000000000003"/>
    <x v="3"/>
    <x v="7"/>
    <x v="4"/>
    <x v="22"/>
    <x v="1"/>
    <x v="0"/>
    <x v="1"/>
    <n v="0"/>
    <n v="28323"/>
    <n v="2.8323000000000001E-2"/>
    <n v="43252"/>
    <x v="0"/>
  </r>
  <r>
    <n v="60000501"/>
    <x v="28"/>
    <x v="1"/>
    <x v="0"/>
    <x v="4"/>
    <x v="1"/>
    <n v="0.18"/>
    <x v="2"/>
    <x v="14"/>
    <x v="1"/>
    <x v="46"/>
    <x v="2"/>
    <x v="0"/>
    <x v="0"/>
    <n v="4"/>
    <n v="52056"/>
    <n v="5.2055999999999998E-2"/>
    <n v="43252"/>
    <x v="0"/>
  </r>
  <r>
    <n v="60000502"/>
    <x v="40"/>
    <x v="0"/>
    <x v="1"/>
    <x v="4"/>
    <x v="2"/>
    <n v="0.31"/>
    <x v="3"/>
    <x v="12"/>
    <x v="3"/>
    <x v="38"/>
    <x v="1"/>
    <x v="0"/>
    <x v="1"/>
    <n v="0"/>
    <n v="39339"/>
    <n v="3.9338999999999999E-2"/>
    <n v="43252"/>
    <x v="0"/>
  </r>
  <r>
    <n v="60000503"/>
    <x v="0"/>
    <x v="1"/>
    <x v="1"/>
    <x v="10"/>
    <x v="2"/>
    <n v="0.27"/>
    <x v="3"/>
    <x v="9"/>
    <x v="1"/>
    <x v="12"/>
    <x v="1"/>
    <x v="0"/>
    <x v="1"/>
    <n v="0"/>
    <n v="41199"/>
    <n v="4.1199E-2"/>
    <n v="43252"/>
    <x v="0"/>
  </r>
  <r>
    <n v="60000504"/>
    <x v="0"/>
    <x v="1"/>
    <x v="1"/>
    <x v="11"/>
    <x v="1"/>
    <n v="0.17"/>
    <x v="2"/>
    <x v="10"/>
    <x v="10"/>
    <x v="24"/>
    <x v="0"/>
    <x v="0"/>
    <x v="1"/>
    <n v="0"/>
    <n v="49602"/>
    <n v="4.9602E-2"/>
    <n v="43252"/>
    <x v="0"/>
  </r>
  <r>
    <n v="60000505"/>
    <x v="33"/>
    <x v="0"/>
    <x v="1"/>
    <x v="3"/>
    <x v="2"/>
    <n v="0.2"/>
    <x v="0"/>
    <x v="15"/>
    <x v="4"/>
    <x v="6"/>
    <x v="0"/>
    <x v="0"/>
    <x v="1"/>
    <n v="0"/>
    <n v="36760"/>
    <n v="3.6760000000000001E-2"/>
    <n v="43252"/>
    <x v="0"/>
  </r>
  <r>
    <n v="60000506"/>
    <x v="27"/>
    <x v="0"/>
    <x v="0"/>
    <x v="2"/>
    <x v="2"/>
    <n v="0.34"/>
    <x v="1"/>
    <x v="5"/>
    <x v="9"/>
    <x v="12"/>
    <x v="1"/>
    <x v="0"/>
    <x v="1"/>
    <n v="0"/>
    <n v="79375"/>
    <n v="7.9375000000000001E-2"/>
    <n v="43252"/>
    <x v="0"/>
  </r>
  <r>
    <n v="60000507"/>
    <x v="26"/>
    <x v="0"/>
    <x v="0"/>
    <x v="5"/>
    <x v="2"/>
    <n v="0.28000000000000003"/>
    <x v="3"/>
    <x v="10"/>
    <x v="5"/>
    <x v="38"/>
    <x v="2"/>
    <x v="0"/>
    <x v="0"/>
    <n v="7"/>
    <n v="77696"/>
    <n v="7.7696000000000001E-2"/>
    <n v="43252"/>
    <x v="0"/>
  </r>
  <r>
    <n v="60000508"/>
    <x v="28"/>
    <x v="1"/>
    <x v="0"/>
    <x v="6"/>
    <x v="1"/>
    <n v="0.35"/>
    <x v="1"/>
    <x v="3"/>
    <x v="2"/>
    <x v="37"/>
    <x v="2"/>
    <x v="0"/>
    <x v="1"/>
    <n v="0"/>
    <n v="81384"/>
    <n v="8.1383999999999998E-2"/>
    <n v="43252"/>
    <x v="0"/>
  </r>
  <r>
    <n v="60000509"/>
    <x v="16"/>
    <x v="0"/>
    <x v="0"/>
    <x v="11"/>
    <x v="1"/>
    <n v="0.36"/>
    <x v="1"/>
    <x v="2"/>
    <x v="4"/>
    <x v="12"/>
    <x v="0"/>
    <x v="0"/>
    <x v="1"/>
    <n v="0"/>
    <n v="64585"/>
    <n v="6.4585000000000004E-2"/>
    <n v="43252"/>
    <x v="0"/>
  </r>
  <r>
    <n v="60000510"/>
    <x v="16"/>
    <x v="1"/>
    <x v="0"/>
    <x v="8"/>
    <x v="2"/>
    <n v="0.38"/>
    <x v="1"/>
    <x v="6"/>
    <x v="3"/>
    <x v="49"/>
    <x v="1"/>
    <x v="0"/>
    <x v="0"/>
    <n v="6"/>
    <n v="26416"/>
    <n v="2.6415999999999999E-2"/>
    <n v="43252"/>
    <x v="0"/>
  </r>
  <r>
    <n v="60000511"/>
    <x v="11"/>
    <x v="1"/>
    <x v="1"/>
    <x v="1"/>
    <x v="1"/>
    <n v="0.27"/>
    <x v="3"/>
    <x v="6"/>
    <x v="5"/>
    <x v="27"/>
    <x v="1"/>
    <x v="0"/>
    <x v="0"/>
    <n v="2"/>
    <n v="64046"/>
    <n v="6.4046000000000006E-2"/>
    <n v="43252"/>
    <x v="0"/>
  </r>
  <r>
    <n v="60000512"/>
    <x v="2"/>
    <x v="0"/>
    <x v="1"/>
    <x v="10"/>
    <x v="2"/>
    <n v="0.35"/>
    <x v="1"/>
    <x v="2"/>
    <x v="4"/>
    <x v="14"/>
    <x v="2"/>
    <x v="0"/>
    <x v="0"/>
    <n v="7"/>
    <n v="24939"/>
    <n v="2.4938999999999999E-2"/>
    <n v="43252"/>
    <x v="0"/>
  </r>
  <r>
    <n v="60000513"/>
    <x v="15"/>
    <x v="0"/>
    <x v="0"/>
    <x v="1"/>
    <x v="2"/>
    <n v="0.35"/>
    <x v="1"/>
    <x v="5"/>
    <x v="1"/>
    <x v="19"/>
    <x v="0"/>
    <x v="0"/>
    <x v="1"/>
    <n v="0"/>
    <n v="79838"/>
    <n v="7.9838000000000006E-2"/>
    <n v="43252"/>
    <x v="0"/>
  </r>
  <r>
    <n v="60000514"/>
    <x v="17"/>
    <x v="0"/>
    <x v="1"/>
    <x v="4"/>
    <x v="0"/>
    <n v="0.19"/>
    <x v="0"/>
    <x v="15"/>
    <x v="1"/>
    <x v="41"/>
    <x v="0"/>
    <x v="0"/>
    <x v="0"/>
    <n v="7"/>
    <n v="28883"/>
    <n v="2.8882999999999999E-2"/>
    <n v="43252"/>
    <x v="0"/>
  </r>
  <r>
    <n v="60000515"/>
    <x v="6"/>
    <x v="0"/>
    <x v="1"/>
    <x v="4"/>
    <x v="2"/>
    <n v="0.25"/>
    <x v="3"/>
    <x v="9"/>
    <x v="6"/>
    <x v="37"/>
    <x v="1"/>
    <x v="0"/>
    <x v="0"/>
    <n v="0"/>
    <n v="82172"/>
    <n v="8.2171999999999995E-2"/>
    <n v="43252"/>
    <x v="0"/>
  </r>
  <r>
    <n v="60000516"/>
    <x v="16"/>
    <x v="0"/>
    <x v="0"/>
    <x v="8"/>
    <x v="0"/>
    <n v="0.18"/>
    <x v="2"/>
    <x v="13"/>
    <x v="0"/>
    <x v="7"/>
    <x v="1"/>
    <x v="0"/>
    <x v="0"/>
    <n v="0"/>
    <n v="49849"/>
    <n v="4.9848999999999997E-2"/>
    <n v="43252"/>
    <x v="0"/>
  </r>
  <r>
    <n v="60000517"/>
    <x v="16"/>
    <x v="0"/>
    <x v="1"/>
    <x v="9"/>
    <x v="1"/>
    <n v="0.16"/>
    <x v="2"/>
    <x v="5"/>
    <x v="3"/>
    <x v="18"/>
    <x v="1"/>
    <x v="0"/>
    <x v="1"/>
    <n v="0"/>
    <n v="55350"/>
    <n v="5.5350000000000003E-2"/>
    <n v="43252"/>
    <x v="0"/>
  </r>
  <r>
    <n v="60000518"/>
    <x v="30"/>
    <x v="0"/>
    <x v="0"/>
    <x v="2"/>
    <x v="0"/>
    <n v="0.28000000000000003"/>
    <x v="3"/>
    <x v="9"/>
    <x v="10"/>
    <x v="33"/>
    <x v="2"/>
    <x v="0"/>
    <x v="0"/>
    <n v="3"/>
    <n v="78750"/>
    <n v="7.8750000000000001E-2"/>
    <n v="43252"/>
    <x v="0"/>
  </r>
  <r>
    <n v="60000519"/>
    <x v="23"/>
    <x v="1"/>
    <x v="0"/>
    <x v="10"/>
    <x v="0"/>
    <n v="0.17"/>
    <x v="2"/>
    <x v="7"/>
    <x v="5"/>
    <x v="49"/>
    <x v="1"/>
    <x v="0"/>
    <x v="1"/>
    <n v="3"/>
    <n v="76139"/>
    <n v="7.6138999999999998E-2"/>
    <n v="43252"/>
    <x v="0"/>
  </r>
  <r>
    <n v="60000520"/>
    <x v="27"/>
    <x v="1"/>
    <x v="0"/>
    <x v="10"/>
    <x v="1"/>
    <n v="0.32"/>
    <x v="1"/>
    <x v="8"/>
    <x v="1"/>
    <x v="33"/>
    <x v="0"/>
    <x v="0"/>
    <x v="0"/>
    <n v="7"/>
    <n v="44697"/>
    <n v="4.4697000000000001E-2"/>
    <n v="43252"/>
    <x v="0"/>
  </r>
  <r>
    <n v="60000521"/>
    <x v="39"/>
    <x v="1"/>
    <x v="0"/>
    <x v="7"/>
    <x v="0"/>
    <n v="0.32"/>
    <x v="1"/>
    <x v="14"/>
    <x v="2"/>
    <x v="17"/>
    <x v="0"/>
    <x v="0"/>
    <x v="0"/>
    <n v="3"/>
    <n v="29148"/>
    <n v="2.9148E-2"/>
    <n v="43252"/>
    <x v="0"/>
  </r>
  <r>
    <n v="60000522"/>
    <x v="23"/>
    <x v="1"/>
    <x v="1"/>
    <x v="9"/>
    <x v="2"/>
    <n v="0.3"/>
    <x v="3"/>
    <x v="12"/>
    <x v="5"/>
    <x v="43"/>
    <x v="1"/>
    <x v="0"/>
    <x v="0"/>
    <n v="7"/>
    <n v="46375"/>
    <n v="4.6375E-2"/>
    <n v="43252"/>
    <x v="0"/>
  </r>
  <r>
    <n v="60000523"/>
    <x v="39"/>
    <x v="0"/>
    <x v="1"/>
    <x v="3"/>
    <x v="0"/>
    <n v="0.1"/>
    <x v="4"/>
    <x v="13"/>
    <x v="2"/>
    <x v="27"/>
    <x v="0"/>
    <x v="0"/>
    <x v="1"/>
    <n v="6"/>
    <n v="46883"/>
    <n v="4.6883000000000001E-2"/>
    <n v="43252"/>
    <x v="0"/>
  </r>
  <r>
    <n v="60000524"/>
    <x v="20"/>
    <x v="1"/>
    <x v="0"/>
    <x v="10"/>
    <x v="2"/>
    <n v="0.22"/>
    <x v="0"/>
    <x v="10"/>
    <x v="7"/>
    <x v="0"/>
    <x v="2"/>
    <x v="0"/>
    <x v="0"/>
    <n v="0"/>
    <n v="35596"/>
    <n v="3.5596000000000003E-2"/>
    <n v="43252"/>
    <x v="0"/>
  </r>
  <r>
    <n v="60000525"/>
    <x v="22"/>
    <x v="1"/>
    <x v="1"/>
    <x v="2"/>
    <x v="2"/>
    <n v="0.37"/>
    <x v="1"/>
    <x v="8"/>
    <x v="2"/>
    <x v="37"/>
    <x v="0"/>
    <x v="0"/>
    <x v="0"/>
    <n v="4"/>
    <n v="47797"/>
    <n v="4.7796999999999999E-2"/>
    <n v="43252"/>
    <x v="0"/>
  </r>
  <r>
    <n v="60000526"/>
    <x v="9"/>
    <x v="0"/>
    <x v="1"/>
    <x v="2"/>
    <x v="2"/>
    <n v="0.13"/>
    <x v="2"/>
    <x v="12"/>
    <x v="4"/>
    <x v="2"/>
    <x v="1"/>
    <x v="0"/>
    <x v="0"/>
    <n v="7"/>
    <n v="84205"/>
    <n v="8.4205000000000002E-2"/>
    <n v="43252"/>
    <x v="0"/>
  </r>
  <r>
    <n v="60000527"/>
    <x v="5"/>
    <x v="1"/>
    <x v="1"/>
    <x v="1"/>
    <x v="2"/>
    <n v="0.31"/>
    <x v="3"/>
    <x v="6"/>
    <x v="9"/>
    <x v="8"/>
    <x v="2"/>
    <x v="0"/>
    <x v="0"/>
    <n v="0"/>
    <n v="40117"/>
    <n v="4.0117E-2"/>
    <n v="43252"/>
    <x v="0"/>
  </r>
  <r>
    <n v="60000528"/>
    <x v="18"/>
    <x v="0"/>
    <x v="0"/>
    <x v="5"/>
    <x v="2"/>
    <n v="0.24"/>
    <x v="0"/>
    <x v="12"/>
    <x v="4"/>
    <x v="42"/>
    <x v="1"/>
    <x v="0"/>
    <x v="1"/>
    <n v="0"/>
    <n v="41802"/>
    <n v="4.1801999999999999E-2"/>
    <n v="43252"/>
    <x v="0"/>
  </r>
  <r>
    <n v="60000529"/>
    <x v="5"/>
    <x v="0"/>
    <x v="0"/>
    <x v="4"/>
    <x v="2"/>
    <n v="0.34"/>
    <x v="1"/>
    <x v="9"/>
    <x v="9"/>
    <x v="29"/>
    <x v="0"/>
    <x v="0"/>
    <x v="0"/>
    <n v="0"/>
    <n v="69085"/>
    <n v="6.9084999999999994E-2"/>
    <n v="43252"/>
    <x v="0"/>
  </r>
  <r>
    <n v="60000530"/>
    <x v="5"/>
    <x v="0"/>
    <x v="1"/>
    <x v="9"/>
    <x v="2"/>
    <n v="0.38"/>
    <x v="1"/>
    <x v="6"/>
    <x v="7"/>
    <x v="40"/>
    <x v="1"/>
    <x v="0"/>
    <x v="1"/>
    <n v="6"/>
    <n v="51061"/>
    <n v="5.1061000000000002E-2"/>
    <n v="43252"/>
    <x v="0"/>
  </r>
  <r>
    <n v="60000531"/>
    <x v="5"/>
    <x v="0"/>
    <x v="1"/>
    <x v="4"/>
    <x v="2"/>
    <n v="0.14000000000000001"/>
    <x v="2"/>
    <x v="5"/>
    <x v="4"/>
    <x v="34"/>
    <x v="0"/>
    <x v="0"/>
    <x v="1"/>
    <n v="2"/>
    <n v="83923"/>
    <n v="8.3922999999999998E-2"/>
    <n v="43252"/>
    <x v="0"/>
  </r>
  <r>
    <n v="60000532"/>
    <x v="35"/>
    <x v="1"/>
    <x v="0"/>
    <x v="5"/>
    <x v="0"/>
    <n v="0.35"/>
    <x v="1"/>
    <x v="15"/>
    <x v="2"/>
    <x v="8"/>
    <x v="1"/>
    <x v="0"/>
    <x v="1"/>
    <n v="0"/>
    <n v="58922"/>
    <n v="5.8922000000000002E-2"/>
    <n v="43252"/>
    <x v="0"/>
  </r>
  <r>
    <n v="60000533"/>
    <x v="23"/>
    <x v="1"/>
    <x v="1"/>
    <x v="2"/>
    <x v="0"/>
    <n v="0.24"/>
    <x v="0"/>
    <x v="5"/>
    <x v="5"/>
    <x v="15"/>
    <x v="0"/>
    <x v="0"/>
    <x v="0"/>
    <n v="0"/>
    <n v="51571"/>
    <n v="5.1570999999999999E-2"/>
    <n v="43252"/>
    <x v="0"/>
  </r>
  <r>
    <n v="60000534"/>
    <x v="37"/>
    <x v="0"/>
    <x v="0"/>
    <x v="5"/>
    <x v="2"/>
    <n v="0.25"/>
    <x v="3"/>
    <x v="15"/>
    <x v="1"/>
    <x v="35"/>
    <x v="2"/>
    <x v="0"/>
    <x v="0"/>
    <n v="5"/>
    <n v="71370"/>
    <n v="7.1370000000000003E-2"/>
    <n v="43252"/>
    <x v="0"/>
  </r>
  <r>
    <n v="60000535"/>
    <x v="30"/>
    <x v="0"/>
    <x v="0"/>
    <x v="9"/>
    <x v="2"/>
    <n v="0.15"/>
    <x v="2"/>
    <x v="0"/>
    <x v="4"/>
    <x v="43"/>
    <x v="1"/>
    <x v="0"/>
    <x v="1"/>
    <n v="0"/>
    <n v="82397"/>
    <n v="8.2396999999999998E-2"/>
    <n v="43252"/>
    <x v="0"/>
  </r>
  <r>
    <n v="60000536"/>
    <x v="45"/>
    <x v="1"/>
    <x v="1"/>
    <x v="8"/>
    <x v="1"/>
    <n v="0.23"/>
    <x v="0"/>
    <x v="15"/>
    <x v="12"/>
    <x v="39"/>
    <x v="0"/>
    <x v="0"/>
    <x v="1"/>
    <n v="1"/>
    <n v="27825"/>
    <n v="2.7824999999999999E-2"/>
    <n v="43252"/>
    <x v="0"/>
  </r>
  <r>
    <n v="60000537"/>
    <x v="11"/>
    <x v="1"/>
    <x v="0"/>
    <x v="7"/>
    <x v="0"/>
    <n v="0.24"/>
    <x v="0"/>
    <x v="5"/>
    <x v="1"/>
    <x v="22"/>
    <x v="1"/>
    <x v="0"/>
    <x v="1"/>
    <n v="0"/>
    <n v="58041"/>
    <n v="5.8041000000000002E-2"/>
    <n v="43252"/>
    <x v="0"/>
  </r>
  <r>
    <n v="60000538"/>
    <x v="3"/>
    <x v="1"/>
    <x v="0"/>
    <x v="6"/>
    <x v="2"/>
    <n v="0.12"/>
    <x v="2"/>
    <x v="3"/>
    <x v="5"/>
    <x v="41"/>
    <x v="0"/>
    <x v="0"/>
    <x v="0"/>
    <n v="6"/>
    <n v="80139"/>
    <n v="8.0139000000000002E-2"/>
    <n v="43252"/>
    <x v="0"/>
  </r>
  <r>
    <n v="60000539"/>
    <x v="42"/>
    <x v="1"/>
    <x v="1"/>
    <x v="1"/>
    <x v="0"/>
    <n v="0.14000000000000001"/>
    <x v="2"/>
    <x v="6"/>
    <x v="1"/>
    <x v="14"/>
    <x v="2"/>
    <x v="0"/>
    <x v="1"/>
    <n v="2"/>
    <n v="70328"/>
    <n v="7.0328000000000002E-2"/>
    <n v="43252"/>
    <x v="0"/>
  </r>
  <r>
    <n v="60000540"/>
    <x v="19"/>
    <x v="1"/>
    <x v="1"/>
    <x v="5"/>
    <x v="1"/>
    <n v="0.2"/>
    <x v="0"/>
    <x v="3"/>
    <x v="3"/>
    <x v="46"/>
    <x v="0"/>
    <x v="0"/>
    <x v="0"/>
    <n v="0"/>
    <n v="39091"/>
    <n v="3.9091000000000001E-2"/>
    <n v="43252"/>
    <x v="0"/>
  </r>
  <r>
    <n v="60000541"/>
    <x v="12"/>
    <x v="0"/>
    <x v="0"/>
    <x v="10"/>
    <x v="2"/>
    <n v="0.31"/>
    <x v="3"/>
    <x v="11"/>
    <x v="5"/>
    <x v="3"/>
    <x v="2"/>
    <x v="0"/>
    <x v="1"/>
    <n v="0"/>
    <n v="57443"/>
    <n v="5.7443000000000001E-2"/>
    <n v="43252"/>
    <x v="0"/>
  </r>
  <r>
    <n v="60000542"/>
    <x v="33"/>
    <x v="0"/>
    <x v="1"/>
    <x v="1"/>
    <x v="2"/>
    <n v="0.37"/>
    <x v="1"/>
    <x v="5"/>
    <x v="5"/>
    <x v="38"/>
    <x v="1"/>
    <x v="0"/>
    <x v="1"/>
    <n v="0"/>
    <n v="37654"/>
    <n v="3.7654E-2"/>
    <n v="43252"/>
    <x v="0"/>
  </r>
  <r>
    <n v="60000543"/>
    <x v="32"/>
    <x v="0"/>
    <x v="1"/>
    <x v="11"/>
    <x v="2"/>
    <n v="0.31"/>
    <x v="3"/>
    <x v="8"/>
    <x v="11"/>
    <x v="13"/>
    <x v="1"/>
    <x v="0"/>
    <x v="0"/>
    <n v="0"/>
    <n v="76747"/>
    <n v="7.6746999999999996E-2"/>
    <n v="43252"/>
    <x v="0"/>
  </r>
  <r>
    <n v="60000544"/>
    <x v="21"/>
    <x v="1"/>
    <x v="0"/>
    <x v="5"/>
    <x v="2"/>
    <n v="0.22"/>
    <x v="0"/>
    <x v="5"/>
    <x v="8"/>
    <x v="1"/>
    <x v="2"/>
    <x v="0"/>
    <x v="0"/>
    <n v="7"/>
    <n v="79615"/>
    <n v="7.9615000000000005E-2"/>
    <n v="43252"/>
    <x v="0"/>
  </r>
  <r>
    <n v="60000545"/>
    <x v="43"/>
    <x v="0"/>
    <x v="1"/>
    <x v="3"/>
    <x v="0"/>
    <n v="0.18"/>
    <x v="2"/>
    <x v="15"/>
    <x v="8"/>
    <x v="2"/>
    <x v="1"/>
    <x v="0"/>
    <x v="1"/>
    <n v="0"/>
    <n v="51669"/>
    <n v="5.1669E-2"/>
    <n v="43252"/>
    <x v="0"/>
  </r>
  <r>
    <n v="60000546"/>
    <x v="4"/>
    <x v="1"/>
    <x v="1"/>
    <x v="11"/>
    <x v="1"/>
    <n v="0.21"/>
    <x v="0"/>
    <x v="11"/>
    <x v="12"/>
    <x v="32"/>
    <x v="0"/>
    <x v="0"/>
    <x v="1"/>
    <n v="0"/>
    <n v="45235"/>
    <n v="4.5234999999999997E-2"/>
    <n v="43252"/>
    <x v="0"/>
  </r>
  <r>
    <n v="60000547"/>
    <x v="15"/>
    <x v="1"/>
    <x v="0"/>
    <x v="2"/>
    <x v="1"/>
    <n v="0.33"/>
    <x v="1"/>
    <x v="8"/>
    <x v="12"/>
    <x v="14"/>
    <x v="2"/>
    <x v="0"/>
    <x v="1"/>
    <n v="0"/>
    <n v="69731"/>
    <n v="6.9731000000000001E-2"/>
    <n v="43252"/>
    <x v="0"/>
  </r>
  <r>
    <n v="60000548"/>
    <x v="37"/>
    <x v="1"/>
    <x v="0"/>
    <x v="11"/>
    <x v="2"/>
    <n v="0.17"/>
    <x v="2"/>
    <x v="15"/>
    <x v="5"/>
    <x v="40"/>
    <x v="1"/>
    <x v="0"/>
    <x v="0"/>
    <n v="0"/>
    <n v="40946"/>
    <n v="4.0946000000000003E-2"/>
    <n v="43252"/>
    <x v="0"/>
  </r>
  <r>
    <n v="60000549"/>
    <x v="27"/>
    <x v="0"/>
    <x v="0"/>
    <x v="7"/>
    <x v="0"/>
    <n v="0.33"/>
    <x v="1"/>
    <x v="5"/>
    <x v="1"/>
    <x v="26"/>
    <x v="2"/>
    <x v="0"/>
    <x v="1"/>
    <n v="0"/>
    <n v="69945"/>
    <n v="6.9944999999999993E-2"/>
    <n v="43252"/>
    <x v="0"/>
  </r>
  <r>
    <n v="60000550"/>
    <x v="26"/>
    <x v="0"/>
    <x v="1"/>
    <x v="2"/>
    <x v="0"/>
    <n v="0.33"/>
    <x v="1"/>
    <x v="14"/>
    <x v="4"/>
    <x v="8"/>
    <x v="0"/>
    <x v="0"/>
    <x v="0"/>
    <n v="0"/>
    <n v="67008"/>
    <n v="6.7007999999999998E-2"/>
    <n v="43252"/>
    <x v="0"/>
  </r>
  <r>
    <n v="60000551"/>
    <x v="12"/>
    <x v="1"/>
    <x v="0"/>
    <x v="2"/>
    <x v="1"/>
    <n v="0.21"/>
    <x v="0"/>
    <x v="11"/>
    <x v="12"/>
    <x v="10"/>
    <x v="0"/>
    <x v="0"/>
    <x v="1"/>
    <n v="4"/>
    <n v="56667"/>
    <n v="5.6667000000000002E-2"/>
    <n v="43252"/>
    <x v="0"/>
  </r>
  <r>
    <n v="60000552"/>
    <x v="4"/>
    <x v="0"/>
    <x v="1"/>
    <x v="2"/>
    <x v="1"/>
    <n v="0.28000000000000003"/>
    <x v="3"/>
    <x v="12"/>
    <x v="5"/>
    <x v="23"/>
    <x v="2"/>
    <x v="0"/>
    <x v="0"/>
    <n v="0"/>
    <n v="32042"/>
    <n v="3.2042000000000001E-2"/>
    <n v="43252"/>
    <x v="0"/>
  </r>
  <r>
    <n v="60000553"/>
    <x v="22"/>
    <x v="1"/>
    <x v="0"/>
    <x v="1"/>
    <x v="2"/>
    <n v="0.35"/>
    <x v="1"/>
    <x v="8"/>
    <x v="7"/>
    <x v="17"/>
    <x v="0"/>
    <x v="0"/>
    <x v="1"/>
    <n v="7"/>
    <n v="57373"/>
    <n v="5.7373E-2"/>
    <n v="43252"/>
    <x v="0"/>
  </r>
  <r>
    <n v="60000554"/>
    <x v="8"/>
    <x v="0"/>
    <x v="0"/>
    <x v="1"/>
    <x v="2"/>
    <n v="0.11"/>
    <x v="4"/>
    <x v="15"/>
    <x v="6"/>
    <x v="1"/>
    <x v="2"/>
    <x v="0"/>
    <x v="1"/>
    <n v="0"/>
    <n v="34399"/>
    <n v="3.4398999999999999E-2"/>
    <n v="43252"/>
    <x v="0"/>
  </r>
  <r>
    <n v="60000555"/>
    <x v="11"/>
    <x v="0"/>
    <x v="1"/>
    <x v="9"/>
    <x v="0"/>
    <n v="0.38"/>
    <x v="1"/>
    <x v="1"/>
    <x v="8"/>
    <x v="42"/>
    <x v="1"/>
    <x v="0"/>
    <x v="1"/>
    <n v="0"/>
    <n v="65066"/>
    <n v="6.5065999999999999E-2"/>
    <n v="43252"/>
    <x v="0"/>
  </r>
  <r>
    <n v="60000556"/>
    <x v="7"/>
    <x v="0"/>
    <x v="1"/>
    <x v="2"/>
    <x v="0"/>
    <n v="0.15"/>
    <x v="2"/>
    <x v="7"/>
    <x v="3"/>
    <x v="22"/>
    <x v="1"/>
    <x v="0"/>
    <x v="1"/>
    <n v="0"/>
    <n v="25621"/>
    <n v="2.5621000000000001E-2"/>
    <n v="43252"/>
    <x v="0"/>
  </r>
  <r>
    <n v="60000557"/>
    <x v="22"/>
    <x v="1"/>
    <x v="1"/>
    <x v="1"/>
    <x v="1"/>
    <n v="0.23"/>
    <x v="0"/>
    <x v="14"/>
    <x v="3"/>
    <x v="28"/>
    <x v="0"/>
    <x v="0"/>
    <x v="0"/>
    <n v="7"/>
    <n v="81039"/>
    <n v="8.1039E-2"/>
    <n v="43252"/>
    <x v="0"/>
  </r>
  <r>
    <n v="60000558"/>
    <x v="26"/>
    <x v="0"/>
    <x v="0"/>
    <x v="2"/>
    <x v="1"/>
    <n v="0.23"/>
    <x v="0"/>
    <x v="14"/>
    <x v="11"/>
    <x v="0"/>
    <x v="2"/>
    <x v="0"/>
    <x v="1"/>
    <n v="0"/>
    <n v="60055"/>
    <n v="6.0054999999999997E-2"/>
    <n v="43252"/>
    <x v="0"/>
  </r>
  <r>
    <n v="60000559"/>
    <x v="0"/>
    <x v="0"/>
    <x v="0"/>
    <x v="10"/>
    <x v="2"/>
    <n v="0.31"/>
    <x v="3"/>
    <x v="10"/>
    <x v="2"/>
    <x v="45"/>
    <x v="1"/>
    <x v="0"/>
    <x v="0"/>
    <n v="4"/>
    <n v="59665"/>
    <n v="5.9665000000000003E-2"/>
    <n v="43252"/>
    <x v="0"/>
  </r>
  <r>
    <n v="60000560"/>
    <x v="9"/>
    <x v="1"/>
    <x v="1"/>
    <x v="5"/>
    <x v="0"/>
    <n v="0.18"/>
    <x v="2"/>
    <x v="8"/>
    <x v="4"/>
    <x v="33"/>
    <x v="2"/>
    <x v="0"/>
    <x v="0"/>
    <n v="2"/>
    <n v="79766"/>
    <n v="7.9766000000000004E-2"/>
    <n v="43252"/>
    <x v="0"/>
  </r>
  <r>
    <n v="60000561"/>
    <x v="34"/>
    <x v="1"/>
    <x v="0"/>
    <x v="0"/>
    <x v="0"/>
    <n v="0.26"/>
    <x v="3"/>
    <x v="0"/>
    <x v="10"/>
    <x v="28"/>
    <x v="0"/>
    <x v="0"/>
    <x v="1"/>
    <n v="0"/>
    <n v="72085"/>
    <n v="7.2084999999999996E-2"/>
    <n v="43252"/>
    <x v="0"/>
  </r>
  <r>
    <n v="60000562"/>
    <x v="24"/>
    <x v="1"/>
    <x v="0"/>
    <x v="6"/>
    <x v="2"/>
    <n v="0.2"/>
    <x v="0"/>
    <x v="14"/>
    <x v="5"/>
    <x v="36"/>
    <x v="0"/>
    <x v="0"/>
    <x v="1"/>
    <n v="0"/>
    <n v="30210"/>
    <n v="3.0210000000000001E-2"/>
    <n v="43252"/>
    <x v="0"/>
  </r>
  <r>
    <n v="60000563"/>
    <x v="36"/>
    <x v="1"/>
    <x v="0"/>
    <x v="1"/>
    <x v="0"/>
    <n v="0.34"/>
    <x v="1"/>
    <x v="5"/>
    <x v="7"/>
    <x v="48"/>
    <x v="1"/>
    <x v="0"/>
    <x v="1"/>
    <n v="2"/>
    <n v="71522"/>
    <n v="7.1522000000000002E-2"/>
    <n v="43252"/>
    <x v="0"/>
  </r>
  <r>
    <n v="60000564"/>
    <x v="42"/>
    <x v="1"/>
    <x v="0"/>
    <x v="3"/>
    <x v="2"/>
    <n v="0.19"/>
    <x v="0"/>
    <x v="6"/>
    <x v="8"/>
    <x v="32"/>
    <x v="2"/>
    <x v="0"/>
    <x v="1"/>
    <n v="0"/>
    <n v="72112"/>
    <n v="7.2111999999999996E-2"/>
    <n v="43252"/>
    <x v="0"/>
  </r>
  <r>
    <n v="60000565"/>
    <x v="7"/>
    <x v="1"/>
    <x v="0"/>
    <x v="7"/>
    <x v="0"/>
    <n v="0.1"/>
    <x v="4"/>
    <x v="3"/>
    <x v="9"/>
    <x v="31"/>
    <x v="0"/>
    <x v="0"/>
    <x v="1"/>
    <n v="2"/>
    <n v="23879"/>
    <n v="2.3879000000000001E-2"/>
    <n v="43252"/>
    <x v="0"/>
  </r>
  <r>
    <n v="60000566"/>
    <x v="17"/>
    <x v="1"/>
    <x v="1"/>
    <x v="8"/>
    <x v="0"/>
    <n v="0.37"/>
    <x v="1"/>
    <x v="5"/>
    <x v="5"/>
    <x v="8"/>
    <x v="0"/>
    <x v="0"/>
    <x v="1"/>
    <n v="0"/>
    <n v="51537"/>
    <n v="5.1536999999999999E-2"/>
    <n v="43252"/>
    <x v="0"/>
  </r>
  <r>
    <n v="60000567"/>
    <x v="41"/>
    <x v="0"/>
    <x v="1"/>
    <x v="8"/>
    <x v="0"/>
    <n v="0.36"/>
    <x v="1"/>
    <x v="10"/>
    <x v="11"/>
    <x v="34"/>
    <x v="2"/>
    <x v="0"/>
    <x v="1"/>
    <n v="0"/>
    <n v="73829"/>
    <n v="7.3829000000000006E-2"/>
    <n v="43252"/>
    <x v="0"/>
  </r>
  <r>
    <n v="60000568"/>
    <x v="41"/>
    <x v="0"/>
    <x v="0"/>
    <x v="2"/>
    <x v="2"/>
    <n v="0.12"/>
    <x v="2"/>
    <x v="5"/>
    <x v="5"/>
    <x v="35"/>
    <x v="2"/>
    <x v="0"/>
    <x v="1"/>
    <n v="6"/>
    <n v="55684"/>
    <n v="5.5683999999999997E-2"/>
    <n v="43252"/>
    <x v="0"/>
  </r>
  <r>
    <n v="60000569"/>
    <x v="33"/>
    <x v="1"/>
    <x v="0"/>
    <x v="6"/>
    <x v="2"/>
    <n v="0.34"/>
    <x v="1"/>
    <x v="3"/>
    <x v="9"/>
    <x v="47"/>
    <x v="2"/>
    <x v="0"/>
    <x v="0"/>
    <n v="1"/>
    <n v="66711"/>
    <n v="6.6711000000000006E-2"/>
    <n v="43252"/>
    <x v="0"/>
  </r>
  <r>
    <n v="60000570"/>
    <x v="16"/>
    <x v="1"/>
    <x v="1"/>
    <x v="7"/>
    <x v="2"/>
    <n v="0.35"/>
    <x v="1"/>
    <x v="2"/>
    <x v="0"/>
    <x v="35"/>
    <x v="1"/>
    <x v="0"/>
    <x v="1"/>
    <n v="4"/>
    <n v="35715"/>
    <n v="3.5714999999999997E-2"/>
    <n v="43252"/>
    <x v="0"/>
  </r>
  <r>
    <n v="60000571"/>
    <x v="10"/>
    <x v="1"/>
    <x v="0"/>
    <x v="0"/>
    <x v="1"/>
    <n v="0.38"/>
    <x v="1"/>
    <x v="1"/>
    <x v="4"/>
    <x v="38"/>
    <x v="0"/>
    <x v="0"/>
    <x v="1"/>
    <n v="5"/>
    <n v="74814"/>
    <n v="7.4814000000000005E-2"/>
    <n v="43252"/>
    <x v="0"/>
  </r>
  <r>
    <n v="60000572"/>
    <x v="6"/>
    <x v="0"/>
    <x v="0"/>
    <x v="5"/>
    <x v="2"/>
    <n v="0.13"/>
    <x v="2"/>
    <x v="9"/>
    <x v="2"/>
    <x v="40"/>
    <x v="1"/>
    <x v="0"/>
    <x v="0"/>
    <n v="0"/>
    <n v="83368"/>
    <n v="8.3367999999999998E-2"/>
    <n v="43252"/>
    <x v="0"/>
  </r>
  <r>
    <n v="60000573"/>
    <x v="34"/>
    <x v="0"/>
    <x v="0"/>
    <x v="6"/>
    <x v="1"/>
    <n v="0.13"/>
    <x v="2"/>
    <x v="13"/>
    <x v="9"/>
    <x v="3"/>
    <x v="2"/>
    <x v="0"/>
    <x v="1"/>
    <n v="0"/>
    <n v="37503"/>
    <n v="3.7503000000000002E-2"/>
    <n v="43252"/>
    <x v="0"/>
  </r>
  <r>
    <n v="60000574"/>
    <x v="13"/>
    <x v="0"/>
    <x v="1"/>
    <x v="9"/>
    <x v="1"/>
    <n v="0.12"/>
    <x v="2"/>
    <x v="5"/>
    <x v="0"/>
    <x v="8"/>
    <x v="1"/>
    <x v="0"/>
    <x v="0"/>
    <n v="0"/>
    <n v="24263"/>
    <n v="2.4263E-2"/>
    <n v="43252"/>
    <x v="0"/>
  </r>
  <r>
    <n v="60000575"/>
    <x v="1"/>
    <x v="1"/>
    <x v="0"/>
    <x v="4"/>
    <x v="1"/>
    <n v="0.14000000000000001"/>
    <x v="2"/>
    <x v="10"/>
    <x v="10"/>
    <x v="42"/>
    <x v="1"/>
    <x v="0"/>
    <x v="0"/>
    <n v="0"/>
    <n v="41770"/>
    <n v="4.1770000000000002E-2"/>
    <n v="43252"/>
    <x v="0"/>
  </r>
  <r>
    <n v="60000576"/>
    <x v="38"/>
    <x v="0"/>
    <x v="0"/>
    <x v="9"/>
    <x v="0"/>
    <n v="0.3"/>
    <x v="3"/>
    <x v="11"/>
    <x v="8"/>
    <x v="4"/>
    <x v="0"/>
    <x v="0"/>
    <x v="0"/>
    <n v="0"/>
    <n v="55840"/>
    <n v="5.5840000000000001E-2"/>
    <n v="43252"/>
    <x v="0"/>
  </r>
  <r>
    <n v="60000577"/>
    <x v="24"/>
    <x v="1"/>
    <x v="0"/>
    <x v="1"/>
    <x v="1"/>
    <n v="0.11"/>
    <x v="4"/>
    <x v="11"/>
    <x v="12"/>
    <x v="9"/>
    <x v="0"/>
    <x v="0"/>
    <x v="0"/>
    <n v="1"/>
    <n v="72353"/>
    <n v="7.2353000000000001E-2"/>
    <n v="43252"/>
    <x v="0"/>
  </r>
  <r>
    <n v="60000578"/>
    <x v="27"/>
    <x v="1"/>
    <x v="0"/>
    <x v="7"/>
    <x v="2"/>
    <n v="0.36"/>
    <x v="1"/>
    <x v="8"/>
    <x v="5"/>
    <x v="17"/>
    <x v="1"/>
    <x v="0"/>
    <x v="1"/>
    <n v="6"/>
    <n v="40780"/>
    <n v="4.0779999999999997E-2"/>
    <n v="43252"/>
    <x v="0"/>
  </r>
  <r>
    <n v="60000579"/>
    <x v="10"/>
    <x v="1"/>
    <x v="1"/>
    <x v="8"/>
    <x v="2"/>
    <n v="0.26"/>
    <x v="3"/>
    <x v="10"/>
    <x v="7"/>
    <x v="27"/>
    <x v="2"/>
    <x v="0"/>
    <x v="0"/>
    <n v="7"/>
    <n v="76617"/>
    <n v="7.6617000000000005E-2"/>
    <n v="43252"/>
    <x v="0"/>
  </r>
  <r>
    <n v="60000580"/>
    <x v="44"/>
    <x v="0"/>
    <x v="1"/>
    <x v="6"/>
    <x v="0"/>
    <n v="0.15"/>
    <x v="2"/>
    <x v="3"/>
    <x v="4"/>
    <x v="5"/>
    <x v="0"/>
    <x v="0"/>
    <x v="0"/>
    <n v="0"/>
    <n v="68090"/>
    <n v="6.8089999999999998E-2"/>
    <n v="43252"/>
    <x v="0"/>
  </r>
  <r>
    <n v="60000581"/>
    <x v="45"/>
    <x v="1"/>
    <x v="1"/>
    <x v="10"/>
    <x v="0"/>
    <n v="0.1"/>
    <x v="4"/>
    <x v="4"/>
    <x v="12"/>
    <x v="32"/>
    <x v="1"/>
    <x v="0"/>
    <x v="1"/>
    <n v="7"/>
    <n v="46276"/>
    <n v="4.6275999999999998E-2"/>
    <n v="43252"/>
    <x v="0"/>
  </r>
  <r>
    <n v="60000582"/>
    <x v="5"/>
    <x v="1"/>
    <x v="0"/>
    <x v="2"/>
    <x v="0"/>
    <n v="0.11"/>
    <x v="4"/>
    <x v="4"/>
    <x v="11"/>
    <x v="23"/>
    <x v="0"/>
    <x v="0"/>
    <x v="0"/>
    <n v="7"/>
    <n v="41093"/>
    <n v="4.1092999999999998E-2"/>
    <n v="43252"/>
    <x v="0"/>
  </r>
  <r>
    <n v="60000583"/>
    <x v="2"/>
    <x v="1"/>
    <x v="1"/>
    <x v="5"/>
    <x v="0"/>
    <n v="0.36"/>
    <x v="1"/>
    <x v="1"/>
    <x v="12"/>
    <x v="13"/>
    <x v="0"/>
    <x v="0"/>
    <x v="0"/>
    <n v="1"/>
    <n v="53884"/>
    <n v="5.3884000000000001E-2"/>
    <n v="43252"/>
    <x v="0"/>
  </r>
  <r>
    <n v="60000584"/>
    <x v="10"/>
    <x v="0"/>
    <x v="0"/>
    <x v="5"/>
    <x v="2"/>
    <n v="0.32"/>
    <x v="1"/>
    <x v="15"/>
    <x v="8"/>
    <x v="5"/>
    <x v="1"/>
    <x v="0"/>
    <x v="1"/>
    <n v="0"/>
    <n v="76973"/>
    <n v="7.6973E-2"/>
    <n v="43252"/>
    <x v="0"/>
  </r>
  <r>
    <n v="60000585"/>
    <x v="33"/>
    <x v="1"/>
    <x v="1"/>
    <x v="1"/>
    <x v="1"/>
    <n v="0.14000000000000001"/>
    <x v="2"/>
    <x v="9"/>
    <x v="8"/>
    <x v="39"/>
    <x v="0"/>
    <x v="0"/>
    <x v="0"/>
    <n v="0"/>
    <n v="45982"/>
    <n v="4.5982000000000002E-2"/>
    <n v="43252"/>
    <x v="0"/>
  </r>
  <r>
    <n v="60000586"/>
    <x v="12"/>
    <x v="1"/>
    <x v="1"/>
    <x v="3"/>
    <x v="2"/>
    <n v="0.27"/>
    <x v="3"/>
    <x v="15"/>
    <x v="12"/>
    <x v="22"/>
    <x v="1"/>
    <x v="0"/>
    <x v="0"/>
    <n v="0"/>
    <n v="28570"/>
    <n v="2.8570000000000002E-2"/>
    <n v="43252"/>
    <x v="0"/>
  </r>
  <r>
    <n v="60000587"/>
    <x v="29"/>
    <x v="0"/>
    <x v="0"/>
    <x v="5"/>
    <x v="1"/>
    <n v="0.22"/>
    <x v="0"/>
    <x v="12"/>
    <x v="10"/>
    <x v="46"/>
    <x v="0"/>
    <x v="0"/>
    <x v="1"/>
    <n v="4"/>
    <n v="71377"/>
    <n v="7.1376999999999996E-2"/>
    <n v="43252"/>
    <x v="0"/>
  </r>
  <r>
    <n v="60000588"/>
    <x v="3"/>
    <x v="1"/>
    <x v="0"/>
    <x v="6"/>
    <x v="2"/>
    <n v="0.26"/>
    <x v="3"/>
    <x v="1"/>
    <x v="12"/>
    <x v="18"/>
    <x v="0"/>
    <x v="0"/>
    <x v="1"/>
    <n v="0"/>
    <n v="57215"/>
    <n v="5.7215000000000002E-2"/>
    <n v="43252"/>
    <x v="0"/>
  </r>
  <r>
    <n v="60000589"/>
    <x v="19"/>
    <x v="0"/>
    <x v="1"/>
    <x v="8"/>
    <x v="0"/>
    <n v="0.37"/>
    <x v="1"/>
    <x v="15"/>
    <x v="3"/>
    <x v="7"/>
    <x v="1"/>
    <x v="0"/>
    <x v="0"/>
    <n v="2"/>
    <n v="48218"/>
    <n v="4.8217999999999997E-2"/>
    <n v="43252"/>
    <x v="0"/>
  </r>
  <r>
    <n v="60000590"/>
    <x v="7"/>
    <x v="0"/>
    <x v="0"/>
    <x v="11"/>
    <x v="0"/>
    <n v="0.18"/>
    <x v="2"/>
    <x v="7"/>
    <x v="8"/>
    <x v="45"/>
    <x v="1"/>
    <x v="0"/>
    <x v="0"/>
    <n v="0"/>
    <n v="50569"/>
    <n v="5.0569000000000003E-2"/>
    <n v="43252"/>
    <x v="0"/>
  </r>
  <r>
    <n v="60000591"/>
    <x v="41"/>
    <x v="1"/>
    <x v="0"/>
    <x v="8"/>
    <x v="0"/>
    <n v="0.28000000000000003"/>
    <x v="3"/>
    <x v="5"/>
    <x v="2"/>
    <x v="4"/>
    <x v="1"/>
    <x v="0"/>
    <x v="0"/>
    <n v="0"/>
    <n v="65399"/>
    <n v="6.5398999999999999E-2"/>
    <n v="43252"/>
    <x v="0"/>
  </r>
  <r>
    <n v="60000592"/>
    <x v="32"/>
    <x v="1"/>
    <x v="1"/>
    <x v="11"/>
    <x v="2"/>
    <n v="0.28000000000000003"/>
    <x v="3"/>
    <x v="10"/>
    <x v="12"/>
    <x v="28"/>
    <x v="2"/>
    <x v="0"/>
    <x v="1"/>
    <n v="0"/>
    <n v="52033"/>
    <n v="5.2033000000000003E-2"/>
    <n v="43252"/>
    <x v="0"/>
  </r>
  <r>
    <n v="60000593"/>
    <x v="23"/>
    <x v="1"/>
    <x v="1"/>
    <x v="3"/>
    <x v="0"/>
    <n v="0.13"/>
    <x v="2"/>
    <x v="1"/>
    <x v="11"/>
    <x v="42"/>
    <x v="1"/>
    <x v="0"/>
    <x v="0"/>
    <n v="0"/>
    <n v="68451"/>
    <n v="6.8450999999999998E-2"/>
    <n v="43252"/>
    <x v="0"/>
  </r>
  <r>
    <n v="60000594"/>
    <x v="32"/>
    <x v="0"/>
    <x v="1"/>
    <x v="9"/>
    <x v="1"/>
    <n v="0.19"/>
    <x v="0"/>
    <x v="0"/>
    <x v="3"/>
    <x v="29"/>
    <x v="1"/>
    <x v="0"/>
    <x v="0"/>
    <n v="0"/>
    <n v="25667"/>
    <n v="2.5666999999999999E-2"/>
    <n v="43252"/>
    <x v="0"/>
  </r>
  <r>
    <n v="60000595"/>
    <x v="17"/>
    <x v="0"/>
    <x v="0"/>
    <x v="11"/>
    <x v="0"/>
    <n v="0.2"/>
    <x v="0"/>
    <x v="11"/>
    <x v="7"/>
    <x v="37"/>
    <x v="0"/>
    <x v="0"/>
    <x v="0"/>
    <n v="0"/>
    <n v="83560"/>
    <n v="8.3559999999999995E-2"/>
    <n v="43252"/>
    <x v="0"/>
  </r>
  <r>
    <n v="60000596"/>
    <x v="34"/>
    <x v="1"/>
    <x v="1"/>
    <x v="9"/>
    <x v="2"/>
    <n v="0.26"/>
    <x v="3"/>
    <x v="5"/>
    <x v="11"/>
    <x v="48"/>
    <x v="0"/>
    <x v="0"/>
    <x v="1"/>
    <n v="0"/>
    <n v="57917"/>
    <n v="5.7917000000000003E-2"/>
    <n v="43252"/>
    <x v="0"/>
  </r>
  <r>
    <n v="60000597"/>
    <x v="32"/>
    <x v="1"/>
    <x v="0"/>
    <x v="3"/>
    <x v="1"/>
    <n v="0.16"/>
    <x v="2"/>
    <x v="11"/>
    <x v="6"/>
    <x v="38"/>
    <x v="1"/>
    <x v="0"/>
    <x v="0"/>
    <n v="0"/>
    <n v="50258"/>
    <n v="5.0257999999999997E-2"/>
    <n v="43252"/>
    <x v="0"/>
  </r>
  <r>
    <n v="60000598"/>
    <x v="8"/>
    <x v="1"/>
    <x v="1"/>
    <x v="7"/>
    <x v="1"/>
    <n v="0.15"/>
    <x v="2"/>
    <x v="1"/>
    <x v="7"/>
    <x v="36"/>
    <x v="0"/>
    <x v="0"/>
    <x v="0"/>
    <n v="1"/>
    <n v="53537"/>
    <n v="5.3537000000000001E-2"/>
    <n v="43252"/>
    <x v="0"/>
  </r>
  <r>
    <n v="60000599"/>
    <x v="10"/>
    <x v="0"/>
    <x v="1"/>
    <x v="7"/>
    <x v="1"/>
    <n v="0.22"/>
    <x v="0"/>
    <x v="9"/>
    <x v="5"/>
    <x v="9"/>
    <x v="1"/>
    <x v="0"/>
    <x v="1"/>
    <n v="5"/>
    <n v="36408"/>
    <n v="3.6408000000000003E-2"/>
    <n v="43252"/>
    <x v="0"/>
  </r>
  <r>
    <n v="60000600"/>
    <x v="27"/>
    <x v="1"/>
    <x v="1"/>
    <x v="8"/>
    <x v="0"/>
    <n v="0.22"/>
    <x v="0"/>
    <x v="14"/>
    <x v="9"/>
    <x v="33"/>
    <x v="0"/>
    <x v="0"/>
    <x v="0"/>
    <n v="0"/>
    <n v="68952"/>
    <n v="6.8951999999999999E-2"/>
    <n v="43252"/>
    <x v="0"/>
  </r>
  <r>
    <n v="60000601"/>
    <x v="30"/>
    <x v="0"/>
    <x v="0"/>
    <x v="1"/>
    <x v="1"/>
    <n v="0.27"/>
    <x v="3"/>
    <x v="4"/>
    <x v="3"/>
    <x v="7"/>
    <x v="1"/>
    <x v="0"/>
    <x v="1"/>
    <n v="0"/>
    <n v="64036"/>
    <n v="6.4035999999999996E-2"/>
    <n v="43252"/>
    <x v="0"/>
  </r>
  <r>
    <n v="60000602"/>
    <x v="18"/>
    <x v="1"/>
    <x v="1"/>
    <x v="9"/>
    <x v="2"/>
    <n v="0.18"/>
    <x v="2"/>
    <x v="7"/>
    <x v="2"/>
    <x v="30"/>
    <x v="2"/>
    <x v="0"/>
    <x v="1"/>
    <n v="0"/>
    <n v="56531"/>
    <n v="5.6530999999999998E-2"/>
    <n v="43252"/>
    <x v="0"/>
  </r>
  <r>
    <n v="60000603"/>
    <x v="7"/>
    <x v="0"/>
    <x v="0"/>
    <x v="11"/>
    <x v="0"/>
    <n v="0.18"/>
    <x v="2"/>
    <x v="2"/>
    <x v="5"/>
    <x v="16"/>
    <x v="1"/>
    <x v="0"/>
    <x v="1"/>
    <n v="0"/>
    <n v="75914"/>
    <n v="7.5913999999999995E-2"/>
    <n v="43252"/>
    <x v="0"/>
  </r>
  <r>
    <n v="60000604"/>
    <x v="37"/>
    <x v="0"/>
    <x v="0"/>
    <x v="5"/>
    <x v="1"/>
    <n v="0.14000000000000001"/>
    <x v="2"/>
    <x v="14"/>
    <x v="3"/>
    <x v="12"/>
    <x v="2"/>
    <x v="0"/>
    <x v="1"/>
    <n v="4"/>
    <n v="68867"/>
    <n v="6.8866999999999998E-2"/>
    <n v="43252"/>
    <x v="0"/>
  </r>
  <r>
    <n v="60000605"/>
    <x v="30"/>
    <x v="1"/>
    <x v="0"/>
    <x v="5"/>
    <x v="0"/>
    <n v="0.14000000000000001"/>
    <x v="2"/>
    <x v="1"/>
    <x v="7"/>
    <x v="47"/>
    <x v="2"/>
    <x v="0"/>
    <x v="1"/>
    <n v="0"/>
    <n v="68635"/>
    <n v="6.8635000000000002E-2"/>
    <n v="43252"/>
    <x v="0"/>
  </r>
  <r>
    <n v="60000606"/>
    <x v="9"/>
    <x v="1"/>
    <x v="1"/>
    <x v="6"/>
    <x v="0"/>
    <n v="0.34"/>
    <x v="1"/>
    <x v="7"/>
    <x v="5"/>
    <x v="9"/>
    <x v="2"/>
    <x v="0"/>
    <x v="0"/>
    <n v="3"/>
    <n v="81611"/>
    <n v="8.1611000000000003E-2"/>
    <n v="43252"/>
    <x v="0"/>
  </r>
  <r>
    <n v="60000607"/>
    <x v="3"/>
    <x v="0"/>
    <x v="0"/>
    <x v="1"/>
    <x v="0"/>
    <n v="0.33"/>
    <x v="1"/>
    <x v="5"/>
    <x v="4"/>
    <x v="27"/>
    <x v="2"/>
    <x v="0"/>
    <x v="0"/>
    <n v="5"/>
    <n v="48508"/>
    <n v="4.8508000000000003E-2"/>
    <n v="43252"/>
    <x v="0"/>
  </r>
  <r>
    <n v="60000608"/>
    <x v="11"/>
    <x v="1"/>
    <x v="1"/>
    <x v="8"/>
    <x v="0"/>
    <n v="0.37"/>
    <x v="1"/>
    <x v="0"/>
    <x v="1"/>
    <x v="39"/>
    <x v="2"/>
    <x v="0"/>
    <x v="1"/>
    <n v="0"/>
    <n v="70933"/>
    <n v="7.0932999999999996E-2"/>
    <n v="43252"/>
    <x v="0"/>
  </r>
  <r>
    <n v="60000609"/>
    <x v="36"/>
    <x v="1"/>
    <x v="1"/>
    <x v="1"/>
    <x v="1"/>
    <n v="0.25"/>
    <x v="3"/>
    <x v="5"/>
    <x v="3"/>
    <x v="20"/>
    <x v="1"/>
    <x v="0"/>
    <x v="0"/>
    <n v="4"/>
    <n v="48153"/>
    <n v="4.8153000000000001E-2"/>
    <n v="43252"/>
    <x v="0"/>
  </r>
  <r>
    <n v="60000610"/>
    <x v="14"/>
    <x v="0"/>
    <x v="0"/>
    <x v="2"/>
    <x v="0"/>
    <n v="0.25"/>
    <x v="3"/>
    <x v="3"/>
    <x v="0"/>
    <x v="4"/>
    <x v="2"/>
    <x v="0"/>
    <x v="0"/>
    <n v="0"/>
    <n v="45766"/>
    <n v="4.5766000000000001E-2"/>
    <n v="43252"/>
    <x v="0"/>
  </r>
  <r>
    <n v="60000611"/>
    <x v="5"/>
    <x v="0"/>
    <x v="0"/>
    <x v="11"/>
    <x v="1"/>
    <n v="0.12"/>
    <x v="2"/>
    <x v="5"/>
    <x v="2"/>
    <x v="45"/>
    <x v="0"/>
    <x v="0"/>
    <x v="1"/>
    <n v="2"/>
    <n v="28478"/>
    <n v="2.8478E-2"/>
    <n v="43252"/>
    <x v="0"/>
  </r>
  <r>
    <n v="60000612"/>
    <x v="15"/>
    <x v="0"/>
    <x v="0"/>
    <x v="6"/>
    <x v="0"/>
    <n v="0.23"/>
    <x v="0"/>
    <x v="1"/>
    <x v="10"/>
    <x v="29"/>
    <x v="2"/>
    <x v="0"/>
    <x v="0"/>
    <n v="5"/>
    <n v="69741"/>
    <n v="6.9740999999999997E-2"/>
    <n v="43252"/>
    <x v="0"/>
  </r>
  <r>
    <n v="60000613"/>
    <x v="1"/>
    <x v="1"/>
    <x v="0"/>
    <x v="5"/>
    <x v="0"/>
    <n v="0.33"/>
    <x v="1"/>
    <x v="4"/>
    <x v="5"/>
    <x v="32"/>
    <x v="1"/>
    <x v="0"/>
    <x v="1"/>
    <n v="0"/>
    <n v="58015"/>
    <n v="5.8014999999999997E-2"/>
    <n v="43252"/>
    <x v="0"/>
  </r>
  <r>
    <n v="60000614"/>
    <x v="10"/>
    <x v="0"/>
    <x v="1"/>
    <x v="11"/>
    <x v="1"/>
    <n v="0.1"/>
    <x v="4"/>
    <x v="4"/>
    <x v="6"/>
    <x v="24"/>
    <x v="2"/>
    <x v="0"/>
    <x v="0"/>
    <n v="6"/>
    <n v="68263"/>
    <n v="6.8263000000000004E-2"/>
    <n v="43252"/>
    <x v="0"/>
  </r>
  <r>
    <n v="60000615"/>
    <x v="8"/>
    <x v="1"/>
    <x v="1"/>
    <x v="9"/>
    <x v="1"/>
    <n v="0.23"/>
    <x v="0"/>
    <x v="0"/>
    <x v="1"/>
    <x v="0"/>
    <x v="1"/>
    <x v="0"/>
    <x v="0"/>
    <n v="0"/>
    <n v="34109"/>
    <n v="3.4109E-2"/>
    <n v="43252"/>
    <x v="0"/>
  </r>
  <r>
    <n v="60000616"/>
    <x v="4"/>
    <x v="1"/>
    <x v="0"/>
    <x v="2"/>
    <x v="2"/>
    <n v="0.17"/>
    <x v="2"/>
    <x v="15"/>
    <x v="2"/>
    <x v="9"/>
    <x v="0"/>
    <x v="0"/>
    <x v="0"/>
    <n v="3"/>
    <n v="64964"/>
    <n v="6.4963999999999994E-2"/>
    <n v="43252"/>
    <x v="0"/>
  </r>
  <r>
    <n v="60000617"/>
    <x v="20"/>
    <x v="0"/>
    <x v="1"/>
    <x v="2"/>
    <x v="0"/>
    <n v="0.22"/>
    <x v="0"/>
    <x v="10"/>
    <x v="6"/>
    <x v="41"/>
    <x v="2"/>
    <x v="0"/>
    <x v="0"/>
    <n v="5"/>
    <n v="30063"/>
    <n v="3.0062999999999999E-2"/>
    <n v="43252"/>
    <x v="0"/>
  </r>
  <r>
    <n v="60000618"/>
    <x v="8"/>
    <x v="1"/>
    <x v="0"/>
    <x v="2"/>
    <x v="1"/>
    <n v="0.21"/>
    <x v="0"/>
    <x v="8"/>
    <x v="2"/>
    <x v="42"/>
    <x v="1"/>
    <x v="0"/>
    <x v="0"/>
    <n v="5"/>
    <n v="59660"/>
    <n v="5.9659999999999998E-2"/>
    <n v="43252"/>
    <x v="0"/>
  </r>
  <r>
    <n v="60000619"/>
    <x v="9"/>
    <x v="1"/>
    <x v="1"/>
    <x v="11"/>
    <x v="1"/>
    <n v="0.2"/>
    <x v="0"/>
    <x v="3"/>
    <x v="10"/>
    <x v="43"/>
    <x v="0"/>
    <x v="0"/>
    <x v="1"/>
    <n v="0"/>
    <n v="31515"/>
    <n v="3.1515000000000001E-2"/>
    <n v="43252"/>
    <x v="0"/>
  </r>
  <r>
    <n v="60000620"/>
    <x v="33"/>
    <x v="0"/>
    <x v="0"/>
    <x v="9"/>
    <x v="2"/>
    <n v="0.25"/>
    <x v="3"/>
    <x v="5"/>
    <x v="0"/>
    <x v="37"/>
    <x v="1"/>
    <x v="0"/>
    <x v="0"/>
    <n v="0"/>
    <n v="78579"/>
    <n v="7.8578999999999996E-2"/>
    <n v="43252"/>
    <x v="0"/>
  </r>
  <r>
    <n v="60000621"/>
    <x v="43"/>
    <x v="1"/>
    <x v="0"/>
    <x v="1"/>
    <x v="1"/>
    <n v="0.1"/>
    <x v="4"/>
    <x v="12"/>
    <x v="12"/>
    <x v="44"/>
    <x v="1"/>
    <x v="0"/>
    <x v="1"/>
    <n v="0"/>
    <n v="29705"/>
    <n v="2.9704999999999999E-2"/>
    <n v="43252"/>
    <x v="0"/>
  </r>
  <r>
    <n v="60000622"/>
    <x v="16"/>
    <x v="1"/>
    <x v="1"/>
    <x v="3"/>
    <x v="1"/>
    <n v="0.25"/>
    <x v="3"/>
    <x v="10"/>
    <x v="3"/>
    <x v="44"/>
    <x v="0"/>
    <x v="0"/>
    <x v="0"/>
    <n v="0"/>
    <n v="51214"/>
    <n v="5.1214000000000003E-2"/>
    <n v="43252"/>
    <x v="0"/>
  </r>
  <r>
    <n v="60000623"/>
    <x v="22"/>
    <x v="0"/>
    <x v="1"/>
    <x v="5"/>
    <x v="1"/>
    <n v="0.25"/>
    <x v="3"/>
    <x v="8"/>
    <x v="1"/>
    <x v="4"/>
    <x v="2"/>
    <x v="0"/>
    <x v="0"/>
    <n v="0"/>
    <n v="57784"/>
    <n v="5.7784000000000002E-2"/>
    <n v="43252"/>
    <x v="0"/>
  </r>
  <r>
    <n v="60000624"/>
    <x v="32"/>
    <x v="1"/>
    <x v="1"/>
    <x v="11"/>
    <x v="2"/>
    <n v="0.37"/>
    <x v="1"/>
    <x v="7"/>
    <x v="6"/>
    <x v="26"/>
    <x v="1"/>
    <x v="0"/>
    <x v="0"/>
    <n v="0"/>
    <n v="73339"/>
    <n v="7.3339000000000001E-2"/>
    <n v="43252"/>
    <x v="0"/>
  </r>
  <r>
    <n v="60000625"/>
    <x v="39"/>
    <x v="0"/>
    <x v="0"/>
    <x v="6"/>
    <x v="0"/>
    <n v="0.34"/>
    <x v="1"/>
    <x v="5"/>
    <x v="7"/>
    <x v="32"/>
    <x v="1"/>
    <x v="0"/>
    <x v="1"/>
    <n v="4"/>
    <n v="41052"/>
    <n v="4.1051999999999998E-2"/>
    <n v="43252"/>
    <x v="0"/>
  </r>
  <r>
    <n v="60000626"/>
    <x v="40"/>
    <x v="0"/>
    <x v="0"/>
    <x v="2"/>
    <x v="2"/>
    <n v="0.24"/>
    <x v="0"/>
    <x v="5"/>
    <x v="7"/>
    <x v="9"/>
    <x v="0"/>
    <x v="0"/>
    <x v="0"/>
    <n v="4"/>
    <n v="75161"/>
    <n v="7.5161000000000006E-2"/>
    <n v="43252"/>
    <x v="0"/>
  </r>
  <r>
    <n v="60000627"/>
    <x v="33"/>
    <x v="1"/>
    <x v="0"/>
    <x v="1"/>
    <x v="0"/>
    <n v="0.19"/>
    <x v="0"/>
    <x v="5"/>
    <x v="7"/>
    <x v="15"/>
    <x v="0"/>
    <x v="0"/>
    <x v="0"/>
    <n v="7"/>
    <n v="69835"/>
    <n v="6.9834999999999994E-2"/>
    <n v="43252"/>
    <x v="0"/>
  </r>
  <r>
    <n v="60000628"/>
    <x v="38"/>
    <x v="1"/>
    <x v="0"/>
    <x v="0"/>
    <x v="0"/>
    <n v="0.11"/>
    <x v="4"/>
    <x v="9"/>
    <x v="3"/>
    <x v="30"/>
    <x v="1"/>
    <x v="0"/>
    <x v="0"/>
    <n v="0"/>
    <n v="47676"/>
    <n v="4.7676000000000003E-2"/>
    <n v="43252"/>
    <x v="0"/>
  </r>
  <r>
    <n v="60000629"/>
    <x v="6"/>
    <x v="0"/>
    <x v="0"/>
    <x v="1"/>
    <x v="2"/>
    <n v="0.24"/>
    <x v="0"/>
    <x v="11"/>
    <x v="7"/>
    <x v="13"/>
    <x v="0"/>
    <x v="0"/>
    <x v="1"/>
    <n v="0"/>
    <n v="74278"/>
    <n v="7.4277999999999997E-2"/>
    <n v="43252"/>
    <x v="0"/>
  </r>
  <r>
    <n v="60000630"/>
    <x v="32"/>
    <x v="0"/>
    <x v="1"/>
    <x v="2"/>
    <x v="1"/>
    <n v="0.37"/>
    <x v="1"/>
    <x v="12"/>
    <x v="9"/>
    <x v="2"/>
    <x v="1"/>
    <x v="0"/>
    <x v="0"/>
    <n v="3"/>
    <n v="43875"/>
    <n v="4.3874999999999997E-2"/>
    <n v="43252"/>
    <x v="0"/>
  </r>
  <r>
    <n v="60000631"/>
    <x v="5"/>
    <x v="0"/>
    <x v="1"/>
    <x v="8"/>
    <x v="0"/>
    <n v="0.37"/>
    <x v="1"/>
    <x v="12"/>
    <x v="2"/>
    <x v="47"/>
    <x v="1"/>
    <x v="0"/>
    <x v="1"/>
    <n v="6"/>
    <n v="43891"/>
    <n v="4.3890999999999999E-2"/>
    <n v="43252"/>
    <x v="0"/>
  </r>
  <r>
    <n v="60000632"/>
    <x v="6"/>
    <x v="1"/>
    <x v="0"/>
    <x v="2"/>
    <x v="2"/>
    <n v="0.23"/>
    <x v="0"/>
    <x v="12"/>
    <x v="10"/>
    <x v="7"/>
    <x v="1"/>
    <x v="0"/>
    <x v="0"/>
    <n v="0"/>
    <n v="55861"/>
    <n v="5.5861000000000001E-2"/>
    <n v="43252"/>
    <x v="0"/>
  </r>
  <r>
    <n v="60000633"/>
    <x v="45"/>
    <x v="1"/>
    <x v="0"/>
    <x v="8"/>
    <x v="2"/>
    <n v="0.36"/>
    <x v="1"/>
    <x v="14"/>
    <x v="7"/>
    <x v="21"/>
    <x v="0"/>
    <x v="0"/>
    <x v="1"/>
    <n v="3"/>
    <n v="74572"/>
    <n v="7.4571999999999999E-2"/>
    <n v="43252"/>
    <x v="0"/>
  </r>
  <r>
    <n v="60000634"/>
    <x v="22"/>
    <x v="0"/>
    <x v="1"/>
    <x v="1"/>
    <x v="1"/>
    <n v="0.15"/>
    <x v="2"/>
    <x v="1"/>
    <x v="5"/>
    <x v="32"/>
    <x v="0"/>
    <x v="0"/>
    <x v="0"/>
    <n v="0"/>
    <n v="75919"/>
    <n v="7.5919E-2"/>
    <n v="43252"/>
    <x v="0"/>
  </r>
  <r>
    <n v="60000001"/>
    <x v="0"/>
    <x v="0"/>
    <x v="0"/>
    <x v="0"/>
    <x v="0"/>
    <n v="0.2"/>
    <x v="0"/>
    <x v="0"/>
    <x v="0"/>
    <x v="0"/>
    <x v="0"/>
    <x v="1"/>
    <x v="0"/>
    <n v="0"/>
    <n v="32249"/>
    <n v="3.2249E-2"/>
    <n v="43252"/>
    <x v="0"/>
  </r>
  <r>
    <n v="60000002"/>
    <x v="1"/>
    <x v="1"/>
    <x v="1"/>
    <x v="1"/>
    <x v="0"/>
    <n v="0.32"/>
    <x v="1"/>
    <x v="1"/>
    <x v="1"/>
    <x v="1"/>
    <x v="0"/>
    <x v="1"/>
    <x v="0"/>
    <n v="0"/>
    <n v="50190"/>
    <n v="5.0189999999999999E-2"/>
    <n v="43252"/>
    <x v="0"/>
  </r>
  <r>
    <n v="60000003"/>
    <x v="2"/>
    <x v="0"/>
    <x v="0"/>
    <x v="2"/>
    <x v="0"/>
    <n v="0.2"/>
    <x v="0"/>
    <x v="1"/>
    <x v="2"/>
    <x v="2"/>
    <x v="0"/>
    <x v="1"/>
    <x v="0"/>
    <n v="3"/>
    <n v="53861"/>
    <n v="5.3860999999999999E-2"/>
    <n v="43252"/>
    <x v="0"/>
  </r>
  <r>
    <n v="60000004"/>
    <x v="3"/>
    <x v="0"/>
    <x v="0"/>
    <x v="3"/>
    <x v="0"/>
    <n v="0.23"/>
    <x v="0"/>
    <x v="2"/>
    <x v="3"/>
    <x v="3"/>
    <x v="0"/>
    <x v="1"/>
    <x v="0"/>
    <n v="0"/>
    <n v="63985"/>
    <n v="6.3985E-2"/>
    <n v="43252"/>
    <x v="0"/>
  </r>
  <r>
    <n v="60000005"/>
    <x v="4"/>
    <x v="0"/>
    <x v="1"/>
    <x v="1"/>
    <x v="0"/>
    <n v="0.36"/>
    <x v="1"/>
    <x v="3"/>
    <x v="4"/>
    <x v="4"/>
    <x v="0"/>
    <x v="1"/>
    <x v="0"/>
    <n v="2"/>
    <n v="71975"/>
    <n v="7.1974999999999997E-2"/>
    <n v="43252"/>
    <x v="0"/>
  </r>
  <r>
    <n v="60000006"/>
    <x v="5"/>
    <x v="0"/>
    <x v="0"/>
    <x v="1"/>
    <x v="0"/>
    <n v="0.38"/>
    <x v="1"/>
    <x v="4"/>
    <x v="5"/>
    <x v="5"/>
    <x v="0"/>
    <x v="1"/>
    <x v="0"/>
    <n v="0"/>
    <n v="38682"/>
    <n v="3.8682000000000001E-2"/>
    <n v="43252"/>
    <x v="0"/>
  </r>
  <r>
    <n v="60000007"/>
    <x v="5"/>
    <x v="0"/>
    <x v="1"/>
    <x v="4"/>
    <x v="0"/>
    <n v="0.13"/>
    <x v="2"/>
    <x v="5"/>
    <x v="4"/>
    <x v="6"/>
    <x v="0"/>
    <x v="1"/>
    <x v="0"/>
    <n v="0"/>
    <n v="69924"/>
    <n v="6.9924E-2"/>
    <n v="43252"/>
    <x v="0"/>
  </r>
  <r>
    <n v="60000008"/>
    <x v="6"/>
    <x v="0"/>
    <x v="1"/>
    <x v="4"/>
    <x v="0"/>
    <n v="0.18"/>
    <x v="2"/>
    <x v="6"/>
    <x v="3"/>
    <x v="0"/>
    <x v="0"/>
    <x v="1"/>
    <x v="0"/>
    <n v="3"/>
    <n v="41810"/>
    <n v="4.181E-2"/>
    <n v="43252"/>
    <x v="0"/>
  </r>
  <r>
    <n v="60000009"/>
    <x v="7"/>
    <x v="0"/>
    <x v="1"/>
    <x v="5"/>
    <x v="0"/>
    <n v="0.38"/>
    <x v="1"/>
    <x v="7"/>
    <x v="0"/>
    <x v="7"/>
    <x v="0"/>
    <x v="1"/>
    <x v="0"/>
    <n v="7"/>
    <n v="56001"/>
    <n v="5.6001000000000002E-2"/>
    <n v="43252"/>
    <x v="0"/>
  </r>
  <r>
    <n v="60000010"/>
    <x v="8"/>
    <x v="0"/>
    <x v="1"/>
    <x v="4"/>
    <x v="0"/>
    <n v="0.21"/>
    <x v="0"/>
    <x v="5"/>
    <x v="6"/>
    <x v="8"/>
    <x v="0"/>
    <x v="1"/>
    <x v="0"/>
    <n v="0"/>
    <n v="41600"/>
    <n v="4.1599999999999998E-2"/>
    <n v="43252"/>
    <x v="0"/>
  </r>
  <r>
    <n v="60000011"/>
    <x v="9"/>
    <x v="0"/>
    <x v="1"/>
    <x v="0"/>
    <x v="0"/>
    <n v="0.18"/>
    <x v="2"/>
    <x v="8"/>
    <x v="7"/>
    <x v="9"/>
    <x v="0"/>
    <x v="1"/>
    <x v="0"/>
    <n v="0"/>
    <n v="62931"/>
    <n v="6.2931000000000001E-2"/>
    <n v="43252"/>
    <x v="0"/>
  </r>
  <r>
    <n v="60000012"/>
    <x v="10"/>
    <x v="0"/>
    <x v="0"/>
    <x v="6"/>
    <x v="0"/>
    <n v="0.16"/>
    <x v="2"/>
    <x v="5"/>
    <x v="8"/>
    <x v="10"/>
    <x v="0"/>
    <x v="1"/>
    <x v="0"/>
    <n v="0"/>
    <n v="67313"/>
    <n v="6.7312999999999998E-2"/>
    <n v="43252"/>
    <x v="0"/>
  </r>
  <r>
    <n v="60000013"/>
    <x v="11"/>
    <x v="0"/>
    <x v="1"/>
    <x v="7"/>
    <x v="0"/>
    <n v="0.32"/>
    <x v="1"/>
    <x v="5"/>
    <x v="4"/>
    <x v="11"/>
    <x v="0"/>
    <x v="1"/>
    <x v="0"/>
    <n v="6"/>
    <n v="53872"/>
    <n v="5.3872000000000003E-2"/>
    <n v="43252"/>
    <x v="0"/>
  </r>
  <r>
    <n v="60000014"/>
    <x v="12"/>
    <x v="0"/>
    <x v="1"/>
    <x v="3"/>
    <x v="0"/>
    <n v="0.18"/>
    <x v="2"/>
    <x v="7"/>
    <x v="1"/>
    <x v="0"/>
    <x v="0"/>
    <x v="1"/>
    <x v="0"/>
    <n v="0"/>
    <n v="79273"/>
    <n v="7.9272999999999996E-2"/>
    <n v="43252"/>
    <x v="0"/>
  </r>
  <r>
    <n v="60000015"/>
    <x v="13"/>
    <x v="1"/>
    <x v="0"/>
    <x v="6"/>
    <x v="0"/>
    <n v="0.34"/>
    <x v="1"/>
    <x v="2"/>
    <x v="7"/>
    <x v="12"/>
    <x v="0"/>
    <x v="1"/>
    <x v="0"/>
    <n v="1"/>
    <n v="38824"/>
    <n v="3.8823999999999997E-2"/>
    <n v="43252"/>
    <x v="0"/>
  </r>
  <r>
    <n v="60000016"/>
    <x v="14"/>
    <x v="0"/>
    <x v="1"/>
    <x v="2"/>
    <x v="0"/>
    <n v="0.31"/>
    <x v="3"/>
    <x v="4"/>
    <x v="1"/>
    <x v="7"/>
    <x v="0"/>
    <x v="1"/>
    <x v="0"/>
    <n v="0"/>
    <n v="69303"/>
    <n v="6.9303000000000003E-2"/>
    <n v="43252"/>
    <x v="0"/>
  </r>
  <r>
    <n v="60000017"/>
    <x v="15"/>
    <x v="1"/>
    <x v="0"/>
    <x v="4"/>
    <x v="0"/>
    <n v="0.36"/>
    <x v="1"/>
    <x v="2"/>
    <x v="0"/>
    <x v="3"/>
    <x v="0"/>
    <x v="1"/>
    <x v="0"/>
    <n v="0"/>
    <n v="43397"/>
    <n v="4.3396999999999998E-2"/>
    <n v="43252"/>
    <x v="0"/>
  </r>
  <r>
    <n v="60000018"/>
    <x v="16"/>
    <x v="0"/>
    <x v="0"/>
    <x v="0"/>
    <x v="0"/>
    <n v="0.12"/>
    <x v="2"/>
    <x v="8"/>
    <x v="7"/>
    <x v="13"/>
    <x v="0"/>
    <x v="1"/>
    <x v="0"/>
    <n v="0"/>
    <n v="46382"/>
    <n v="4.6382E-2"/>
    <n v="43252"/>
    <x v="0"/>
  </r>
  <r>
    <n v="60000019"/>
    <x v="8"/>
    <x v="1"/>
    <x v="0"/>
    <x v="2"/>
    <x v="0"/>
    <n v="0.32"/>
    <x v="1"/>
    <x v="2"/>
    <x v="9"/>
    <x v="14"/>
    <x v="0"/>
    <x v="1"/>
    <x v="0"/>
    <n v="0"/>
    <n v="53991"/>
    <n v="5.3990999999999997E-2"/>
    <n v="43252"/>
    <x v="0"/>
  </r>
  <r>
    <n v="60000020"/>
    <x v="17"/>
    <x v="0"/>
    <x v="1"/>
    <x v="8"/>
    <x v="0"/>
    <n v="0.27"/>
    <x v="3"/>
    <x v="8"/>
    <x v="7"/>
    <x v="15"/>
    <x v="0"/>
    <x v="1"/>
    <x v="0"/>
    <n v="6"/>
    <n v="63210"/>
    <n v="6.3210000000000002E-2"/>
    <n v="43252"/>
    <x v="0"/>
  </r>
  <r>
    <n v="60000021"/>
    <x v="18"/>
    <x v="0"/>
    <x v="1"/>
    <x v="0"/>
    <x v="0"/>
    <n v="0.27"/>
    <x v="3"/>
    <x v="9"/>
    <x v="7"/>
    <x v="6"/>
    <x v="0"/>
    <x v="1"/>
    <x v="0"/>
    <n v="4"/>
    <n v="72718"/>
    <n v="7.2718000000000005E-2"/>
    <n v="43252"/>
    <x v="0"/>
  </r>
  <r>
    <n v="60000022"/>
    <x v="19"/>
    <x v="0"/>
    <x v="1"/>
    <x v="4"/>
    <x v="0"/>
    <n v="0.38"/>
    <x v="1"/>
    <x v="6"/>
    <x v="10"/>
    <x v="13"/>
    <x v="0"/>
    <x v="1"/>
    <x v="0"/>
    <n v="3"/>
    <n v="74859"/>
    <n v="7.4858999999999995E-2"/>
    <n v="43252"/>
    <x v="0"/>
  </r>
  <r>
    <n v="60000023"/>
    <x v="18"/>
    <x v="0"/>
    <x v="0"/>
    <x v="6"/>
    <x v="0"/>
    <n v="0.32"/>
    <x v="1"/>
    <x v="5"/>
    <x v="8"/>
    <x v="16"/>
    <x v="0"/>
    <x v="1"/>
    <x v="0"/>
    <n v="0"/>
    <n v="76036"/>
    <n v="7.6036000000000006E-2"/>
    <n v="43252"/>
    <x v="0"/>
  </r>
  <r>
    <n v="60000024"/>
    <x v="20"/>
    <x v="1"/>
    <x v="1"/>
    <x v="1"/>
    <x v="0"/>
    <n v="0.17"/>
    <x v="2"/>
    <x v="7"/>
    <x v="6"/>
    <x v="17"/>
    <x v="0"/>
    <x v="1"/>
    <x v="0"/>
    <n v="0"/>
    <n v="54782"/>
    <n v="5.4781999999999997E-2"/>
    <n v="43252"/>
    <x v="0"/>
  </r>
  <r>
    <n v="60000025"/>
    <x v="0"/>
    <x v="0"/>
    <x v="1"/>
    <x v="0"/>
    <x v="0"/>
    <n v="0.25"/>
    <x v="3"/>
    <x v="1"/>
    <x v="9"/>
    <x v="8"/>
    <x v="0"/>
    <x v="1"/>
    <x v="0"/>
    <n v="0"/>
    <n v="76364"/>
    <n v="7.6364000000000001E-2"/>
    <n v="43252"/>
    <x v="0"/>
  </r>
  <r>
    <n v="60000026"/>
    <x v="20"/>
    <x v="0"/>
    <x v="0"/>
    <x v="1"/>
    <x v="0"/>
    <n v="0.24"/>
    <x v="0"/>
    <x v="6"/>
    <x v="5"/>
    <x v="5"/>
    <x v="0"/>
    <x v="1"/>
    <x v="0"/>
    <n v="1"/>
    <n v="78267"/>
    <n v="7.8267000000000003E-2"/>
    <n v="43252"/>
    <x v="0"/>
  </r>
  <r>
    <n v="60000027"/>
    <x v="20"/>
    <x v="1"/>
    <x v="1"/>
    <x v="4"/>
    <x v="0"/>
    <n v="0.28999999999999998"/>
    <x v="3"/>
    <x v="6"/>
    <x v="9"/>
    <x v="18"/>
    <x v="0"/>
    <x v="1"/>
    <x v="0"/>
    <n v="7"/>
    <n v="48724"/>
    <n v="4.8724000000000003E-2"/>
    <n v="43252"/>
    <x v="0"/>
  </r>
  <r>
    <n v="60000028"/>
    <x v="21"/>
    <x v="1"/>
    <x v="1"/>
    <x v="7"/>
    <x v="0"/>
    <n v="0.1"/>
    <x v="4"/>
    <x v="9"/>
    <x v="11"/>
    <x v="19"/>
    <x v="0"/>
    <x v="1"/>
    <x v="0"/>
    <n v="6"/>
    <n v="80630"/>
    <n v="8.0629999999999993E-2"/>
    <n v="43252"/>
    <x v="0"/>
  </r>
  <r>
    <n v="60000029"/>
    <x v="22"/>
    <x v="0"/>
    <x v="0"/>
    <x v="6"/>
    <x v="0"/>
    <n v="0.37"/>
    <x v="1"/>
    <x v="5"/>
    <x v="11"/>
    <x v="16"/>
    <x v="0"/>
    <x v="1"/>
    <x v="0"/>
    <n v="4"/>
    <n v="57422"/>
    <n v="5.7422000000000001E-2"/>
    <n v="43252"/>
    <x v="0"/>
  </r>
  <r>
    <n v="60000030"/>
    <x v="18"/>
    <x v="0"/>
    <x v="1"/>
    <x v="3"/>
    <x v="0"/>
    <n v="0.18"/>
    <x v="2"/>
    <x v="2"/>
    <x v="0"/>
    <x v="8"/>
    <x v="0"/>
    <x v="1"/>
    <x v="0"/>
    <n v="5"/>
    <n v="82448"/>
    <n v="8.2447999999999994E-2"/>
    <n v="43252"/>
    <x v="0"/>
  </r>
  <r>
    <n v="60000031"/>
    <x v="23"/>
    <x v="0"/>
    <x v="0"/>
    <x v="2"/>
    <x v="0"/>
    <n v="0.34"/>
    <x v="1"/>
    <x v="10"/>
    <x v="1"/>
    <x v="20"/>
    <x v="0"/>
    <x v="1"/>
    <x v="0"/>
    <n v="0"/>
    <n v="48511"/>
    <n v="4.8510999999999999E-2"/>
    <n v="43252"/>
    <x v="0"/>
  </r>
  <r>
    <n v="60000032"/>
    <x v="20"/>
    <x v="1"/>
    <x v="0"/>
    <x v="7"/>
    <x v="0"/>
    <n v="0.22"/>
    <x v="0"/>
    <x v="2"/>
    <x v="9"/>
    <x v="21"/>
    <x v="0"/>
    <x v="1"/>
    <x v="0"/>
    <n v="0"/>
    <n v="60906"/>
    <n v="6.0906000000000002E-2"/>
    <n v="43252"/>
    <x v="0"/>
  </r>
  <r>
    <n v="60000033"/>
    <x v="24"/>
    <x v="1"/>
    <x v="0"/>
    <x v="5"/>
    <x v="0"/>
    <n v="0.31"/>
    <x v="3"/>
    <x v="8"/>
    <x v="8"/>
    <x v="18"/>
    <x v="0"/>
    <x v="1"/>
    <x v="0"/>
    <n v="0"/>
    <n v="60696"/>
    <n v="6.0696E-2"/>
    <n v="43252"/>
    <x v="0"/>
  </r>
  <r>
    <n v="60000034"/>
    <x v="25"/>
    <x v="1"/>
    <x v="1"/>
    <x v="0"/>
    <x v="0"/>
    <n v="0.2"/>
    <x v="0"/>
    <x v="5"/>
    <x v="1"/>
    <x v="20"/>
    <x v="0"/>
    <x v="1"/>
    <x v="0"/>
    <n v="0"/>
    <n v="68931"/>
    <n v="6.8931000000000006E-2"/>
    <n v="43252"/>
    <x v="0"/>
  </r>
  <r>
    <n v="60000035"/>
    <x v="5"/>
    <x v="1"/>
    <x v="0"/>
    <x v="0"/>
    <x v="0"/>
    <n v="0.25"/>
    <x v="3"/>
    <x v="5"/>
    <x v="11"/>
    <x v="22"/>
    <x v="0"/>
    <x v="1"/>
    <x v="0"/>
    <n v="0"/>
    <n v="72486"/>
    <n v="7.2485999999999995E-2"/>
    <n v="43252"/>
    <x v="0"/>
  </r>
  <r>
    <n v="60000036"/>
    <x v="19"/>
    <x v="0"/>
    <x v="1"/>
    <x v="5"/>
    <x v="0"/>
    <n v="0.34"/>
    <x v="1"/>
    <x v="0"/>
    <x v="12"/>
    <x v="19"/>
    <x v="0"/>
    <x v="1"/>
    <x v="0"/>
    <n v="0"/>
    <n v="25064"/>
    <n v="2.5063999999999999E-2"/>
    <n v="43252"/>
    <x v="0"/>
  </r>
  <r>
    <n v="60000037"/>
    <x v="1"/>
    <x v="0"/>
    <x v="1"/>
    <x v="2"/>
    <x v="0"/>
    <n v="0.27"/>
    <x v="3"/>
    <x v="11"/>
    <x v="0"/>
    <x v="23"/>
    <x v="0"/>
    <x v="1"/>
    <x v="0"/>
    <n v="0"/>
    <n v="66485"/>
    <n v="6.6485000000000002E-2"/>
    <n v="43252"/>
    <x v="0"/>
  </r>
  <r>
    <n v="60000038"/>
    <x v="23"/>
    <x v="1"/>
    <x v="1"/>
    <x v="4"/>
    <x v="0"/>
    <n v="0.17"/>
    <x v="2"/>
    <x v="7"/>
    <x v="9"/>
    <x v="24"/>
    <x v="0"/>
    <x v="1"/>
    <x v="0"/>
    <n v="0"/>
    <n v="32920"/>
    <n v="3.2919999999999998E-2"/>
    <n v="43252"/>
    <x v="0"/>
  </r>
  <r>
    <n v="60000039"/>
    <x v="26"/>
    <x v="0"/>
    <x v="0"/>
    <x v="9"/>
    <x v="0"/>
    <n v="0.1"/>
    <x v="4"/>
    <x v="4"/>
    <x v="8"/>
    <x v="5"/>
    <x v="0"/>
    <x v="1"/>
    <x v="0"/>
    <n v="0"/>
    <n v="60181"/>
    <n v="6.0180999999999998E-2"/>
    <n v="43252"/>
    <x v="0"/>
  </r>
  <r>
    <n v="60000040"/>
    <x v="20"/>
    <x v="1"/>
    <x v="0"/>
    <x v="8"/>
    <x v="0"/>
    <n v="0.28000000000000003"/>
    <x v="3"/>
    <x v="8"/>
    <x v="12"/>
    <x v="19"/>
    <x v="0"/>
    <x v="1"/>
    <x v="0"/>
    <n v="7"/>
    <n v="64200"/>
    <n v="6.4199999999999993E-2"/>
    <n v="43252"/>
    <x v="0"/>
  </r>
  <r>
    <n v="60000041"/>
    <x v="27"/>
    <x v="1"/>
    <x v="0"/>
    <x v="10"/>
    <x v="0"/>
    <n v="0.32"/>
    <x v="1"/>
    <x v="1"/>
    <x v="3"/>
    <x v="24"/>
    <x v="0"/>
    <x v="1"/>
    <x v="0"/>
    <n v="0"/>
    <n v="27376"/>
    <n v="2.7376000000000001E-2"/>
    <n v="43252"/>
    <x v="0"/>
  </r>
  <r>
    <n v="60000042"/>
    <x v="20"/>
    <x v="0"/>
    <x v="1"/>
    <x v="10"/>
    <x v="0"/>
    <n v="0.36"/>
    <x v="1"/>
    <x v="5"/>
    <x v="1"/>
    <x v="18"/>
    <x v="0"/>
    <x v="1"/>
    <x v="0"/>
    <n v="6"/>
    <n v="73100"/>
    <n v="7.3099999999999998E-2"/>
    <n v="43252"/>
    <x v="0"/>
  </r>
  <r>
    <n v="60000043"/>
    <x v="28"/>
    <x v="1"/>
    <x v="1"/>
    <x v="5"/>
    <x v="0"/>
    <n v="0.33"/>
    <x v="1"/>
    <x v="2"/>
    <x v="8"/>
    <x v="23"/>
    <x v="0"/>
    <x v="1"/>
    <x v="0"/>
    <n v="0"/>
    <n v="51512"/>
    <n v="5.1512000000000002E-2"/>
    <n v="43252"/>
    <x v="0"/>
  </r>
  <r>
    <n v="60000044"/>
    <x v="29"/>
    <x v="1"/>
    <x v="1"/>
    <x v="7"/>
    <x v="0"/>
    <n v="0.24"/>
    <x v="0"/>
    <x v="12"/>
    <x v="4"/>
    <x v="3"/>
    <x v="0"/>
    <x v="1"/>
    <x v="0"/>
    <n v="4"/>
    <n v="32853"/>
    <n v="3.2853E-2"/>
    <n v="43252"/>
    <x v="0"/>
  </r>
  <r>
    <n v="60000045"/>
    <x v="14"/>
    <x v="1"/>
    <x v="0"/>
    <x v="3"/>
    <x v="0"/>
    <n v="0.34"/>
    <x v="1"/>
    <x v="10"/>
    <x v="12"/>
    <x v="13"/>
    <x v="0"/>
    <x v="1"/>
    <x v="0"/>
    <n v="0"/>
    <n v="33519"/>
    <n v="3.3519E-2"/>
    <n v="43252"/>
    <x v="0"/>
  </r>
  <r>
    <n v="60000046"/>
    <x v="11"/>
    <x v="1"/>
    <x v="1"/>
    <x v="4"/>
    <x v="0"/>
    <n v="0.23"/>
    <x v="0"/>
    <x v="9"/>
    <x v="1"/>
    <x v="6"/>
    <x v="0"/>
    <x v="1"/>
    <x v="0"/>
    <n v="0"/>
    <n v="47392"/>
    <n v="4.7391999999999997E-2"/>
    <n v="43252"/>
    <x v="0"/>
  </r>
  <r>
    <n v="60000047"/>
    <x v="12"/>
    <x v="0"/>
    <x v="0"/>
    <x v="5"/>
    <x v="0"/>
    <n v="0.16"/>
    <x v="2"/>
    <x v="0"/>
    <x v="4"/>
    <x v="25"/>
    <x v="0"/>
    <x v="1"/>
    <x v="0"/>
    <n v="7"/>
    <n v="81471"/>
    <n v="8.1471000000000002E-2"/>
    <n v="43252"/>
    <x v="0"/>
  </r>
  <r>
    <n v="60000048"/>
    <x v="29"/>
    <x v="0"/>
    <x v="0"/>
    <x v="3"/>
    <x v="0"/>
    <n v="0.36"/>
    <x v="1"/>
    <x v="6"/>
    <x v="0"/>
    <x v="13"/>
    <x v="0"/>
    <x v="1"/>
    <x v="0"/>
    <n v="4"/>
    <n v="46613"/>
    <n v="4.6613000000000002E-2"/>
    <n v="43252"/>
    <x v="0"/>
  </r>
  <r>
    <n v="60000049"/>
    <x v="20"/>
    <x v="1"/>
    <x v="1"/>
    <x v="6"/>
    <x v="0"/>
    <n v="0.12"/>
    <x v="2"/>
    <x v="5"/>
    <x v="3"/>
    <x v="26"/>
    <x v="0"/>
    <x v="1"/>
    <x v="0"/>
    <n v="0"/>
    <n v="75842"/>
    <n v="7.5842000000000007E-2"/>
    <n v="43252"/>
    <x v="0"/>
  </r>
  <r>
    <n v="60000050"/>
    <x v="20"/>
    <x v="0"/>
    <x v="1"/>
    <x v="6"/>
    <x v="0"/>
    <n v="0.18"/>
    <x v="2"/>
    <x v="6"/>
    <x v="6"/>
    <x v="27"/>
    <x v="0"/>
    <x v="1"/>
    <x v="0"/>
    <n v="0"/>
    <n v="77615"/>
    <n v="7.7615000000000003E-2"/>
    <n v="43252"/>
    <x v="0"/>
  </r>
  <r>
    <n v="60000051"/>
    <x v="24"/>
    <x v="1"/>
    <x v="0"/>
    <x v="4"/>
    <x v="0"/>
    <n v="0.31"/>
    <x v="3"/>
    <x v="8"/>
    <x v="2"/>
    <x v="10"/>
    <x v="0"/>
    <x v="1"/>
    <x v="0"/>
    <n v="0"/>
    <n v="46121"/>
    <n v="4.6121000000000002E-2"/>
    <n v="43252"/>
    <x v="0"/>
  </r>
  <r>
    <n v="60000052"/>
    <x v="0"/>
    <x v="0"/>
    <x v="0"/>
    <x v="2"/>
    <x v="0"/>
    <n v="0.25"/>
    <x v="3"/>
    <x v="8"/>
    <x v="11"/>
    <x v="28"/>
    <x v="0"/>
    <x v="1"/>
    <x v="0"/>
    <n v="6"/>
    <n v="39270"/>
    <n v="3.9269999999999999E-2"/>
    <n v="43252"/>
    <x v="0"/>
  </r>
  <r>
    <n v="60000053"/>
    <x v="4"/>
    <x v="0"/>
    <x v="0"/>
    <x v="9"/>
    <x v="0"/>
    <n v="0.1"/>
    <x v="4"/>
    <x v="6"/>
    <x v="10"/>
    <x v="29"/>
    <x v="0"/>
    <x v="1"/>
    <x v="0"/>
    <n v="5"/>
    <n v="77754"/>
    <n v="7.7754000000000004E-2"/>
    <n v="43252"/>
    <x v="0"/>
  </r>
  <r>
    <n v="60000054"/>
    <x v="30"/>
    <x v="0"/>
    <x v="0"/>
    <x v="10"/>
    <x v="0"/>
    <n v="0.15"/>
    <x v="2"/>
    <x v="8"/>
    <x v="5"/>
    <x v="10"/>
    <x v="0"/>
    <x v="1"/>
    <x v="0"/>
    <n v="3"/>
    <n v="55314"/>
    <n v="5.5314000000000002E-2"/>
    <n v="43252"/>
    <x v="0"/>
  </r>
  <r>
    <n v="60000055"/>
    <x v="31"/>
    <x v="0"/>
    <x v="1"/>
    <x v="10"/>
    <x v="0"/>
    <n v="0.28000000000000003"/>
    <x v="3"/>
    <x v="11"/>
    <x v="9"/>
    <x v="30"/>
    <x v="0"/>
    <x v="1"/>
    <x v="0"/>
    <n v="5"/>
    <n v="44686"/>
    <n v="4.4685999999999997E-2"/>
    <n v="43252"/>
    <x v="0"/>
  </r>
  <r>
    <n v="60000056"/>
    <x v="5"/>
    <x v="1"/>
    <x v="0"/>
    <x v="3"/>
    <x v="0"/>
    <n v="0.16"/>
    <x v="2"/>
    <x v="8"/>
    <x v="4"/>
    <x v="19"/>
    <x v="0"/>
    <x v="1"/>
    <x v="0"/>
    <n v="0"/>
    <n v="79381"/>
    <n v="7.9380999999999993E-2"/>
    <n v="43252"/>
    <x v="0"/>
  </r>
  <r>
    <n v="60000057"/>
    <x v="11"/>
    <x v="0"/>
    <x v="0"/>
    <x v="4"/>
    <x v="0"/>
    <n v="0.25"/>
    <x v="3"/>
    <x v="12"/>
    <x v="6"/>
    <x v="31"/>
    <x v="0"/>
    <x v="1"/>
    <x v="0"/>
    <n v="4"/>
    <n v="55151"/>
    <n v="5.5150999999999999E-2"/>
    <n v="43252"/>
    <x v="0"/>
  </r>
  <r>
    <n v="60000058"/>
    <x v="17"/>
    <x v="0"/>
    <x v="1"/>
    <x v="3"/>
    <x v="0"/>
    <n v="0.27"/>
    <x v="3"/>
    <x v="11"/>
    <x v="8"/>
    <x v="20"/>
    <x v="0"/>
    <x v="1"/>
    <x v="0"/>
    <n v="1"/>
    <n v="65029"/>
    <n v="6.5029000000000003E-2"/>
    <n v="43252"/>
    <x v="0"/>
  </r>
  <r>
    <n v="60000059"/>
    <x v="32"/>
    <x v="1"/>
    <x v="0"/>
    <x v="4"/>
    <x v="0"/>
    <n v="0.2"/>
    <x v="0"/>
    <x v="1"/>
    <x v="7"/>
    <x v="29"/>
    <x v="0"/>
    <x v="1"/>
    <x v="0"/>
    <n v="5"/>
    <n v="26628"/>
    <n v="2.6627999999999999E-2"/>
    <n v="43252"/>
    <x v="0"/>
  </r>
  <r>
    <n v="60000060"/>
    <x v="14"/>
    <x v="0"/>
    <x v="0"/>
    <x v="9"/>
    <x v="0"/>
    <n v="0.19"/>
    <x v="0"/>
    <x v="13"/>
    <x v="10"/>
    <x v="15"/>
    <x v="0"/>
    <x v="1"/>
    <x v="0"/>
    <n v="0"/>
    <n v="49132"/>
    <n v="4.9132000000000002E-2"/>
    <n v="43252"/>
    <x v="0"/>
  </r>
  <r>
    <n v="60000061"/>
    <x v="33"/>
    <x v="1"/>
    <x v="0"/>
    <x v="2"/>
    <x v="0"/>
    <n v="0.31"/>
    <x v="3"/>
    <x v="14"/>
    <x v="0"/>
    <x v="16"/>
    <x v="0"/>
    <x v="1"/>
    <x v="0"/>
    <n v="2"/>
    <n v="75641"/>
    <n v="7.5641E-2"/>
    <n v="43252"/>
    <x v="0"/>
  </r>
  <r>
    <n v="60000062"/>
    <x v="34"/>
    <x v="1"/>
    <x v="1"/>
    <x v="9"/>
    <x v="0"/>
    <n v="0.18"/>
    <x v="2"/>
    <x v="8"/>
    <x v="9"/>
    <x v="30"/>
    <x v="0"/>
    <x v="1"/>
    <x v="0"/>
    <n v="0"/>
    <n v="46107"/>
    <n v="4.6107000000000002E-2"/>
    <n v="43252"/>
    <x v="0"/>
  </r>
  <r>
    <n v="60000063"/>
    <x v="28"/>
    <x v="1"/>
    <x v="1"/>
    <x v="6"/>
    <x v="0"/>
    <n v="0.28999999999999998"/>
    <x v="3"/>
    <x v="13"/>
    <x v="1"/>
    <x v="21"/>
    <x v="0"/>
    <x v="1"/>
    <x v="0"/>
    <n v="5"/>
    <n v="54603"/>
    <n v="5.4602999999999999E-2"/>
    <n v="43252"/>
    <x v="0"/>
  </r>
  <r>
    <n v="60000064"/>
    <x v="35"/>
    <x v="1"/>
    <x v="1"/>
    <x v="3"/>
    <x v="0"/>
    <n v="0.12"/>
    <x v="2"/>
    <x v="9"/>
    <x v="10"/>
    <x v="13"/>
    <x v="0"/>
    <x v="1"/>
    <x v="0"/>
    <n v="2"/>
    <n v="76546"/>
    <n v="7.6546000000000003E-2"/>
    <n v="43252"/>
    <x v="0"/>
  </r>
  <r>
    <n v="60000065"/>
    <x v="35"/>
    <x v="0"/>
    <x v="0"/>
    <x v="9"/>
    <x v="0"/>
    <n v="0.14000000000000001"/>
    <x v="2"/>
    <x v="0"/>
    <x v="3"/>
    <x v="32"/>
    <x v="0"/>
    <x v="1"/>
    <x v="0"/>
    <n v="4"/>
    <n v="51693"/>
    <n v="5.1693000000000003E-2"/>
    <n v="43252"/>
    <x v="0"/>
  </r>
  <r>
    <n v="60000066"/>
    <x v="1"/>
    <x v="0"/>
    <x v="0"/>
    <x v="2"/>
    <x v="0"/>
    <n v="0.21"/>
    <x v="0"/>
    <x v="11"/>
    <x v="7"/>
    <x v="5"/>
    <x v="0"/>
    <x v="1"/>
    <x v="0"/>
    <n v="2"/>
    <n v="74562"/>
    <n v="7.4562000000000003E-2"/>
    <n v="43252"/>
    <x v="0"/>
  </r>
  <r>
    <n v="60000067"/>
    <x v="24"/>
    <x v="1"/>
    <x v="0"/>
    <x v="9"/>
    <x v="0"/>
    <n v="0.15"/>
    <x v="2"/>
    <x v="3"/>
    <x v="2"/>
    <x v="17"/>
    <x v="0"/>
    <x v="1"/>
    <x v="0"/>
    <n v="0"/>
    <n v="23033"/>
    <n v="2.3033000000000001E-2"/>
    <n v="43252"/>
    <x v="0"/>
  </r>
  <r>
    <n v="60000068"/>
    <x v="21"/>
    <x v="1"/>
    <x v="1"/>
    <x v="4"/>
    <x v="0"/>
    <n v="0.32"/>
    <x v="1"/>
    <x v="13"/>
    <x v="1"/>
    <x v="8"/>
    <x v="0"/>
    <x v="1"/>
    <x v="0"/>
    <n v="7"/>
    <n v="49487"/>
    <n v="4.9487000000000003E-2"/>
    <n v="43252"/>
    <x v="0"/>
  </r>
  <r>
    <n v="60000069"/>
    <x v="35"/>
    <x v="0"/>
    <x v="1"/>
    <x v="0"/>
    <x v="0"/>
    <n v="0.13"/>
    <x v="2"/>
    <x v="1"/>
    <x v="5"/>
    <x v="9"/>
    <x v="0"/>
    <x v="1"/>
    <x v="0"/>
    <n v="6"/>
    <n v="81554"/>
    <n v="8.1554000000000001E-2"/>
    <n v="43252"/>
    <x v="0"/>
  </r>
  <r>
    <n v="60000070"/>
    <x v="36"/>
    <x v="1"/>
    <x v="1"/>
    <x v="0"/>
    <x v="0"/>
    <n v="0.23"/>
    <x v="0"/>
    <x v="10"/>
    <x v="12"/>
    <x v="33"/>
    <x v="0"/>
    <x v="1"/>
    <x v="0"/>
    <n v="0"/>
    <n v="50937"/>
    <n v="5.0937000000000003E-2"/>
    <n v="43252"/>
    <x v="0"/>
  </r>
  <r>
    <n v="60000071"/>
    <x v="27"/>
    <x v="0"/>
    <x v="0"/>
    <x v="1"/>
    <x v="0"/>
    <n v="0.38"/>
    <x v="1"/>
    <x v="2"/>
    <x v="3"/>
    <x v="18"/>
    <x v="0"/>
    <x v="1"/>
    <x v="0"/>
    <n v="0"/>
    <n v="50926"/>
    <n v="5.0925999999999999E-2"/>
    <n v="43252"/>
    <x v="0"/>
  </r>
  <r>
    <n v="60000072"/>
    <x v="8"/>
    <x v="0"/>
    <x v="0"/>
    <x v="9"/>
    <x v="0"/>
    <n v="0.2"/>
    <x v="0"/>
    <x v="15"/>
    <x v="2"/>
    <x v="30"/>
    <x v="0"/>
    <x v="1"/>
    <x v="0"/>
    <n v="0"/>
    <n v="65453"/>
    <n v="6.5452999999999997E-2"/>
    <n v="43252"/>
    <x v="0"/>
  </r>
  <r>
    <n v="60000073"/>
    <x v="23"/>
    <x v="1"/>
    <x v="1"/>
    <x v="6"/>
    <x v="0"/>
    <n v="0.15"/>
    <x v="2"/>
    <x v="10"/>
    <x v="2"/>
    <x v="28"/>
    <x v="0"/>
    <x v="1"/>
    <x v="0"/>
    <n v="4"/>
    <n v="60126"/>
    <n v="6.0125999999999999E-2"/>
    <n v="43252"/>
    <x v="0"/>
  </r>
  <r>
    <n v="60000074"/>
    <x v="3"/>
    <x v="0"/>
    <x v="0"/>
    <x v="8"/>
    <x v="0"/>
    <n v="0.13"/>
    <x v="2"/>
    <x v="10"/>
    <x v="6"/>
    <x v="27"/>
    <x v="0"/>
    <x v="1"/>
    <x v="0"/>
    <n v="0"/>
    <n v="23711"/>
    <n v="2.3710999999999999E-2"/>
    <n v="43252"/>
    <x v="0"/>
  </r>
  <r>
    <n v="60000075"/>
    <x v="21"/>
    <x v="1"/>
    <x v="0"/>
    <x v="1"/>
    <x v="0"/>
    <n v="0.33"/>
    <x v="1"/>
    <x v="0"/>
    <x v="5"/>
    <x v="17"/>
    <x v="0"/>
    <x v="1"/>
    <x v="0"/>
    <n v="0"/>
    <n v="77308"/>
    <n v="7.7308000000000002E-2"/>
    <n v="43252"/>
    <x v="0"/>
  </r>
  <r>
    <n v="60000076"/>
    <x v="12"/>
    <x v="0"/>
    <x v="1"/>
    <x v="0"/>
    <x v="0"/>
    <n v="0.1"/>
    <x v="4"/>
    <x v="0"/>
    <x v="11"/>
    <x v="8"/>
    <x v="0"/>
    <x v="1"/>
    <x v="0"/>
    <n v="0"/>
    <n v="34801"/>
    <n v="3.4800999999999999E-2"/>
    <n v="43252"/>
    <x v="0"/>
  </r>
  <r>
    <n v="60000077"/>
    <x v="5"/>
    <x v="1"/>
    <x v="1"/>
    <x v="6"/>
    <x v="0"/>
    <n v="0.16"/>
    <x v="2"/>
    <x v="1"/>
    <x v="11"/>
    <x v="32"/>
    <x v="0"/>
    <x v="1"/>
    <x v="0"/>
    <n v="2"/>
    <n v="79253"/>
    <n v="7.9253000000000004E-2"/>
    <n v="43252"/>
    <x v="0"/>
  </r>
  <r>
    <n v="60000078"/>
    <x v="17"/>
    <x v="1"/>
    <x v="1"/>
    <x v="7"/>
    <x v="0"/>
    <n v="0.38"/>
    <x v="1"/>
    <x v="4"/>
    <x v="5"/>
    <x v="24"/>
    <x v="0"/>
    <x v="1"/>
    <x v="0"/>
    <n v="0"/>
    <n v="74467"/>
    <n v="7.4467000000000005E-2"/>
    <n v="43252"/>
    <x v="0"/>
  </r>
  <r>
    <n v="60000079"/>
    <x v="19"/>
    <x v="1"/>
    <x v="1"/>
    <x v="1"/>
    <x v="0"/>
    <n v="0.31"/>
    <x v="3"/>
    <x v="7"/>
    <x v="12"/>
    <x v="6"/>
    <x v="0"/>
    <x v="1"/>
    <x v="0"/>
    <n v="0"/>
    <n v="71270"/>
    <n v="7.127E-2"/>
    <n v="43252"/>
    <x v="0"/>
  </r>
  <r>
    <n v="60000080"/>
    <x v="37"/>
    <x v="1"/>
    <x v="0"/>
    <x v="3"/>
    <x v="0"/>
    <n v="0.35"/>
    <x v="1"/>
    <x v="13"/>
    <x v="3"/>
    <x v="7"/>
    <x v="0"/>
    <x v="1"/>
    <x v="0"/>
    <n v="0"/>
    <n v="84560"/>
    <n v="8.4559999999999996E-2"/>
    <n v="43252"/>
    <x v="0"/>
  </r>
  <r>
    <n v="60000081"/>
    <x v="34"/>
    <x v="1"/>
    <x v="0"/>
    <x v="10"/>
    <x v="0"/>
    <n v="0.19"/>
    <x v="0"/>
    <x v="12"/>
    <x v="10"/>
    <x v="20"/>
    <x v="0"/>
    <x v="1"/>
    <x v="0"/>
    <n v="0"/>
    <n v="67808"/>
    <n v="6.7807999999999993E-2"/>
    <n v="43252"/>
    <x v="0"/>
  </r>
  <r>
    <n v="60000082"/>
    <x v="16"/>
    <x v="0"/>
    <x v="1"/>
    <x v="0"/>
    <x v="0"/>
    <n v="0.13"/>
    <x v="2"/>
    <x v="2"/>
    <x v="4"/>
    <x v="34"/>
    <x v="0"/>
    <x v="1"/>
    <x v="0"/>
    <n v="0"/>
    <n v="35771"/>
    <n v="3.5770999999999997E-2"/>
    <n v="43252"/>
    <x v="0"/>
  </r>
  <r>
    <n v="60000083"/>
    <x v="38"/>
    <x v="0"/>
    <x v="1"/>
    <x v="7"/>
    <x v="0"/>
    <n v="0.17"/>
    <x v="2"/>
    <x v="12"/>
    <x v="1"/>
    <x v="31"/>
    <x v="0"/>
    <x v="1"/>
    <x v="0"/>
    <n v="0"/>
    <n v="28257"/>
    <n v="2.8257000000000001E-2"/>
    <n v="43252"/>
    <x v="0"/>
  </r>
  <r>
    <n v="60000084"/>
    <x v="33"/>
    <x v="1"/>
    <x v="0"/>
    <x v="8"/>
    <x v="0"/>
    <n v="0.12"/>
    <x v="2"/>
    <x v="8"/>
    <x v="4"/>
    <x v="33"/>
    <x v="0"/>
    <x v="1"/>
    <x v="0"/>
    <n v="0"/>
    <n v="65096"/>
    <n v="6.5096000000000001E-2"/>
    <n v="43252"/>
    <x v="0"/>
  </r>
  <r>
    <n v="60000085"/>
    <x v="37"/>
    <x v="1"/>
    <x v="1"/>
    <x v="2"/>
    <x v="0"/>
    <n v="0.27"/>
    <x v="3"/>
    <x v="13"/>
    <x v="3"/>
    <x v="35"/>
    <x v="0"/>
    <x v="1"/>
    <x v="0"/>
    <n v="0"/>
    <n v="46817"/>
    <n v="4.6816999999999998E-2"/>
    <n v="43252"/>
    <x v="0"/>
  </r>
  <r>
    <n v="60000086"/>
    <x v="31"/>
    <x v="1"/>
    <x v="0"/>
    <x v="2"/>
    <x v="0"/>
    <n v="0.17"/>
    <x v="2"/>
    <x v="5"/>
    <x v="6"/>
    <x v="36"/>
    <x v="0"/>
    <x v="1"/>
    <x v="0"/>
    <n v="3"/>
    <n v="70068"/>
    <n v="7.0068000000000005E-2"/>
    <n v="43252"/>
    <x v="0"/>
  </r>
  <r>
    <n v="60000087"/>
    <x v="3"/>
    <x v="0"/>
    <x v="1"/>
    <x v="6"/>
    <x v="0"/>
    <n v="0.26"/>
    <x v="3"/>
    <x v="13"/>
    <x v="9"/>
    <x v="28"/>
    <x v="0"/>
    <x v="1"/>
    <x v="0"/>
    <n v="0"/>
    <n v="64035"/>
    <n v="6.4034999999999995E-2"/>
    <n v="43252"/>
    <x v="0"/>
  </r>
  <r>
    <n v="60000088"/>
    <x v="24"/>
    <x v="0"/>
    <x v="1"/>
    <x v="10"/>
    <x v="0"/>
    <n v="0.26"/>
    <x v="3"/>
    <x v="7"/>
    <x v="5"/>
    <x v="5"/>
    <x v="0"/>
    <x v="1"/>
    <x v="0"/>
    <n v="0"/>
    <n v="59746"/>
    <n v="5.9746E-2"/>
    <n v="43252"/>
    <x v="0"/>
  </r>
  <r>
    <n v="60000089"/>
    <x v="39"/>
    <x v="0"/>
    <x v="1"/>
    <x v="2"/>
    <x v="0"/>
    <n v="0.38"/>
    <x v="1"/>
    <x v="12"/>
    <x v="11"/>
    <x v="17"/>
    <x v="0"/>
    <x v="1"/>
    <x v="0"/>
    <n v="0"/>
    <n v="65443"/>
    <n v="6.5443000000000001E-2"/>
    <n v="43252"/>
    <x v="0"/>
  </r>
  <r>
    <n v="60000090"/>
    <x v="29"/>
    <x v="1"/>
    <x v="0"/>
    <x v="2"/>
    <x v="0"/>
    <n v="0.28999999999999998"/>
    <x v="3"/>
    <x v="1"/>
    <x v="4"/>
    <x v="37"/>
    <x v="0"/>
    <x v="1"/>
    <x v="0"/>
    <n v="7"/>
    <n v="77471"/>
    <n v="7.7470999999999998E-2"/>
    <n v="43252"/>
    <x v="0"/>
  </r>
  <r>
    <n v="60000091"/>
    <x v="40"/>
    <x v="1"/>
    <x v="0"/>
    <x v="2"/>
    <x v="0"/>
    <n v="0.13"/>
    <x v="2"/>
    <x v="3"/>
    <x v="8"/>
    <x v="11"/>
    <x v="0"/>
    <x v="1"/>
    <x v="0"/>
    <n v="1"/>
    <n v="62047"/>
    <n v="6.2046999999999998E-2"/>
    <n v="43252"/>
    <x v="0"/>
  </r>
  <r>
    <n v="60000092"/>
    <x v="9"/>
    <x v="0"/>
    <x v="1"/>
    <x v="8"/>
    <x v="0"/>
    <n v="0.35"/>
    <x v="1"/>
    <x v="5"/>
    <x v="3"/>
    <x v="32"/>
    <x v="0"/>
    <x v="1"/>
    <x v="0"/>
    <n v="3"/>
    <n v="72608"/>
    <n v="7.2608000000000006E-2"/>
    <n v="43252"/>
    <x v="0"/>
  </r>
  <r>
    <n v="60000093"/>
    <x v="7"/>
    <x v="0"/>
    <x v="0"/>
    <x v="8"/>
    <x v="0"/>
    <n v="0.35"/>
    <x v="1"/>
    <x v="0"/>
    <x v="1"/>
    <x v="18"/>
    <x v="0"/>
    <x v="1"/>
    <x v="0"/>
    <n v="6"/>
    <n v="33947"/>
    <n v="3.3946999999999998E-2"/>
    <n v="43252"/>
    <x v="0"/>
  </r>
  <r>
    <n v="60000094"/>
    <x v="28"/>
    <x v="0"/>
    <x v="0"/>
    <x v="3"/>
    <x v="0"/>
    <n v="0.25"/>
    <x v="3"/>
    <x v="13"/>
    <x v="10"/>
    <x v="38"/>
    <x v="0"/>
    <x v="1"/>
    <x v="0"/>
    <n v="6"/>
    <n v="37975"/>
    <n v="3.7975000000000002E-2"/>
    <n v="43252"/>
    <x v="0"/>
  </r>
  <r>
    <n v="60000095"/>
    <x v="26"/>
    <x v="0"/>
    <x v="0"/>
    <x v="10"/>
    <x v="0"/>
    <n v="0.12"/>
    <x v="2"/>
    <x v="8"/>
    <x v="3"/>
    <x v="29"/>
    <x v="0"/>
    <x v="1"/>
    <x v="0"/>
    <n v="0"/>
    <n v="29675"/>
    <n v="2.9675E-2"/>
    <n v="43252"/>
    <x v="0"/>
  </r>
  <r>
    <n v="60000096"/>
    <x v="3"/>
    <x v="1"/>
    <x v="1"/>
    <x v="5"/>
    <x v="0"/>
    <n v="0.31"/>
    <x v="3"/>
    <x v="5"/>
    <x v="12"/>
    <x v="6"/>
    <x v="0"/>
    <x v="1"/>
    <x v="0"/>
    <n v="0"/>
    <n v="51903"/>
    <n v="5.1902999999999998E-2"/>
    <n v="43252"/>
    <x v="0"/>
  </r>
  <r>
    <n v="60000097"/>
    <x v="3"/>
    <x v="1"/>
    <x v="1"/>
    <x v="7"/>
    <x v="0"/>
    <n v="0.19"/>
    <x v="0"/>
    <x v="11"/>
    <x v="8"/>
    <x v="16"/>
    <x v="0"/>
    <x v="1"/>
    <x v="0"/>
    <n v="0"/>
    <n v="75407"/>
    <n v="7.5407000000000002E-2"/>
    <n v="43252"/>
    <x v="0"/>
  </r>
  <r>
    <n v="60000098"/>
    <x v="40"/>
    <x v="1"/>
    <x v="1"/>
    <x v="1"/>
    <x v="0"/>
    <n v="0.35"/>
    <x v="1"/>
    <x v="1"/>
    <x v="2"/>
    <x v="37"/>
    <x v="0"/>
    <x v="1"/>
    <x v="0"/>
    <n v="0"/>
    <n v="53325"/>
    <n v="5.3324999999999997E-2"/>
    <n v="43252"/>
    <x v="0"/>
  </r>
  <r>
    <n v="60000099"/>
    <x v="30"/>
    <x v="0"/>
    <x v="0"/>
    <x v="7"/>
    <x v="0"/>
    <n v="0.36"/>
    <x v="1"/>
    <x v="5"/>
    <x v="3"/>
    <x v="39"/>
    <x v="0"/>
    <x v="1"/>
    <x v="0"/>
    <n v="7"/>
    <n v="67527"/>
    <n v="6.7527000000000004E-2"/>
    <n v="43252"/>
    <x v="0"/>
  </r>
  <r>
    <n v="60000100"/>
    <x v="6"/>
    <x v="1"/>
    <x v="1"/>
    <x v="3"/>
    <x v="0"/>
    <n v="0.17"/>
    <x v="2"/>
    <x v="11"/>
    <x v="1"/>
    <x v="7"/>
    <x v="0"/>
    <x v="1"/>
    <x v="0"/>
    <n v="5"/>
    <n v="41676"/>
    <n v="4.1675999999999998E-2"/>
    <n v="43252"/>
    <x v="0"/>
  </r>
  <r>
    <n v="60000101"/>
    <x v="22"/>
    <x v="1"/>
    <x v="0"/>
    <x v="4"/>
    <x v="0"/>
    <n v="0.27"/>
    <x v="3"/>
    <x v="14"/>
    <x v="12"/>
    <x v="38"/>
    <x v="0"/>
    <x v="1"/>
    <x v="0"/>
    <n v="0"/>
    <n v="83260"/>
    <n v="8.3260000000000001E-2"/>
    <n v="43252"/>
    <x v="0"/>
  </r>
  <r>
    <n v="60000102"/>
    <x v="9"/>
    <x v="1"/>
    <x v="1"/>
    <x v="8"/>
    <x v="0"/>
    <n v="0.28999999999999998"/>
    <x v="3"/>
    <x v="8"/>
    <x v="9"/>
    <x v="4"/>
    <x v="0"/>
    <x v="1"/>
    <x v="0"/>
    <n v="0"/>
    <n v="42293"/>
    <n v="4.2292999999999997E-2"/>
    <n v="43252"/>
    <x v="0"/>
  </r>
  <r>
    <n v="60000103"/>
    <x v="41"/>
    <x v="1"/>
    <x v="1"/>
    <x v="4"/>
    <x v="0"/>
    <n v="0.23"/>
    <x v="0"/>
    <x v="15"/>
    <x v="1"/>
    <x v="29"/>
    <x v="0"/>
    <x v="1"/>
    <x v="0"/>
    <n v="4"/>
    <n v="31530"/>
    <n v="3.1530000000000002E-2"/>
    <n v="43252"/>
    <x v="0"/>
  </r>
  <r>
    <n v="60000104"/>
    <x v="21"/>
    <x v="0"/>
    <x v="0"/>
    <x v="6"/>
    <x v="0"/>
    <n v="0.21"/>
    <x v="0"/>
    <x v="14"/>
    <x v="12"/>
    <x v="28"/>
    <x v="0"/>
    <x v="1"/>
    <x v="0"/>
    <n v="0"/>
    <n v="80431"/>
    <n v="8.0431000000000002E-2"/>
    <n v="43252"/>
    <x v="0"/>
  </r>
  <r>
    <n v="60000105"/>
    <x v="32"/>
    <x v="0"/>
    <x v="0"/>
    <x v="10"/>
    <x v="0"/>
    <n v="0.36"/>
    <x v="1"/>
    <x v="3"/>
    <x v="5"/>
    <x v="40"/>
    <x v="0"/>
    <x v="1"/>
    <x v="0"/>
    <n v="2"/>
    <n v="27023"/>
    <n v="2.7022999999999998E-2"/>
    <n v="43252"/>
    <x v="0"/>
  </r>
  <r>
    <n v="60000106"/>
    <x v="8"/>
    <x v="0"/>
    <x v="0"/>
    <x v="6"/>
    <x v="0"/>
    <n v="0.11"/>
    <x v="4"/>
    <x v="0"/>
    <x v="3"/>
    <x v="41"/>
    <x v="0"/>
    <x v="1"/>
    <x v="0"/>
    <n v="0"/>
    <n v="30628"/>
    <n v="3.0627999999999999E-2"/>
    <n v="43252"/>
    <x v="0"/>
  </r>
  <r>
    <n v="60000107"/>
    <x v="24"/>
    <x v="1"/>
    <x v="0"/>
    <x v="7"/>
    <x v="0"/>
    <n v="0.11"/>
    <x v="4"/>
    <x v="10"/>
    <x v="10"/>
    <x v="42"/>
    <x v="0"/>
    <x v="1"/>
    <x v="0"/>
    <n v="7"/>
    <n v="84173"/>
    <n v="8.4172999999999998E-2"/>
    <n v="43252"/>
    <x v="0"/>
  </r>
  <r>
    <n v="60000108"/>
    <x v="36"/>
    <x v="1"/>
    <x v="0"/>
    <x v="3"/>
    <x v="0"/>
    <n v="0.28000000000000003"/>
    <x v="3"/>
    <x v="8"/>
    <x v="10"/>
    <x v="13"/>
    <x v="0"/>
    <x v="1"/>
    <x v="0"/>
    <n v="4"/>
    <n v="40057"/>
    <n v="4.0057000000000002E-2"/>
    <n v="43252"/>
    <x v="0"/>
  </r>
  <r>
    <n v="60000109"/>
    <x v="35"/>
    <x v="1"/>
    <x v="1"/>
    <x v="2"/>
    <x v="0"/>
    <n v="0.32"/>
    <x v="1"/>
    <x v="0"/>
    <x v="8"/>
    <x v="29"/>
    <x v="0"/>
    <x v="1"/>
    <x v="0"/>
    <n v="0"/>
    <n v="31074"/>
    <n v="3.1074000000000001E-2"/>
    <n v="43252"/>
    <x v="0"/>
  </r>
  <r>
    <n v="60000110"/>
    <x v="19"/>
    <x v="0"/>
    <x v="1"/>
    <x v="5"/>
    <x v="0"/>
    <n v="0.35"/>
    <x v="1"/>
    <x v="10"/>
    <x v="11"/>
    <x v="22"/>
    <x v="0"/>
    <x v="1"/>
    <x v="0"/>
    <n v="5"/>
    <n v="40029"/>
    <n v="4.0029000000000002E-2"/>
    <n v="43252"/>
    <x v="0"/>
  </r>
  <r>
    <n v="60000111"/>
    <x v="37"/>
    <x v="0"/>
    <x v="0"/>
    <x v="9"/>
    <x v="0"/>
    <n v="0.22"/>
    <x v="0"/>
    <x v="4"/>
    <x v="11"/>
    <x v="10"/>
    <x v="0"/>
    <x v="1"/>
    <x v="0"/>
    <n v="0"/>
    <n v="63650"/>
    <n v="6.3649999999999998E-2"/>
    <n v="43252"/>
    <x v="0"/>
  </r>
  <r>
    <n v="60000112"/>
    <x v="36"/>
    <x v="0"/>
    <x v="1"/>
    <x v="7"/>
    <x v="0"/>
    <n v="0.28000000000000003"/>
    <x v="3"/>
    <x v="13"/>
    <x v="1"/>
    <x v="7"/>
    <x v="0"/>
    <x v="1"/>
    <x v="0"/>
    <n v="0"/>
    <n v="78866"/>
    <n v="7.8866000000000006E-2"/>
    <n v="43252"/>
    <x v="0"/>
  </r>
  <r>
    <n v="60000113"/>
    <x v="42"/>
    <x v="1"/>
    <x v="1"/>
    <x v="5"/>
    <x v="0"/>
    <n v="0.25"/>
    <x v="3"/>
    <x v="15"/>
    <x v="8"/>
    <x v="10"/>
    <x v="0"/>
    <x v="1"/>
    <x v="0"/>
    <n v="3"/>
    <n v="51138"/>
    <n v="5.1138000000000003E-2"/>
    <n v="43252"/>
    <x v="0"/>
  </r>
  <r>
    <n v="60000114"/>
    <x v="19"/>
    <x v="1"/>
    <x v="0"/>
    <x v="2"/>
    <x v="0"/>
    <n v="0.19"/>
    <x v="0"/>
    <x v="3"/>
    <x v="11"/>
    <x v="1"/>
    <x v="0"/>
    <x v="1"/>
    <x v="0"/>
    <n v="6"/>
    <n v="66491"/>
    <n v="6.6490999999999995E-2"/>
    <n v="43252"/>
    <x v="0"/>
  </r>
  <r>
    <n v="60000115"/>
    <x v="10"/>
    <x v="1"/>
    <x v="0"/>
    <x v="10"/>
    <x v="0"/>
    <n v="0.17"/>
    <x v="2"/>
    <x v="8"/>
    <x v="8"/>
    <x v="38"/>
    <x v="0"/>
    <x v="1"/>
    <x v="0"/>
    <n v="3"/>
    <n v="48516"/>
    <n v="4.8515999999999997E-2"/>
    <n v="43252"/>
    <x v="0"/>
  </r>
  <r>
    <n v="60000116"/>
    <x v="43"/>
    <x v="0"/>
    <x v="1"/>
    <x v="1"/>
    <x v="0"/>
    <n v="0.23"/>
    <x v="0"/>
    <x v="10"/>
    <x v="10"/>
    <x v="31"/>
    <x v="0"/>
    <x v="1"/>
    <x v="0"/>
    <n v="0"/>
    <n v="58625"/>
    <n v="5.8624999999999997E-2"/>
    <n v="43252"/>
    <x v="0"/>
  </r>
  <r>
    <n v="60000117"/>
    <x v="2"/>
    <x v="1"/>
    <x v="0"/>
    <x v="6"/>
    <x v="0"/>
    <n v="0.2"/>
    <x v="0"/>
    <x v="4"/>
    <x v="7"/>
    <x v="31"/>
    <x v="0"/>
    <x v="1"/>
    <x v="0"/>
    <n v="1"/>
    <n v="35181"/>
    <n v="3.5180999999999997E-2"/>
    <n v="43252"/>
    <x v="0"/>
  </r>
  <r>
    <n v="60000118"/>
    <x v="23"/>
    <x v="0"/>
    <x v="0"/>
    <x v="8"/>
    <x v="0"/>
    <n v="0.28000000000000003"/>
    <x v="3"/>
    <x v="11"/>
    <x v="5"/>
    <x v="3"/>
    <x v="0"/>
    <x v="1"/>
    <x v="0"/>
    <n v="0"/>
    <n v="30585"/>
    <n v="3.0585000000000001E-2"/>
    <n v="43252"/>
    <x v="0"/>
  </r>
  <r>
    <n v="60000119"/>
    <x v="8"/>
    <x v="0"/>
    <x v="1"/>
    <x v="11"/>
    <x v="0"/>
    <n v="0.37"/>
    <x v="1"/>
    <x v="2"/>
    <x v="7"/>
    <x v="43"/>
    <x v="0"/>
    <x v="1"/>
    <x v="0"/>
    <n v="0"/>
    <n v="52519"/>
    <n v="5.2519000000000003E-2"/>
    <n v="43252"/>
    <x v="0"/>
  </r>
  <r>
    <n v="60000120"/>
    <x v="13"/>
    <x v="0"/>
    <x v="0"/>
    <x v="7"/>
    <x v="0"/>
    <n v="0.37"/>
    <x v="1"/>
    <x v="6"/>
    <x v="7"/>
    <x v="15"/>
    <x v="0"/>
    <x v="1"/>
    <x v="0"/>
    <n v="0"/>
    <n v="33470"/>
    <n v="3.347E-2"/>
    <n v="43252"/>
    <x v="0"/>
  </r>
  <r>
    <n v="60000121"/>
    <x v="24"/>
    <x v="0"/>
    <x v="0"/>
    <x v="9"/>
    <x v="0"/>
    <n v="0.2"/>
    <x v="0"/>
    <x v="3"/>
    <x v="6"/>
    <x v="18"/>
    <x v="0"/>
    <x v="1"/>
    <x v="0"/>
    <n v="0"/>
    <n v="35876"/>
    <n v="3.5875999999999998E-2"/>
    <n v="43252"/>
    <x v="0"/>
  </r>
  <r>
    <n v="60000122"/>
    <x v="40"/>
    <x v="1"/>
    <x v="1"/>
    <x v="9"/>
    <x v="0"/>
    <n v="0.1"/>
    <x v="4"/>
    <x v="5"/>
    <x v="4"/>
    <x v="44"/>
    <x v="0"/>
    <x v="1"/>
    <x v="0"/>
    <n v="0"/>
    <n v="27806"/>
    <n v="2.7806000000000001E-2"/>
    <n v="43252"/>
    <x v="0"/>
  </r>
  <r>
    <n v="60000123"/>
    <x v="36"/>
    <x v="1"/>
    <x v="0"/>
    <x v="11"/>
    <x v="0"/>
    <n v="0.21"/>
    <x v="0"/>
    <x v="8"/>
    <x v="11"/>
    <x v="37"/>
    <x v="0"/>
    <x v="1"/>
    <x v="0"/>
    <n v="7"/>
    <n v="63422"/>
    <n v="6.3422000000000006E-2"/>
    <n v="43252"/>
    <x v="0"/>
  </r>
  <r>
    <n v="60000124"/>
    <x v="3"/>
    <x v="1"/>
    <x v="0"/>
    <x v="3"/>
    <x v="0"/>
    <n v="0.21"/>
    <x v="0"/>
    <x v="3"/>
    <x v="5"/>
    <x v="45"/>
    <x v="0"/>
    <x v="1"/>
    <x v="0"/>
    <n v="4"/>
    <n v="52615"/>
    <n v="5.2615000000000002E-2"/>
    <n v="43252"/>
    <x v="0"/>
  </r>
  <r>
    <n v="60000125"/>
    <x v="39"/>
    <x v="1"/>
    <x v="0"/>
    <x v="0"/>
    <x v="0"/>
    <n v="0.35"/>
    <x v="1"/>
    <x v="8"/>
    <x v="3"/>
    <x v="25"/>
    <x v="0"/>
    <x v="1"/>
    <x v="0"/>
    <n v="0"/>
    <n v="77731"/>
    <n v="7.7730999999999995E-2"/>
    <n v="43252"/>
    <x v="0"/>
  </r>
  <r>
    <n v="60000126"/>
    <x v="27"/>
    <x v="1"/>
    <x v="1"/>
    <x v="2"/>
    <x v="0"/>
    <n v="0.33"/>
    <x v="1"/>
    <x v="4"/>
    <x v="7"/>
    <x v="4"/>
    <x v="0"/>
    <x v="1"/>
    <x v="0"/>
    <n v="0"/>
    <n v="58121"/>
    <n v="5.8120999999999999E-2"/>
    <n v="43252"/>
    <x v="0"/>
  </r>
  <r>
    <n v="60000127"/>
    <x v="12"/>
    <x v="1"/>
    <x v="1"/>
    <x v="2"/>
    <x v="0"/>
    <n v="0.23"/>
    <x v="0"/>
    <x v="15"/>
    <x v="0"/>
    <x v="10"/>
    <x v="0"/>
    <x v="1"/>
    <x v="0"/>
    <n v="4"/>
    <n v="48154"/>
    <n v="4.8154000000000002E-2"/>
    <n v="43252"/>
    <x v="0"/>
  </r>
  <r>
    <n v="60000128"/>
    <x v="7"/>
    <x v="0"/>
    <x v="0"/>
    <x v="10"/>
    <x v="0"/>
    <n v="0.13"/>
    <x v="2"/>
    <x v="5"/>
    <x v="10"/>
    <x v="46"/>
    <x v="0"/>
    <x v="1"/>
    <x v="0"/>
    <n v="4"/>
    <n v="30044"/>
    <n v="3.0044000000000001E-2"/>
    <n v="43252"/>
    <x v="0"/>
  </r>
  <r>
    <n v="60000129"/>
    <x v="41"/>
    <x v="1"/>
    <x v="1"/>
    <x v="1"/>
    <x v="0"/>
    <n v="0.12"/>
    <x v="2"/>
    <x v="13"/>
    <x v="1"/>
    <x v="47"/>
    <x v="0"/>
    <x v="1"/>
    <x v="0"/>
    <n v="1"/>
    <n v="70847"/>
    <n v="7.0846999999999993E-2"/>
    <n v="43252"/>
    <x v="0"/>
  </r>
  <r>
    <n v="60000130"/>
    <x v="40"/>
    <x v="0"/>
    <x v="1"/>
    <x v="10"/>
    <x v="0"/>
    <n v="0.15"/>
    <x v="2"/>
    <x v="1"/>
    <x v="7"/>
    <x v="6"/>
    <x v="0"/>
    <x v="1"/>
    <x v="0"/>
    <n v="1"/>
    <n v="73043"/>
    <n v="7.3042999999999997E-2"/>
    <n v="43252"/>
    <x v="0"/>
  </r>
  <r>
    <n v="60000131"/>
    <x v="18"/>
    <x v="1"/>
    <x v="0"/>
    <x v="11"/>
    <x v="0"/>
    <n v="0.21"/>
    <x v="0"/>
    <x v="4"/>
    <x v="2"/>
    <x v="28"/>
    <x v="0"/>
    <x v="1"/>
    <x v="0"/>
    <n v="0"/>
    <n v="31925"/>
    <n v="3.1925000000000002E-2"/>
    <n v="43252"/>
    <x v="0"/>
  </r>
  <r>
    <n v="60000132"/>
    <x v="31"/>
    <x v="1"/>
    <x v="0"/>
    <x v="0"/>
    <x v="0"/>
    <n v="0.11"/>
    <x v="4"/>
    <x v="10"/>
    <x v="12"/>
    <x v="26"/>
    <x v="0"/>
    <x v="1"/>
    <x v="0"/>
    <n v="0"/>
    <n v="75752"/>
    <n v="7.5752E-2"/>
    <n v="43252"/>
    <x v="0"/>
  </r>
  <r>
    <n v="60000133"/>
    <x v="1"/>
    <x v="1"/>
    <x v="0"/>
    <x v="1"/>
    <x v="0"/>
    <n v="0.21"/>
    <x v="0"/>
    <x v="8"/>
    <x v="9"/>
    <x v="31"/>
    <x v="0"/>
    <x v="1"/>
    <x v="0"/>
    <n v="0"/>
    <n v="24793"/>
    <n v="2.4792999999999999E-2"/>
    <n v="43252"/>
    <x v="0"/>
  </r>
  <r>
    <n v="60000134"/>
    <x v="23"/>
    <x v="0"/>
    <x v="1"/>
    <x v="3"/>
    <x v="0"/>
    <n v="0.28999999999999998"/>
    <x v="3"/>
    <x v="9"/>
    <x v="3"/>
    <x v="19"/>
    <x v="0"/>
    <x v="1"/>
    <x v="0"/>
    <n v="0"/>
    <n v="58103"/>
    <n v="5.8103000000000002E-2"/>
    <n v="43252"/>
    <x v="0"/>
  </r>
  <r>
    <n v="60000135"/>
    <x v="31"/>
    <x v="0"/>
    <x v="1"/>
    <x v="9"/>
    <x v="0"/>
    <n v="0.33"/>
    <x v="1"/>
    <x v="3"/>
    <x v="11"/>
    <x v="20"/>
    <x v="0"/>
    <x v="1"/>
    <x v="0"/>
    <n v="1"/>
    <n v="46478"/>
    <n v="4.6477999999999998E-2"/>
    <n v="43252"/>
    <x v="0"/>
  </r>
  <r>
    <n v="60000136"/>
    <x v="8"/>
    <x v="0"/>
    <x v="0"/>
    <x v="5"/>
    <x v="0"/>
    <n v="0.3"/>
    <x v="3"/>
    <x v="3"/>
    <x v="0"/>
    <x v="28"/>
    <x v="0"/>
    <x v="1"/>
    <x v="0"/>
    <n v="3"/>
    <n v="83401"/>
    <n v="8.3401000000000003E-2"/>
    <n v="43252"/>
    <x v="0"/>
  </r>
  <r>
    <n v="60000137"/>
    <x v="18"/>
    <x v="0"/>
    <x v="0"/>
    <x v="2"/>
    <x v="0"/>
    <n v="0.25"/>
    <x v="3"/>
    <x v="13"/>
    <x v="3"/>
    <x v="30"/>
    <x v="0"/>
    <x v="1"/>
    <x v="0"/>
    <n v="0"/>
    <n v="61812"/>
    <n v="6.1811999999999999E-2"/>
    <n v="43252"/>
    <x v="0"/>
  </r>
  <r>
    <n v="60000138"/>
    <x v="23"/>
    <x v="0"/>
    <x v="0"/>
    <x v="3"/>
    <x v="0"/>
    <n v="0.33"/>
    <x v="1"/>
    <x v="0"/>
    <x v="6"/>
    <x v="41"/>
    <x v="0"/>
    <x v="1"/>
    <x v="0"/>
    <n v="0"/>
    <n v="58973"/>
    <n v="5.8972999999999998E-2"/>
    <n v="43252"/>
    <x v="0"/>
  </r>
  <r>
    <n v="60000139"/>
    <x v="10"/>
    <x v="0"/>
    <x v="1"/>
    <x v="6"/>
    <x v="0"/>
    <n v="0.23"/>
    <x v="0"/>
    <x v="11"/>
    <x v="5"/>
    <x v="34"/>
    <x v="0"/>
    <x v="1"/>
    <x v="0"/>
    <n v="0"/>
    <n v="36477"/>
    <n v="3.6477000000000002E-2"/>
    <n v="43252"/>
    <x v="0"/>
  </r>
  <r>
    <n v="60000140"/>
    <x v="1"/>
    <x v="1"/>
    <x v="1"/>
    <x v="9"/>
    <x v="0"/>
    <n v="0.33"/>
    <x v="1"/>
    <x v="1"/>
    <x v="7"/>
    <x v="39"/>
    <x v="0"/>
    <x v="1"/>
    <x v="0"/>
    <n v="4"/>
    <n v="33098"/>
    <n v="3.3098000000000002E-2"/>
    <n v="43252"/>
    <x v="0"/>
  </r>
  <r>
    <n v="60000141"/>
    <x v="18"/>
    <x v="0"/>
    <x v="1"/>
    <x v="1"/>
    <x v="0"/>
    <n v="0.12"/>
    <x v="2"/>
    <x v="0"/>
    <x v="12"/>
    <x v="44"/>
    <x v="0"/>
    <x v="1"/>
    <x v="0"/>
    <n v="0"/>
    <n v="71611"/>
    <n v="7.1610999999999994E-2"/>
    <n v="43252"/>
    <x v="0"/>
  </r>
  <r>
    <n v="60000142"/>
    <x v="16"/>
    <x v="1"/>
    <x v="1"/>
    <x v="0"/>
    <x v="0"/>
    <n v="0.38"/>
    <x v="1"/>
    <x v="10"/>
    <x v="12"/>
    <x v="43"/>
    <x v="0"/>
    <x v="1"/>
    <x v="0"/>
    <n v="0"/>
    <n v="29276"/>
    <n v="2.9276E-2"/>
    <n v="43252"/>
    <x v="0"/>
  </r>
  <r>
    <n v="60000143"/>
    <x v="34"/>
    <x v="0"/>
    <x v="1"/>
    <x v="0"/>
    <x v="0"/>
    <n v="0.35"/>
    <x v="1"/>
    <x v="7"/>
    <x v="0"/>
    <x v="14"/>
    <x v="0"/>
    <x v="1"/>
    <x v="0"/>
    <n v="2"/>
    <n v="26313"/>
    <n v="2.6313E-2"/>
    <n v="43252"/>
    <x v="0"/>
  </r>
  <r>
    <n v="60000144"/>
    <x v="37"/>
    <x v="1"/>
    <x v="0"/>
    <x v="8"/>
    <x v="0"/>
    <n v="0.15"/>
    <x v="2"/>
    <x v="4"/>
    <x v="2"/>
    <x v="35"/>
    <x v="0"/>
    <x v="1"/>
    <x v="0"/>
    <n v="0"/>
    <n v="35278"/>
    <n v="3.5277999999999997E-2"/>
    <n v="43252"/>
    <x v="0"/>
  </r>
  <r>
    <n v="60000145"/>
    <x v="40"/>
    <x v="1"/>
    <x v="0"/>
    <x v="1"/>
    <x v="0"/>
    <n v="0.16"/>
    <x v="2"/>
    <x v="10"/>
    <x v="11"/>
    <x v="14"/>
    <x v="0"/>
    <x v="1"/>
    <x v="0"/>
    <n v="2"/>
    <n v="72189"/>
    <n v="7.2189000000000003E-2"/>
    <n v="43252"/>
    <x v="0"/>
  </r>
  <r>
    <n v="60000146"/>
    <x v="44"/>
    <x v="0"/>
    <x v="1"/>
    <x v="1"/>
    <x v="0"/>
    <n v="0.19"/>
    <x v="0"/>
    <x v="5"/>
    <x v="6"/>
    <x v="40"/>
    <x v="0"/>
    <x v="1"/>
    <x v="0"/>
    <n v="0"/>
    <n v="47169"/>
    <n v="4.7169000000000003E-2"/>
    <n v="43252"/>
    <x v="0"/>
  </r>
  <r>
    <n v="60000147"/>
    <x v="16"/>
    <x v="1"/>
    <x v="0"/>
    <x v="7"/>
    <x v="0"/>
    <n v="0.37"/>
    <x v="1"/>
    <x v="15"/>
    <x v="12"/>
    <x v="33"/>
    <x v="0"/>
    <x v="1"/>
    <x v="0"/>
    <n v="0"/>
    <n v="33136"/>
    <n v="3.3135999999999999E-2"/>
    <n v="43252"/>
    <x v="0"/>
  </r>
  <r>
    <n v="60000148"/>
    <x v="20"/>
    <x v="0"/>
    <x v="1"/>
    <x v="1"/>
    <x v="0"/>
    <n v="0.18"/>
    <x v="2"/>
    <x v="4"/>
    <x v="4"/>
    <x v="25"/>
    <x v="0"/>
    <x v="1"/>
    <x v="0"/>
    <n v="7"/>
    <n v="60885"/>
    <n v="6.0885000000000002E-2"/>
    <n v="43252"/>
    <x v="0"/>
  </r>
  <r>
    <n v="60000149"/>
    <x v="36"/>
    <x v="0"/>
    <x v="0"/>
    <x v="11"/>
    <x v="0"/>
    <n v="0.2"/>
    <x v="0"/>
    <x v="8"/>
    <x v="2"/>
    <x v="33"/>
    <x v="0"/>
    <x v="1"/>
    <x v="0"/>
    <n v="2"/>
    <n v="74807"/>
    <n v="7.4806999999999998E-2"/>
    <n v="43252"/>
    <x v="0"/>
  </r>
  <r>
    <n v="60000150"/>
    <x v="33"/>
    <x v="1"/>
    <x v="1"/>
    <x v="1"/>
    <x v="0"/>
    <n v="0.1"/>
    <x v="4"/>
    <x v="10"/>
    <x v="7"/>
    <x v="0"/>
    <x v="0"/>
    <x v="1"/>
    <x v="0"/>
    <n v="5"/>
    <n v="60944"/>
    <n v="6.0943999999999998E-2"/>
    <n v="43252"/>
    <x v="0"/>
  </r>
  <r>
    <n v="60000151"/>
    <x v="10"/>
    <x v="0"/>
    <x v="0"/>
    <x v="9"/>
    <x v="0"/>
    <n v="0.23"/>
    <x v="0"/>
    <x v="5"/>
    <x v="12"/>
    <x v="48"/>
    <x v="0"/>
    <x v="1"/>
    <x v="0"/>
    <n v="0"/>
    <n v="58918"/>
    <n v="5.8917999999999998E-2"/>
    <n v="43252"/>
    <x v="0"/>
  </r>
  <r>
    <n v="60000152"/>
    <x v="0"/>
    <x v="0"/>
    <x v="0"/>
    <x v="9"/>
    <x v="0"/>
    <n v="0.35"/>
    <x v="1"/>
    <x v="9"/>
    <x v="8"/>
    <x v="15"/>
    <x v="0"/>
    <x v="1"/>
    <x v="0"/>
    <n v="0"/>
    <n v="37923"/>
    <n v="3.7922999999999998E-2"/>
    <n v="43252"/>
    <x v="0"/>
  </r>
  <r>
    <n v="60000153"/>
    <x v="2"/>
    <x v="1"/>
    <x v="0"/>
    <x v="2"/>
    <x v="0"/>
    <n v="0.36"/>
    <x v="1"/>
    <x v="14"/>
    <x v="1"/>
    <x v="7"/>
    <x v="0"/>
    <x v="1"/>
    <x v="0"/>
    <n v="0"/>
    <n v="75896"/>
    <n v="7.5896000000000005E-2"/>
    <n v="43252"/>
    <x v="0"/>
  </r>
  <r>
    <n v="60000154"/>
    <x v="13"/>
    <x v="1"/>
    <x v="0"/>
    <x v="2"/>
    <x v="0"/>
    <n v="0.16"/>
    <x v="2"/>
    <x v="6"/>
    <x v="1"/>
    <x v="17"/>
    <x v="0"/>
    <x v="1"/>
    <x v="0"/>
    <n v="0"/>
    <n v="39248"/>
    <n v="3.9247999999999998E-2"/>
    <n v="43252"/>
    <x v="0"/>
  </r>
  <r>
    <n v="60000155"/>
    <x v="6"/>
    <x v="1"/>
    <x v="1"/>
    <x v="10"/>
    <x v="0"/>
    <n v="0.32"/>
    <x v="1"/>
    <x v="15"/>
    <x v="6"/>
    <x v="1"/>
    <x v="0"/>
    <x v="1"/>
    <x v="0"/>
    <n v="2"/>
    <n v="61793"/>
    <n v="6.1793000000000001E-2"/>
    <n v="43252"/>
    <x v="0"/>
  </r>
  <r>
    <n v="60000156"/>
    <x v="1"/>
    <x v="1"/>
    <x v="1"/>
    <x v="11"/>
    <x v="0"/>
    <n v="0.35"/>
    <x v="1"/>
    <x v="14"/>
    <x v="10"/>
    <x v="32"/>
    <x v="0"/>
    <x v="1"/>
    <x v="0"/>
    <n v="0"/>
    <n v="84062"/>
    <n v="8.4061999999999998E-2"/>
    <n v="43252"/>
    <x v="0"/>
  </r>
  <r>
    <n v="60000157"/>
    <x v="43"/>
    <x v="1"/>
    <x v="1"/>
    <x v="2"/>
    <x v="0"/>
    <n v="0.11"/>
    <x v="4"/>
    <x v="13"/>
    <x v="6"/>
    <x v="38"/>
    <x v="0"/>
    <x v="1"/>
    <x v="0"/>
    <n v="6"/>
    <n v="50759"/>
    <n v="5.0758999999999999E-2"/>
    <n v="43252"/>
    <x v="0"/>
  </r>
  <r>
    <n v="60000158"/>
    <x v="13"/>
    <x v="1"/>
    <x v="0"/>
    <x v="8"/>
    <x v="0"/>
    <n v="0.31"/>
    <x v="3"/>
    <x v="2"/>
    <x v="4"/>
    <x v="38"/>
    <x v="0"/>
    <x v="1"/>
    <x v="0"/>
    <n v="6"/>
    <n v="29568"/>
    <n v="2.9568000000000001E-2"/>
    <n v="43252"/>
    <x v="0"/>
  </r>
  <r>
    <n v="60000159"/>
    <x v="27"/>
    <x v="0"/>
    <x v="1"/>
    <x v="6"/>
    <x v="0"/>
    <n v="0.27"/>
    <x v="3"/>
    <x v="4"/>
    <x v="7"/>
    <x v="47"/>
    <x v="0"/>
    <x v="1"/>
    <x v="0"/>
    <n v="3"/>
    <n v="71682"/>
    <n v="7.1681999999999996E-2"/>
    <n v="43252"/>
    <x v="0"/>
  </r>
  <r>
    <n v="60000160"/>
    <x v="33"/>
    <x v="1"/>
    <x v="1"/>
    <x v="7"/>
    <x v="0"/>
    <n v="0.19"/>
    <x v="0"/>
    <x v="6"/>
    <x v="12"/>
    <x v="40"/>
    <x v="0"/>
    <x v="1"/>
    <x v="0"/>
    <n v="0"/>
    <n v="70908"/>
    <n v="7.0907999999999999E-2"/>
    <n v="43252"/>
    <x v="0"/>
  </r>
  <r>
    <n v="60000161"/>
    <x v="6"/>
    <x v="1"/>
    <x v="0"/>
    <x v="5"/>
    <x v="0"/>
    <n v="0.27"/>
    <x v="3"/>
    <x v="5"/>
    <x v="12"/>
    <x v="12"/>
    <x v="0"/>
    <x v="1"/>
    <x v="0"/>
    <n v="4"/>
    <n v="62729"/>
    <n v="6.2728999999999993E-2"/>
    <n v="43252"/>
    <x v="0"/>
  </r>
  <r>
    <n v="60000162"/>
    <x v="45"/>
    <x v="0"/>
    <x v="0"/>
    <x v="6"/>
    <x v="0"/>
    <n v="0.21"/>
    <x v="0"/>
    <x v="1"/>
    <x v="12"/>
    <x v="45"/>
    <x v="0"/>
    <x v="1"/>
    <x v="0"/>
    <n v="5"/>
    <n v="51872"/>
    <n v="5.1872000000000001E-2"/>
    <n v="43252"/>
    <x v="0"/>
  </r>
  <r>
    <n v="60000163"/>
    <x v="13"/>
    <x v="0"/>
    <x v="0"/>
    <x v="0"/>
    <x v="0"/>
    <n v="0.37"/>
    <x v="1"/>
    <x v="3"/>
    <x v="3"/>
    <x v="48"/>
    <x v="0"/>
    <x v="1"/>
    <x v="0"/>
    <n v="0"/>
    <n v="41202"/>
    <n v="4.1202000000000003E-2"/>
    <n v="43252"/>
    <x v="0"/>
  </r>
  <r>
    <n v="60000164"/>
    <x v="12"/>
    <x v="1"/>
    <x v="1"/>
    <x v="10"/>
    <x v="0"/>
    <n v="0.33"/>
    <x v="1"/>
    <x v="7"/>
    <x v="4"/>
    <x v="24"/>
    <x v="0"/>
    <x v="1"/>
    <x v="0"/>
    <n v="6"/>
    <n v="54180"/>
    <n v="5.4179999999999999E-2"/>
    <n v="43252"/>
    <x v="0"/>
  </r>
  <r>
    <n v="60000165"/>
    <x v="17"/>
    <x v="1"/>
    <x v="0"/>
    <x v="7"/>
    <x v="0"/>
    <n v="0.12"/>
    <x v="2"/>
    <x v="11"/>
    <x v="8"/>
    <x v="47"/>
    <x v="0"/>
    <x v="1"/>
    <x v="0"/>
    <n v="6"/>
    <n v="59795"/>
    <n v="5.9795000000000001E-2"/>
    <n v="43252"/>
    <x v="0"/>
  </r>
  <r>
    <n v="60000166"/>
    <x v="5"/>
    <x v="1"/>
    <x v="0"/>
    <x v="9"/>
    <x v="0"/>
    <n v="0.37"/>
    <x v="1"/>
    <x v="3"/>
    <x v="11"/>
    <x v="19"/>
    <x v="0"/>
    <x v="1"/>
    <x v="0"/>
    <n v="0"/>
    <n v="26722"/>
    <n v="2.6721999999999999E-2"/>
    <n v="43252"/>
    <x v="0"/>
  </r>
  <r>
    <n v="60000167"/>
    <x v="36"/>
    <x v="1"/>
    <x v="0"/>
    <x v="0"/>
    <x v="0"/>
    <n v="0.36"/>
    <x v="1"/>
    <x v="13"/>
    <x v="7"/>
    <x v="4"/>
    <x v="0"/>
    <x v="1"/>
    <x v="0"/>
    <n v="0"/>
    <n v="39648"/>
    <n v="3.9648000000000003E-2"/>
    <n v="43252"/>
    <x v="0"/>
  </r>
  <r>
    <n v="60000168"/>
    <x v="30"/>
    <x v="1"/>
    <x v="1"/>
    <x v="1"/>
    <x v="0"/>
    <n v="0.35"/>
    <x v="1"/>
    <x v="11"/>
    <x v="4"/>
    <x v="30"/>
    <x v="0"/>
    <x v="1"/>
    <x v="0"/>
    <n v="5"/>
    <n v="63995"/>
    <n v="6.3994999999999996E-2"/>
    <n v="43252"/>
    <x v="0"/>
  </r>
  <r>
    <n v="60000169"/>
    <x v="32"/>
    <x v="1"/>
    <x v="1"/>
    <x v="5"/>
    <x v="0"/>
    <n v="0.25"/>
    <x v="3"/>
    <x v="7"/>
    <x v="7"/>
    <x v="26"/>
    <x v="0"/>
    <x v="1"/>
    <x v="0"/>
    <n v="5"/>
    <n v="76037"/>
    <n v="7.6036999999999993E-2"/>
    <n v="43252"/>
    <x v="0"/>
  </r>
  <r>
    <n v="60000170"/>
    <x v="23"/>
    <x v="0"/>
    <x v="1"/>
    <x v="4"/>
    <x v="0"/>
    <n v="0.17"/>
    <x v="2"/>
    <x v="3"/>
    <x v="1"/>
    <x v="4"/>
    <x v="0"/>
    <x v="1"/>
    <x v="0"/>
    <n v="0"/>
    <n v="56856"/>
    <n v="5.6855999999999997E-2"/>
    <n v="43252"/>
    <x v="0"/>
  </r>
  <r>
    <n v="60000171"/>
    <x v="39"/>
    <x v="0"/>
    <x v="0"/>
    <x v="10"/>
    <x v="0"/>
    <n v="0.33"/>
    <x v="1"/>
    <x v="8"/>
    <x v="2"/>
    <x v="48"/>
    <x v="0"/>
    <x v="1"/>
    <x v="0"/>
    <n v="0"/>
    <n v="60704"/>
    <n v="6.0704000000000001E-2"/>
    <n v="43252"/>
    <x v="0"/>
  </r>
  <r>
    <n v="60000172"/>
    <x v="18"/>
    <x v="1"/>
    <x v="0"/>
    <x v="3"/>
    <x v="0"/>
    <n v="0.25"/>
    <x v="3"/>
    <x v="0"/>
    <x v="0"/>
    <x v="41"/>
    <x v="0"/>
    <x v="1"/>
    <x v="0"/>
    <n v="0"/>
    <n v="50080"/>
    <n v="5.008E-2"/>
    <n v="43252"/>
    <x v="0"/>
  </r>
  <r>
    <n v="60000173"/>
    <x v="19"/>
    <x v="1"/>
    <x v="0"/>
    <x v="7"/>
    <x v="0"/>
    <n v="0.21"/>
    <x v="0"/>
    <x v="10"/>
    <x v="6"/>
    <x v="7"/>
    <x v="0"/>
    <x v="1"/>
    <x v="0"/>
    <n v="0"/>
    <n v="26389"/>
    <n v="2.6388999999999999E-2"/>
    <n v="43252"/>
    <x v="0"/>
  </r>
  <r>
    <n v="60000174"/>
    <x v="26"/>
    <x v="1"/>
    <x v="0"/>
    <x v="3"/>
    <x v="0"/>
    <n v="0.25"/>
    <x v="3"/>
    <x v="14"/>
    <x v="1"/>
    <x v="21"/>
    <x v="0"/>
    <x v="1"/>
    <x v="0"/>
    <n v="0"/>
    <n v="29057"/>
    <n v="2.9056999999999999E-2"/>
    <n v="43252"/>
    <x v="0"/>
  </r>
  <r>
    <n v="60000175"/>
    <x v="30"/>
    <x v="1"/>
    <x v="1"/>
    <x v="2"/>
    <x v="0"/>
    <n v="0.14000000000000001"/>
    <x v="2"/>
    <x v="1"/>
    <x v="6"/>
    <x v="22"/>
    <x v="0"/>
    <x v="1"/>
    <x v="0"/>
    <n v="6"/>
    <n v="33747"/>
    <n v="3.3746999999999999E-2"/>
    <n v="43252"/>
    <x v="0"/>
  </r>
  <r>
    <n v="60000176"/>
    <x v="39"/>
    <x v="1"/>
    <x v="1"/>
    <x v="8"/>
    <x v="0"/>
    <n v="0.27"/>
    <x v="3"/>
    <x v="5"/>
    <x v="8"/>
    <x v="2"/>
    <x v="0"/>
    <x v="1"/>
    <x v="0"/>
    <n v="2"/>
    <n v="39675"/>
    <n v="3.9675000000000002E-2"/>
    <n v="43252"/>
    <x v="0"/>
  </r>
  <r>
    <n v="60000177"/>
    <x v="9"/>
    <x v="0"/>
    <x v="0"/>
    <x v="4"/>
    <x v="0"/>
    <n v="0.34"/>
    <x v="1"/>
    <x v="10"/>
    <x v="7"/>
    <x v="20"/>
    <x v="0"/>
    <x v="1"/>
    <x v="0"/>
    <n v="3"/>
    <n v="32052"/>
    <n v="3.2051999999999997E-2"/>
    <n v="43252"/>
    <x v="0"/>
  </r>
  <r>
    <n v="60000178"/>
    <x v="9"/>
    <x v="1"/>
    <x v="1"/>
    <x v="1"/>
    <x v="0"/>
    <n v="0.31"/>
    <x v="3"/>
    <x v="14"/>
    <x v="2"/>
    <x v="17"/>
    <x v="0"/>
    <x v="1"/>
    <x v="0"/>
    <n v="6"/>
    <n v="84649"/>
    <n v="8.4649000000000002E-2"/>
    <n v="43252"/>
    <x v="0"/>
  </r>
  <r>
    <n v="60000179"/>
    <x v="39"/>
    <x v="0"/>
    <x v="1"/>
    <x v="11"/>
    <x v="0"/>
    <n v="0.27"/>
    <x v="3"/>
    <x v="6"/>
    <x v="12"/>
    <x v="47"/>
    <x v="0"/>
    <x v="1"/>
    <x v="0"/>
    <n v="0"/>
    <n v="54095"/>
    <n v="5.4094999999999997E-2"/>
    <n v="43252"/>
    <x v="0"/>
  </r>
  <r>
    <n v="60000180"/>
    <x v="7"/>
    <x v="0"/>
    <x v="1"/>
    <x v="11"/>
    <x v="0"/>
    <n v="0.33"/>
    <x v="1"/>
    <x v="14"/>
    <x v="1"/>
    <x v="43"/>
    <x v="0"/>
    <x v="1"/>
    <x v="0"/>
    <n v="1"/>
    <n v="77038"/>
    <n v="7.7037999999999995E-2"/>
    <n v="43252"/>
    <x v="0"/>
  </r>
  <r>
    <n v="60000181"/>
    <x v="17"/>
    <x v="1"/>
    <x v="0"/>
    <x v="0"/>
    <x v="0"/>
    <n v="0.12"/>
    <x v="2"/>
    <x v="14"/>
    <x v="0"/>
    <x v="35"/>
    <x v="0"/>
    <x v="1"/>
    <x v="0"/>
    <n v="0"/>
    <n v="51058"/>
    <n v="5.1057999999999999E-2"/>
    <n v="43252"/>
    <x v="0"/>
  </r>
  <r>
    <n v="60000182"/>
    <x v="21"/>
    <x v="0"/>
    <x v="1"/>
    <x v="11"/>
    <x v="0"/>
    <n v="0.11"/>
    <x v="4"/>
    <x v="15"/>
    <x v="0"/>
    <x v="43"/>
    <x v="0"/>
    <x v="1"/>
    <x v="0"/>
    <n v="0"/>
    <n v="84183"/>
    <n v="8.4182999999999994E-2"/>
    <n v="43252"/>
    <x v="0"/>
  </r>
  <r>
    <n v="60000183"/>
    <x v="4"/>
    <x v="0"/>
    <x v="0"/>
    <x v="3"/>
    <x v="0"/>
    <n v="0.33"/>
    <x v="1"/>
    <x v="0"/>
    <x v="12"/>
    <x v="35"/>
    <x v="0"/>
    <x v="1"/>
    <x v="0"/>
    <n v="0"/>
    <n v="48307"/>
    <n v="4.8307000000000003E-2"/>
    <n v="43252"/>
    <x v="0"/>
  </r>
  <r>
    <n v="60000184"/>
    <x v="41"/>
    <x v="1"/>
    <x v="0"/>
    <x v="8"/>
    <x v="0"/>
    <n v="0.25"/>
    <x v="3"/>
    <x v="7"/>
    <x v="4"/>
    <x v="10"/>
    <x v="0"/>
    <x v="1"/>
    <x v="0"/>
    <n v="1"/>
    <n v="26567"/>
    <n v="2.6567E-2"/>
    <n v="43252"/>
    <x v="0"/>
  </r>
  <r>
    <n v="60000185"/>
    <x v="44"/>
    <x v="1"/>
    <x v="1"/>
    <x v="7"/>
    <x v="0"/>
    <n v="0.37"/>
    <x v="1"/>
    <x v="7"/>
    <x v="12"/>
    <x v="1"/>
    <x v="0"/>
    <x v="1"/>
    <x v="0"/>
    <n v="0"/>
    <n v="60974"/>
    <n v="6.0974E-2"/>
    <n v="43252"/>
    <x v="0"/>
  </r>
  <r>
    <n v="60000186"/>
    <x v="1"/>
    <x v="1"/>
    <x v="0"/>
    <x v="2"/>
    <x v="0"/>
    <n v="0.16"/>
    <x v="2"/>
    <x v="6"/>
    <x v="4"/>
    <x v="8"/>
    <x v="0"/>
    <x v="1"/>
    <x v="0"/>
    <n v="2"/>
    <n v="42439"/>
    <n v="4.2438999999999998E-2"/>
    <n v="43252"/>
    <x v="0"/>
  </r>
  <r>
    <n v="60000187"/>
    <x v="26"/>
    <x v="1"/>
    <x v="0"/>
    <x v="1"/>
    <x v="0"/>
    <n v="0.38"/>
    <x v="1"/>
    <x v="12"/>
    <x v="7"/>
    <x v="44"/>
    <x v="0"/>
    <x v="1"/>
    <x v="0"/>
    <n v="0"/>
    <n v="55285"/>
    <n v="5.5285000000000001E-2"/>
    <n v="43252"/>
    <x v="0"/>
  </r>
  <r>
    <n v="60000188"/>
    <x v="10"/>
    <x v="1"/>
    <x v="1"/>
    <x v="1"/>
    <x v="0"/>
    <n v="0.17"/>
    <x v="2"/>
    <x v="5"/>
    <x v="4"/>
    <x v="13"/>
    <x v="0"/>
    <x v="1"/>
    <x v="0"/>
    <n v="4"/>
    <n v="53544"/>
    <n v="5.3544000000000001E-2"/>
    <n v="43252"/>
    <x v="0"/>
  </r>
  <r>
    <n v="60000189"/>
    <x v="35"/>
    <x v="1"/>
    <x v="0"/>
    <x v="0"/>
    <x v="0"/>
    <n v="0.26"/>
    <x v="3"/>
    <x v="11"/>
    <x v="1"/>
    <x v="36"/>
    <x v="0"/>
    <x v="1"/>
    <x v="0"/>
    <n v="7"/>
    <n v="73705"/>
    <n v="7.3705000000000007E-2"/>
    <n v="43252"/>
    <x v="0"/>
  </r>
  <r>
    <n v="60000190"/>
    <x v="15"/>
    <x v="0"/>
    <x v="1"/>
    <x v="10"/>
    <x v="0"/>
    <n v="0.19"/>
    <x v="0"/>
    <x v="5"/>
    <x v="0"/>
    <x v="30"/>
    <x v="0"/>
    <x v="1"/>
    <x v="0"/>
    <n v="0"/>
    <n v="45558"/>
    <n v="4.5558000000000001E-2"/>
    <n v="43252"/>
    <x v="0"/>
  </r>
  <r>
    <n v="60000191"/>
    <x v="23"/>
    <x v="1"/>
    <x v="0"/>
    <x v="10"/>
    <x v="0"/>
    <n v="0.22"/>
    <x v="0"/>
    <x v="7"/>
    <x v="6"/>
    <x v="13"/>
    <x v="0"/>
    <x v="1"/>
    <x v="0"/>
    <n v="0"/>
    <n v="52826"/>
    <n v="5.2825999999999998E-2"/>
    <n v="43252"/>
    <x v="0"/>
  </r>
  <r>
    <n v="60000192"/>
    <x v="44"/>
    <x v="0"/>
    <x v="0"/>
    <x v="5"/>
    <x v="0"/>
    <n v="0.23"/>
    <x v="0"/>
    <x v="9"/>
    <x v="6"/>
    <x v="23"/>
    <x v="0"/>
    <x v="1"/>
    <x v="0"/>
    <n v="1"/>
    <n v="82293"/>
    <n v="8.2293000000000005E-2"/>
    <n v="43252"/>
    <x v="0"/>
  </r>
  <r>
    <n v="60000193"/>
    <x v="30"/>
    <x v="1"/>
    <x v="1"/>
    <x v="3"/>
    <x v="0"/>
    <n v="0.21"/>
    <x v="0"/>
    <x v="2"/>
    <x v="0"/>
    <x v="26"/>
    <x v="0"/>
    <x v="1"/>
    <x v="0"/>
    <n v="0"/>
    <n v="40443"/>
    <n v="4.0443E-2"/>
    <n v="43252"/>
    <x v="0"/>
  </r>
  <r>
    <n v="60000194"/>
    <x v="30"/>
    <x v="0"/>
    <x v="0"/>
    <x v="3"/>
    <x v="0"/>
    <n v="0.18"/>
    <x v="2"/>
    <x v="14"/>
    <x v="2"/>
    <x v="36"/>
    <x v="0"/>
    <x v="1"/>
    <x v="0"/>
    <n v="0"/>
    <n v="43835"/>
    <n v="4.3834999999999999E-2"/>
    <n v="43252"/>
    <x v="0"/>
  </r>
  <r>
    <n v="60000195"/>
    <x v="32"/>
    <x v="1"/>
    <x v="0"/>
    <x v="3"/>
    <x v="0"/>
    <n v="0.3"/>
    <x v="3"/>
    <x v="15"/>
    <x v="6"/>
    <x v="13"/>
    <x v="0"/>
    <x v="1"/>
    <x v="0"/>
    <n v="3"/>
    <n v="49676"/>
    <n v="4.9675999999999998E-2"/>
    <n v="43252"/>
    <x v="0"/>
  </r>
  <r>
    <n v="60000196"/>
    <x v="45"/>
    <x v="1"/>
    <x v="0"/>
    <x v="4"/>
    <x v="0"/>
    <n v="0.16"/>
    <x v="2"/>
    <x v="0"/>
    <x v="9"/>
    <x v="38"/>
    <x v="0"/>
    <x v="1"/>
    <x v="0"/>
    <n v="0"/>
    <n v="58756"/>
    <n v="5.8756000000000003E-2"/>
    <n v="43252"/>
    <x v="0"/>
  </r>
  <r>
    <n v="60000197"/>
    <x v="19"/>
    <x v="1"/>
    <x v="0"/>
    <x v="0"/>
    <x v="0"/>
    <n v="0.22"/>
    <x v="0"/>
    <x v="6"/>
    <x v="0"/>
    <x v="40"/>
    <x v="0"/>
    <x v="1"/>
    <x v="0"/>
    <n v="0"/>
    <n v="44749"/>
    <n v="4.4748999999999997E-2"/>
    <n v="43252"/>
    <x v="0"/>
  </r>
  <r>
    <n v="60000198"/>
    <x v="12"/>
    <x v="0"/>
    <x v="0"/>
    <x v="8"/>
    <x v="0"/>
    <n v="0.3"/>
    <x v="3"/>
    <x v="5"/>
    <x v="5"/>
    <x v="3"/>
    <x v="0"/>
    <x v="1"/>
    <x v="0"/>
    <n v="0"/>
    <n v="51884"/>
    <n v="5.1884E-2"/>
    <n v="43252"/>
    <x v="0"/>
  </r>
  <r>
    <n v="60000199"/>
    <x v="15"/>
    <x v="0"/>
    <x v="0"/>
    <x v="4"/>
    <x v="0"/>
    <n v="0.33"/>
    <x v="1"/>
    <x v="4"/>
    <x v="3"/>
    <x v="9"/>
    <x v="0"/>
    <x v="1"/>
    <x v="0"/>
    <n v="0"/>
    <n v="50267"/>
    <n v="5.0266999999999999E-2"/>
    <n v="43252"/>
    <x v="0"/>
  </r>
  <r>
    <n v="60000200"/>
    <x v="13"/>
    <x v="1"/>
    <x v="1"/>
    <x v="7"/>
    <x v="0"/>
    <n v="0.25"/>
    <x v="3"/>
    <x v="1"/>
    <x v="6"/>
    <x v="1"/>
    <x v="0"/>
    <x v="1"/>
    <x v="0"/>
    <n v="0"/>
    <n v="31636"/>
    <n v="3.1635999999999997E-2"/>
    <n v="43252"/>
    <x v="0"/>
  </r>
  <r>
    <n v="60000201"/>
    <x v="10"/>
    <x v="1"/>
    <x v="0"/>
    <x v="5"/>
    <x v="0"/>
    <n v="0.25"/>
    <x v="3"/>
    <x v="2"/>
    <x v="8"/>
    <x v="8"/>
    <x v="0"/>
    <x v="1"/>
    <x v="0"/>
    <n v="3"/>
    <n v="77924"/>
    <n v="7.7923999999999993E-2"/>
    <n v="43252"/>
    <x v="0"/>
  </r>
  <r>
    <n v="60000202"/>
    <x v="23"/>
    <x v="1"/>
    <x v="0"/>
    <x v="10"/>
    <x v="0"/>
    <n v="0.12"/>
    <x v="2"/>
    <x v="6"/>
    <x v="5"/>
    <x v="1"/>
    <x v="0"/>
    <x v="1"/>
    <x v="0"/>
    <n v="0"/>
    <n v="35126"/>
    <n v="3.5125999999999998E-2"/>
    <n v="43252"/>
    <x v="0"/>
  </r>
  <r>
    <n v="60000203"/>
    <x v="4"/>
    <x v="1"/>
    <x v="0"/>
    <x v="3"/>
    <x v="0"/>
    <n v="0.1"/>
    <x v="4"/>
    <x v="5"/>
    <x v="4"/>
    <x v="16"/>
    <x v="0"/>
    <x v="1"/>
    <x v="0"/>
    <n v="2"/>
    <n v="74576"/>
    <n v="7.4576000000000003E-2"/>
    <n v="43252"/>
    <x v="0"/>
  </r>
  <r>
    <n v="60000204"/>
    <x v="5"/>
    <x v="0"/>
    <x v="1"/>
    <x v="4"/>
    <x v="0"/>
    <n v="0.31"/>
    <x v="3"/>
    <x v="14"/>
    <x v="1"/>
    <x v="28"/>
    <x v="0"/>
    <x v="1"/>
    <x v="0"/>
    <n v="0"/>
    <n v="42426"/>
    <n v="4.2425999999999998E-2"/>
    <n v="43252"/>
    <x v="0"/>
  </r>
  <r>
    <n v="60000205"/>
    <x v="43"/>
    <x v="1"/>
    <x v="1"/>
    <x v="2"/>
    <x v="0"/>
    <n v="0.2"/>
    <x v="0"/>
    <x v="13"/>
    <x v="6"/>
    <x v="38"/>
    <x v="0"/>
    <x v="1"/>
    <x v="0"/>
    <n v="0"/>
    <n v="41369"/>
    <n v="4.1369000000000003E-2"/>
    <n v="43252"/>
    <x v="0"/>
  </r>
  <r>
    <n v="60000206"/>
    <x v="41"/>
    <x v="0"/>
    <x v="0"/>
    <x v="3"/>
    <x v="0"/>
    <n v="0.28999999999999998"/>
    <x v="3"/>
    <x v="4"/>
    <x v="0"/>
    <x v="48"/>
    <x v="0"/>
    <x v="1"/>
    <x v="0"/>
    <n v="2"/>
    <n v="80132"/>
    <n v="8.0131999999999995E-2"/>
    <n v="43252"/>
    <x v="0"/>
  </r>
  <r>
    <n v="60000207"/>
    <x v="35"/>
    <x v="1"/>
    <x v="0"/>
    <x v="10"/>
    <x v="0"/>
    <n v="0.17"/>
    <x v="2"/>
    <x v="3"/>
    <x v="8"/>
    <x v="21"/>
    <x v="0"/>
    <x v="1"/>
    <x v="0"/>
    <n v="0"/>
    <n v="54339"/>
    <n v="5.4338999999999998E-2"/>
    <n v="43252"/>
    <x v="0"/>
  </r>
  <r>
    <n v="60000208"/>
    <x v="34"/>
    <x v="0"/>
    <x v="1"/>
    <x v="2"/>
    <x v="0"/>
    <n v="0.34"/>
    <x v="1"/>
    <x v="0"/>
    <x v="1"/>
    <x v="41"/>
    <x v="0"/>
    <x v="1"/>
    <x v="0"/>
    <n v="2"/>
    <n v="29293"/>
    <n v="2.9293E-2"/>
    <n v="43252"/>
    <x v="0"/>
  </r>
  <r>
    <n v="60000209"/>
    <x v="13"/>
    <x v="0"/>
    <x v="0"/>
    <x v="8"/>
    <x v="0"/>
    <n v="0.35"/>
    <x v="1"/>
    <x v="12"/>
    <x v="1"/>
    <x v="13"/>
    <x v="0"/>
    <x v="1"/>
    <x v="0"/>
    <n v="2"/>
    <n v="49172"/>
    <n v="4.9172E-2"/>
    <n v="43252"/>
    <x v="0"/>
  </r>
  <r>
    <n v="60000210"/>
    <x v="18"/>
    <x v="1"/>
    <x v="0"/>
    <x v="2"/>
    <x v="0"/>
    <n v="0.25"/>
    <x v="3"/>
    <x v="13"/>
    <x v="4"/>
    <x v="12"/>
    <x v="0"/>
    <x v="1"/>
    <x v="0"/>
    <n v="1"/>
    <n v="56939"/>
    <n v="5.6938999999999997E-2"/>
    <n v="43252"/>
    <x v="0"/>
  </r>
  <r>
    <n v="60000211"/>
    <x v="40"/>
    <x v="1"/>
    <x v="1"/>
    <x v="0"/>
    <x v="0"/>
    <n v="0.13"/>
    <x v="2"/>
    <x v="15"/>
    <x v="1"/>
    <x v="46"/>
    <x v="0"/>
    <x v="1"/>
    <x v="0"/>
    <n v="6"/>
    <n v="68211"/>
    <n v="6.8210999999999994E-2"/>
    <n v="43252"/>
    <x v="0"/>
  </r>
  <r>
    <n v="60000212"/>
    <x v="39"/>
    <x v="1"/>
    <x v="0"/>
    <x v="5"/>
    <x v="0"/>
    <n v="0.3"/>
    <x v="3"/>
    <x v="5"/>
    <x v="8"/>
    <x v="46"/>
    <x v="0"/>
    <x v="1"/>
    <x v="0"/>
    <n v="3"/>
    <n v="28402"/>
    <n v="2.8402E-2"/>
    <n v="43252"/>
    <x v="0"/>
  </r>
  <r>
    <n v="60000213"/>
    <x v="32"/>
    <x v="0"/>
    <x v="0"/>
    <x v="0"/>
    <x v="0"/>
    <n v="0.31"/>
    <x v="3"/>
    <x v="11"/>
    <x v="4"/>
    <x v="26"/>
    <x v="0"/>
    <x v="1"/>
    <x v="0"/>
    <n v="7"/>
    <n v="55637"/>
    <n v="5.5636999999999999E-2"/>
    <n v="43252"/>
    <x v="0"/>
  </r>
  <r>
    <n v="60000214"/>
    <x v="10"/>
    <x v="1"/>
    <x v="0"/>
    <x v="0"/>
    <x v="0"/>
    <n v="0.28999999999999998"/>
    <x v="3"/>
    <x v="11"/>
    <x v="0"/>
    <x v="15"/>
    <x v="0"/>
    <x v="1"/>
    <x v="0"/>
    <n v="7"/>
    <n v="60695"/>
    <n v="6.0694999999999999E-2"/>
    <n v="43252"/>
    <x v="0"/>
  </r>
  <r>
    <n v="60000215"/>
    <x v="9"/>
    <x v="0"/>
    <x v="1"/>
    <x v="8"/>
    <x v="0"/>
    <n v="0.35"/>
    <x v="1"/>
    <x v="7"/>
    <x v="5"/>
    <x v="35"/>
    <x v="0"/>
    <x v="1"/>
    <x v="0"/>
    <n v="0"/>
    <n v="48064"/>
    <n v="4.8064000000000003E-2"/>
    <n v="43252"/>
    <x v="0"/>
  </r>
  <r>
    <n v="60000216"/>
    <x v="12"/>
    <x v="0"/>
    <x v="1"/>
    <x v="4"/>
    <x v="0"/>
    <n v="0.37"/>
    <x v="1"/>
    <x v="6"/>
    <x v="5"/>
    <x v="22"/>
    <x v="0"/>
    <x v="1"/>
    <x v="0"/>
    <n v="0"/>
    <n v="65535"/>
    <n v="6.5534999999999996E-2"/>
    <n v="43252"/>
    <x v="0"/>
  </r>
  <r>
    <n v="60000217"/>
    <x v="39"/>
    <x v="0"/>
    <x v="1"/>
    <x v="7"/>
    <x v="0"/>
    <n v="0.21"/>
    <x v="0"/>
    <x v="0"/>
    <x v="10"/>
    <x v="1"/>
    <x v="0"/>
    <x v="1"/>
    <x v="0"/>
    <n v="5"/>
    <n v="29266"/>
    <n v="2.9266E-2"/>
    <n v="43252"/>
    <x v="0"/>
  </r>
  <r>
    <n v="60000218"/>
    <x v="1"/>
    <x v="1"/>
    <x v="0"/>
    <x v="4"/>
    <x v="0"/>
    <n v="0.32"/>
    <x v="1"/>
    <x v="14"/>
    <x v="3"/>
    <x v="6"/>
    <x v="0"/>
    <x v="1"/>
    <x v="0"/>
    <n v="2"/>
    <n v="45406"/>
    <n v="4.5406000000000002E-2"/>
    <n v="43252"/>
    <x v="0"/>
  </r>
  <r>
    <n v="60000219"/>
    <x v="16"/>
    <x v="0"/>
    <x v="1"/>
    <x v="4"/>
    <x v="0"/>
    <n v="0.19"/>
    <x v="0"/>
    <x v="6"/>
    <x v="6"/>
    <x v="28"/>
    <x v="0"/>
    <x v="1"/>
    <x v="0"/>
    <n v="0"/>
    <n v="41428"/>
    <n v="4.1428E-2"/>
    <n v="43252"/>
    <x v="0"/>
  </r>
  <r>
    <n v="60000220"/>
    <x v="10"/>
    <x v="0"/>
    <x v="0"/>
    <x v="1"/>
    <x v="0"/>
    <n v="0.27"/>
    <x v="3"/>
    <x v="1"/>
    <x v="12"/>
    <x v="37"/>
    <x v="0"/>
    <x v="1"/>
    <x v="0"/>
    <n v="0"/>
    <n v="73750"/>
    <n v="7.3749999999999996E-2"/>
    <n v="43252"/>
    <x v="0"/>
  </r>
  <r>
    <n v="60000221"/>
    <x v="11"/>
    <x v="0"/>
    <x v="1"/>
    <x v="6"/>
    <x v="0"/>
    <n v="0.14000000000000001"/>
    <x v="2"/>
    <x v="12"/>
    <x v="10"/>
    <x v="18"/>
    <x v="0"/>
    <x v="1"/>
    <x v="0"/>
    <n v="2"/>
    <n v="72331"/>
    <n v="7.2331000000000006E-2"/>
    <n v="43252"/>
    <x v="0"/>
  </r>
  <r>
    <n v="60000222"/>
    <x v="10"/>
    <x v="1"/>
    <x v="0"/>
    <x v="8"/>
    <x v="0"/>
    <n v="0.2"/>
    <x v="0"/>
    <x v="15"/>
    <x v="12"/>
    <x v="8"/>
    <x v="0"/>
    <x v="1"/>
    <x v="0"/>
    <n v="0"/>
    <n v="35213"/>
    <n v="3.5213000000000001E-2"/>
    <n v="43252"/>
    <x v="0"/>
  </r>
  <r>
    <n v="60000223"/>
    <x v="31"/>
    <x v="0"/>
    <x v="1"/>
    <x v="3"/>
    <x v="0"/>
    <n v="0.13"/>
    <x v="2"/>
    <x v="13"/>
    <x v="12"/>
    <x v="12"/>
    <x v="0"/>
    <x v="1"/>
    <x v="0"/>
    <n v="4"/>
    <n v="82583"/>
    <n v="8.2583000000000004E-2"/>
    <n v="43252"/>
    <x v="0"/>
  </r>
  <r>
    <n v="60000224"/>
    <x v="6"/>
    <x v="0"/>
    <x v="0"/>
    <x v="0"/>
    <x v="0"/>
    <n v="0.28999999999999998"/>
    <x v="3"/>
    <x v="5"/>
    <x v="4"/>
    <x v="34"/>
    <x v="0"/>
    <x v="1"/>
    <x v="0"/>
    <n v="2"/>
    <n v="80511"/>
    <n v="8.0510999999999999E-2"/>
    <n v="43252"/>
    <x v="0"/>
  </r>
  <r>
    <n v="60000225"/>
    <x v="23"/>
    <x v="1"/>
    <x v="0"/>
    <x v="5"/>
    <x v="0"/>
    <n v="0.35"/>
    <x v="1"/>
    <x v="11"/>
    <x v="0"/>
    <x v="16"/>
    <x v="0"/>
    <x v="1"/>
    <x v="0"/>
    <n v="0"/>
    <n v="62373"/>
    <n v="6.2372999999999998E-2"/>
    <n v="43252"/>
    <x v="0"/>
  </r>
  <r>
    <n v="60000226"/>
    <x v="40"/>
    <x v="0"/>
    <x v="1"/>
    <x v="5"/>
    <x v="0"/>
    <n v="0.38"/>
    <x v="1"/>
    <x v="5"/>
    <x v="7"/>
    <x v="47"/>
    <x v="0"/>
    <x v="1"/>
    <x v="0"/>
    <n v="3"/>
    <n v="67931"/>
    <n v="6.7931000000000005E-2"/>
    <n v="43252"/>
    <x v="0"/>
  </r>
  <r>
    <n v="60000227"/>
    <x v="23"/>
    <x v="1"/>
    <x v="0"/>
    <x v="5"/>
    <x v="0"/>
    <n v="0.32"/>
    <x v="1"/>
    <x v="8"/>
    <x v="11"/>
    <x v="30"/>
    <x v="0"/>
    <x v="1"/>
    <x v="0"/>
    <n v="0"/>
    <n v="64359"/>
    <n v="6.4359E-2"/>
    <n v="43252"/>
    <x v="0"/>
  </r>
  <r>
    <n v="60000228"/>
    <x v="17"/>
    <x v="1"/>
    <x v="0"/>
    <x v="5"/>
    <x v="0"/>
    <n v="0.11"/>
    <x v="4"/>
    <x v="5"/>
    <x v="12"/>
    <x v="44"/>
    <x v="0"/>
    <x v="1"/>
    <x v="0"/>
    <n v="7"/>
    <n v="63840"/>
    <n v="6.3839999999999994E-2"/>
    <n v="43252"/>
    <x v="0"/>
  </r>
  <r>
    <n v="60000229"/>
    <x v="9"/>
    <x v="0"/>
    <x v="0"/>
    <x v="0"/>
    <x v="0"/>
    <n v="0.16"/>
    <x v="2"/>
    <x v="3"/>
    <x v="9"/>
    <x v="46"/>
    <x v="0"/>
    <x v="1"/>
    <x v="0"/>
    <n v="4"/>
    <n v="72038"/>
    <n v="7.2038000000000005E-2"/>
    <n v="43252"/>
    <x v="0"/>
  </r>
  <r>
    <n v="60000230"/>
    <x v="23"/>
    <x v="0"/>
    <x v="0"/>
    <x v="6"/>
    <x v="0"/>
    <n v="0.28999999999999998"/>
    <x v="3"/>
    <x v="1"/>
    <x v="3"/>
    <x v="41"/>
    <x v="0"/>
    <x v="1"/>
    <x v="0"/>
    <n v="4"/>
    <n v="26811"/>
    <n v="2.6811000000000001E-2"/>
    <n v="43252"/>
    <x v="0"/>
  </r>
  <r>
    <n v="60000231"/>
    <x v="5"/>
    <x v="0"/>
    <x v="0"/>
    <x v="0"/>
    <x v="0"/>
    <n v="0.24"/>
    <x v="0"/>
    <x v="15"/>
    <x v="4"/>
    <x v="1"/>
    <x v="0"/>
    <x v="1"/>
    <x v="0"/>
    <n v="0"/>
    <n v="23963"/>
    <n v="2.3963000000000002E-2"/>
    <n v="43252"/>
    <x v="0"/>
  </r>
  <r>
    <n v="60000232"/>
    <x v="30"/>
    <x v="1"/>
    <x v="1"/>
    <x v="6"/>
    <x v="0"/>
    <n v="0.31"/>
    <x v="3"/>
    <x v="5"/>
    <x v="0"/>
    <x v="26"/>
    <x v="0"/>
    <x v="1"/>
    <x v="0"/>
    <n v="0"/>
    <n v="32293"/>
    <n v="3.2293000000000002E-2"/>
    <n v="43252"/>
    <x v="0"/>
  </r>
  <r>
    <n v="60000233"/>
    <x v="20"/>
    <x v="0"/>
    <x v="0"/>
    <x v="2"/>
    <x v="0"/>
    <n v="0.19"/>
    <x v="0"/>
    <x v="6"/>
    <x v="7"/>
    <x v="13"/>
    <x v="0"/>
    <x v="1"/>
    <x v="0"/>
    <n v="1"/>
    <n v="69178"/>
    <n v="6.9178000000000003E-2"/>
    <n v="43252"/>
    <x v="0"/>
  </r>
  <r>
    <n v="60000234"/>
    <x v="29"/>
    <x v="0"/>
    <x v="1"/>
    <x v="1"/>
    <x v="0"/>
    <n v="0.25"/>
    <x v="3"/>
    <x v="12"/>
    <x v="12"/>
    <x v="5"/>
    <x v="0"/>
    <x v="1"/>
    <x v="0"/>
    <n v="1"/>
    <n v="52660"/>
    <n v="5.2659999999999998E-2"/>
    <n v="43252"/>
    <x v="0"/>
  </r>
  <r>
    <n v="60000235"/>
    <x v="22"/>
    <x v="1"/>
    <x v="1"/>
    <x v="3"/>
    <x v="0"/>
    <n v="0.27"/>
    <x v="3"/>
    <x v="9"/>
    <x v="1"/>
    <x v="16"/>
    <x v="0"/>
    <x v="1"/>
    <x v="0"/>
    <n v="0"/>
    <n v="40589"/>
    <n v="4.0589E-2"/>
    <n v="43252"/>
    <x v="0"/>
  </r>
  <r>
    <n v="60000236"/>
    <x v="33"/>
    <x v="1"/>
    <x v="1"/>
    <x v="8"/>
    <x v="0"/>
    <n v="0.1"/>
    <x v="4"/>
    <x v="2"/>
    <x v="4"/>
    <x v="19"/>
    <x v="0"/>
    <x v="1"/>
    <x v="0"/>
    <n v="5"/>
    <n v="35339"/>
    <n v="3.5339000000000002E-2"/>
    <n v="43252"/>
    <x v="0"/>
  </r>
  <r>
    <n v="60000237"/>
    <x v="16"/>
    <x v="1"/>
    <x v="1"/>
    <x v="2"/>
    <x v="0"/>
    <n v="0.15"/>
    <x v="2"/>
    <x v="4"/>
    <x v="3"/>
    <x v="23"/>
    <x v="0"/>
    <x v="1"/>
    <x v="0"/>
    <n v="0"/>
    <n v="31305"/>
    <n v="3.1304999999999999E-2"/>
    <n v="43252"/>
    <x v="0"/>
  </r>
  <r>
    <n v="60000238"/>
    <x v="25"/>
    <x v="0"/>
    <x v="1"/>
    <x v="11"/>
    <x v="0"/>
    <n v="0.38"/>
    <x v="1"/>
    <x v="4"/>
    <x v="3"/>
    <x v="8"/>
    <x v="0"/>
    <x v="1"/>
    <x v="0"/>
    <n v="0"/>
    <n v="42758"/>
    <n v="4.2757999999999997E-2"/>
    <n v="43252"/>
    <x v="0"/>
  </r>
  <r>
    <n v="60000239"/>
    <x v="20"/>
    <x v="0"/>
    <x v="1"/>
    <x v="2"/>
    <x v="0"/>
    <n v="0.12"/>
    <x v="2"/>
    <x v="5"/>
    <x v="3"/>
    <x v="35"/>
    <x v="1"/>
    <x v="1"/>
    <x v="0"/>
    <n v="0"/>
    <n v="52307"/>
    <n v="5.2306999999999999E-2"/>
    <n v="43252"/>
    <x v="0"/>
  </r>
  <r>
    <n v="60000240"/>
    <x v="29"/>
    <x v="0"/>
    <x v="1"/>
    <x v="7"/>
    <x v="0"/>
    <n v="0.36"/>
    <x v="1"/>
    <x v="13"/>
    <x v="5"/>
    <x v="48"/>
    <x v="2"/>
    <x v="1"/>
    <x v="0"/>
    <n v="0"/>
    <n v="27291"/>
    <n v="2.7290999999999999E-2"/>
    <n v="43252"/>
    <x v="0"/>
  </r>
  <r>
    <n v="60000241"/>
    <x v="21"/>
    <x v="0"/>
    <x v="0"/>
    <x v="8"/>
    <x v="0"/>
    <n v="0.14000000000000001"/>
    <x v="2"/>
    <x v="1"/>
    <x v="11"/>
    <x v="4"/>
    <x v="0"/>
    <x v="1"/>
    <x v="0"/>
    <n v="3"/>
    <n v="33519"/>
    <n v="3.3519E-2"/>
    <n v="43252"/>
    <x v="0"/>
  </r>
  <r>
    <n v="60000242"/>
    <x v="31"/>
    <x v="0"/>
    <x v="0"/>
    <x v="5"/>
    <x v="0"/>
    <n v="0.11"/>
    <x v="4"/>
    <x v="8"/>
    <x v="12"/>
    <x v="31"/>
    <x v="2"/>
    <x v="1"/>
    <x v="1"/>
    <n v="0"/>
    <n v="36838"/>
    <n v="3.6838000000000003E-2"/>
    <n v="43252"/>
    <x v="0"/>
  </r>
  <r>
    <n v="60000243"/>
    <x v="28"/>
    <x v="1"/>
    <x v="0"/>
    <x v="5"/>
    <x v="0"/>
    <n v="0.14000000000000001"/>
    <x v="2"/>
    <x v="4"/>
    <x v="4"/>
    <x v="16"/>
    <x v="1"/>
    <x v="1"/>
    <x v="0"/>
    <n v="7"/>
    <n v="71082"/>
    <n v="7.1082000000000006E-2"/>
    <n v="43252"/>
    <x v="0"/>
  </r>
  <r>
    <n v="60000244"/>
    <x v="7"/>
    <x v="0"/>
    <x v="0"/>
    <x v="3"/>
    <x v="0"/>
    <n v="0.27"/>
    <x v="3"/>
    <x v="1"/>
    <x v="9"/>
    <x v="39"/>
    <x v="1"/>
    <x v="1"/>
    <x v="0"/>
    <n v="0"/>
    <n v="50431"/>
    <n v="5.0430999999999997E-2"/>
    <n v="43252"/>
    <x v="0"/>
  </r>
  <r>
    <n v="60000245"/>
    <x v="5"/>
    <x v="1"/>
    <x v="0"/>
    <x v="1"/>
    <x v="0"/>
    <n v="0.1"/>
    <x v="4"/>
    <x v="15"/>
    <x v="3"/>
    <x v="23"/>
    <x v="2"/>
    <x v="1"/>
    <x v="1"/>
    <n v="5"/>
    <n v="27793"/>
    <n v="2.7793000000000002E-2"/>
    <n v="43252"/>
    <x v="0"/>
  </r>
  <r>
    <n v="60000246"/>
    <x v="23"/>
    <x v="0"/>
    <x v="0"/>
    <x v="3"/>
    <x v="0"/>
    <n v="0.11"/>
    <x v="4"/>
    <x v="6"/>
    <x v="4"/>
    <x v="0"/>
    <x v="1"/>
    <x v="1"/>
    <x v="1"/>
    <n v="6"/>
    <n v="53157"/>
    <n v="5.3157000000000003E-2"/>
    <n v="43252"/>
    <x v="0"/>
  </r>
  <r>
    <n v="60000247"/>
    <x v="27"/>
    <x v="1"/>
    <x v="0"/>
    <x v="8"/>
    <x v="0"/>
    <n v="0.35"/>
    <x v="1"/>
    <x v="7"/>
    <x v="2"/>
    <x v="44"/>
    <x v="0"/>
    <x v="1"/>
    <x v="1"/>
    <n v="0"/>
    <n v="62433"/>
    <n v="6.2433000000000002E-2"/>
    <n v="43252"/>
    <x v="0"/>
  </r>
  <r>
    <n v="60000248"/>
    <x v="22"/>
    <x v="0"/>
    <x v="0"/>
    <x v="4"/>
    <x v="0"/>
    <n v="0.3"/>
    <x v="3"/>
    <x v="14"/>
    <x v="4"/>
    <x v="17"/>
    <x v="2"/>
    <x v="1"/>
    <x v="0"/>
    <n v="0"/>
    <n v="25103"/>
    <n v="2.5103E-2"/>
    <n v="43252"/>
    <x v="0"/>
  </r>
  <r>
    <n v="60000249"/>
    <x v="0"/>
    <x v="0"/>
    <x v="0"/>
    <x v="11"/>
    <x v="0"/>
    <n v="0.34"/>
    <x v="1"/>
    <x v="14"/>
    <x v="4"/>
    <x v="1"/>
    <x v="1"/>
    <x v="1"/>
    <x v="0"/>
    <n v="0"/>
    <n v="36428"/>
    <n v="3.6428000000000002E-2"/>
    <n v="43252"/>
    <x v="0"/>
  </r>
  <r>
    <n v="60000250"/>
    <x v="24"/>
    <x v="1"/>
    <x v="0"/>
    <x v="8"/>
    <x v="0"/>
    <n v="0.19"/>
    <x v="0"/>
    <x v="5"/>
    <x v="6"/>
    <x v="20"/>
    <x v="1"/>
    <x v="1"/>
    <x v="1"/>
    <n v="2"/>
    <n v="44679"/>
    <n v="4.4679000000000003E-2"/>
    <n v="43252"/>
    <x v="0"/>
  </r>
  <r>
    <n v="60000251"/>
    <x v="23"/>
    <x v="0"/>
    <x v="1"/>
    <x v="0"/>
    <x v="0"/>
    <n v="0.21"/>
    <x v="0"/>
    <x v="13"/>
    <x v="1"/>
    <x v="11"/>
    <x v="2"/>
    <x v="1"/>
    <x v="1"/>
    <n v="0"/>
    <n v="60136"/>
    <n v="6.0136000000000002E-2"/>
    <n v="43252"/>
    <x v="0"/>
  </r>
  <r>
    <n v="60000252"/>
    <x v="38"/>
    <x v="0"/>
    <x v="1"/>
    <x v="0"/>
    <x v="0"/>
    <n v="0.2"/>
    <x v="0"/>
    <x v="15"/>
    <x v="11"/>
    <x v="1"/>
    <x v="0"/>
    <x v="1"/>
    <x v="1"/>
    <n v="0"/>
    <n v="45590"/>
    <n v="4.5589999999999999E-2"/>
    <n v="43252"/>
    <x v="0"/>
  </r>
  <r>
    <n v="60000253"/>
    <x v="10"/>
    <x v="0"/>
    <x v="0"/>
    <x v="3"/>
    <x v="0"/>
    <n v="0.19"/>
    <x v="0"/>
    <x v="8"/>
    <x v="10"/>
    <x v="23"/>
    <x v="2"/>
    <x v="1"/>
    <x v="0"/>
    <n v="3"/>
    <n v="38361"/>
    <n v="3.8360999999999999E-2"/>
    <n v="43252"/>
    <x v="0"/>
  </r>
  <r>
    <n v="60000254"/>
    <x v="37"/>
    <x v="1"/>
    <x v="0"/>
    <x v="9"/>
    <x v="0"/>
    <n v="0.35"/>
    <x v="1"/>
    <x v="11"/>
    <x v="12"/>
    <x v="16"/>
    <x v="2"/>
    <x v="1"/>
    <x v="1"/>
    <n v="0"/>
    <n v="42979"/>
    <n v="4.2979000000000003E-2"/>
    <n v="43252"/>
    <x v="0"/>
  </r>
  <r>
    <n v="60000255"/>
    <x v="32"/>
    <x v="0"/>
    <x v="1"/>
    <x v="1"/>
    <x v="0"/>
    <n v="0.36"/>
    <x v="1"/>
    <x v="3"/>
    <x v="12"/>
    <x v="26"/>
    <x v="1"/>
    <x v="1"/>
    <x v="0"/>
    <n v="0"/>
    <n v="55189"/>
    <n v="5.5189000000000002E-2"/>
    <n v="43252"/>
    <x v="0"/>
  </r>
  <r>
    <n v="60000256"/>
    <x v="12"/>
    <x v="0"/>
    <x v="0"/>
    <x v="6"/>
    <x v="0"/>
    <n v="0.15"/>
    <x v="2"/>
    <x v="14"/>
    <x v="6"/>
    <x v="1"/>
    <x v="0"/>
    <x v="1"/>
    <x v="0"/>
    <n v="0"/>
    <n v="44547"/>
    <n v="4.4547000000000003E-2"/>
    <n v="43252"/>
    <x v="0"/>
  </r>
  <r>
    <n v="60000257"/>
    <x v="31"/>
    <x v="1"/>
    <x v="1"/>
    <x v="0"/>
    <x v="0"/>
    <n v="0.21"/>
    <x v="0"/>
    <x v="9"/>
    <x v="8"/>
    <x v="21"/>
    <x v="1"/>
    <x v="1"/>
    <x v="0"/>
    <n v="0"/>
    <n v="36625"/>
    <n v="3.6624999999999998E-2"/>
    <n v="43252"/>
    <x v="0"/>
  </r>
  <r>
    <n v="60000258"/>
    <x v="20"/>
    <x v="0"/>
    <x v="0"/>
    <x v="11"/>
    <x v="0"/>
    <n v="0.33"/>
    <x v="1"/>
    <x v="6"/>
    <x v="1"/>
    <x v="21"/>
    <x v="0"/>
    <x v="1"/>
    <x v="1"/>
    <n v="4"/>
    <n v="51401"/>
    <n v="5.1401000000000002E-2"/>
    <n v="43252"/>
    <x v="0"/>
  </r>
  <r>
    <n v="60000259"/>
    <x v="36"/>
    <x v="1"/>
    <x v="0"/>
    <x v="10"/>
    <x v="0"/>
    <n v="0.12"/>
    <x v="2"/>
    <x v="2"/>
    <x v="5"/>
    <x v="17"/>
    <x v="0"/>
    <x v="1"/>
    <x v="1"/>
    <n v="4"/>
    <n v="43733"/>
    <n v="4.3733000000000001E-2"/>
    <n v="43252"/>
    <x v="0"/>
  </r>
  <r>
    <n v="60000260"/>
    <x v="42"/>
    <x v="0"/>
    <x v="0"/>
    <x v="4"/>
    <x v="0"/>
    <n v="0.19"/>
    <x v="0"/>
    <x v="8"/>
    <x v="7"/>
    <x v="39"/>
    <x v="1"/>
    <x v="1"/>
    <x v="0"/>
    <n v="0"/>
    <n v="52142"/>
    <n v="5.2142000000000001E-2"/>
    <n v="43252"/>
    <x v="0"/>
  </r>
  <r>
    <n v="60000261"/>
    <x v="15"/>
    <x v="1"/>
    <x v="0"/>
    <x v="10"/>
    <x v="0"/>
    <n v="0.25"/>
    <x v="3"/>
    <x v="4"/>
    <x v="4"/>
    <x v="48"/>
    <x v="2"/>
    <x v="1"/>
    <x v="0"/>
    <n v="0"/>
    <n v="68355"/>
    <n v="6.8354999999999999E-2"/>
    <n v="43252"/>
    <x v="0"/>
  </r>
  <r>
    <n v="60000262"/>
    <x v="36"/>
    <x v="0"/>
    <x v="0"/>
    <x v="4"/>
    <x v="0"/>
    <n v="0.35"/>
    <x v="1"/>
    <x v="7"/>
    <x v="2"/>
    <x v="5"/>
    <x v="2"/>
    <x v="1"/>
    <x v="0"/>
    <n v="6"/>
    <n v="64273"/>
    <n v="6.4272999999999997E-2"/>
    <n v="43252"/>
    <x v="0"/>
  </r>
  <r>
    <n v="60000263"/>
    <x v="20"/>
    <x v="1"/>
    <x v="0"/>
    <x v="5"/>
    <x v="0"/>
    <n v="0.23"/>
    <x v="0"/>
    <x v="5"/>
    <x v="10"/>
    <x v="36"/>
    <x v="0"/>
    <x v="1"/>
    <x v="0"/>
    <n v="0"/>
    <n v="73415"/>
    <n v="7.3414999999999994E-2"/>
    <n v="43252"/>
    <x v="0"/>
  </r>
  <r>
    <n v="60000264"/>
    <x v="40"/>
    <x v="0"/>
    <x v="1"/>
    <x v="4"/>
    <x v="0"/>
    <n v="0.32"/>
    <x v="1"/>
    <x v="2"/>
    <x v="1"/>
    <x v="14"/>
    <x v="1"/>
    <x v="1"/>
    <x v="0"/>
    <n v="7"/>
    <n v="28009"/>
    <n v="2.8008999999999999E-2"/>
    <n v="43252"/>
    <x v="0"/>
  </r>
  <r>
    <n v="60000265"/>
    <x v="16"/>
    <x v="0"/>
    <x v="0"/>
    <x v="6"/>
    <x v="0"/>
    <n v="0.32"/>
    <x v="1"/>
    <x v="5"/>
    <x v="7"/>
    <x v="11"/>
    <x v="0"/>
    <x v="1"/>
    <x v="0"/>
    <n v="0"/>
    <n v="50117"/>
    <n v="5.0117000000000002E-2"/>
    <n v="43252"/>
    <x v="0"/>
  </r>
  <r>
    <n v="60000266"/>
    <x v="18"/>
    <x v="1"/>
    <x v="1"/>
    <x v="9"/>
    <x v="0"/>
    <n v="0.24"/>
    <x v="0"/>
    <x v="0"/>
    <x v="9"/>
    <x v="46"/>
    <x v="1"/>
    <x v="1"/>
    <x v="1"/>
    <n v="5"/>
    <n v="73685"/>
    <n v="7.3685E-2"/>
    <n v="43252"/>
    <x v="0"/>
  </r>
  <r>
    <n v="60000267"/>
    <x v="26"/>
    <x v="0"/>
    <x v="1"/>
    <x v="9"/>
    <x v="0"/>
    <n v="0.19"/>
    <x v="0"/>
    <x v="0"/>
    <x v="0"/>
    <x v="27"/>
    <x v="1"/>
    <x v="1"/>
    <x v="1"/>
    <n v="3"/>
    <n v="75872"/>
    <n v="7.5871999999999995E-2"/>
    <n v="43252"/>
    <x v="0"/>
  </r>
  <r>
    <n v="60000268"/>
    <x v="35"/>
    <x v="1"/>
    <x v="0"/>
    <x v="7"/>
    <x v="0"/>
    <n v="0.35"/>
    <x v="1"/>
    <x v="0"/>
    <x v="12"/>
    <x v="7"/>
    <x v="0"/>
    <x v="1"/>
    <x v="0"/>
    <n v="0"/>
    <n v="81531"/>
    <n v="8.1531000000000006E-2"/>
    <n v="43252"/>
    <x v="0"/>
  </r>
  <r>
    <n v="60000269"/>
    <x v="15"/>
    <x v="1"/>
    <x v="1"/>
    <x v="2"/>
    <x v="0"/>
    <n v="0.34"/>
    <x v="1"/>
    <x v="8"/>
    <x v="3"/>
    <x v="17"/>
    <x v="2"/>
    <x v="1"/>
    <x v="1"/>
    <n v="5"/>
    <n v="74132"/>
    <n v="7.4132000000000003E-2"/>
    <n v="43252"/>
    <x v="0"/>
  </r>
  <r>
    <n v="60000270"/>
    <x v="5"/>
    <x v="1"/>
    <x v="0"/>
    <x v="3"/>
    <x v="0"/>
    <n v="0.33"/>
    <x v="1"/>
    <x v="13"/>
    <x v="3"/>
    <x v="34"/>
    <x v="2"/>
    <x v="1"/>
    <x v="0"/>
    <n v="1"/>
    <n v="42932"/>
    <n v="4.2931999999999998E-2"/>
    <n v="43252"/>
    <x v="0"/>
  </r>
  <r>
    <n v="60000271"/>
    <x v="24"/>
    <x v="1"/>
    <x v="1"/>
    <x v="7"/>
    <x v="0"/>
    <n v="0.16"/>
    <x v="2"/>
    <x v="15"/>
    <x v="11"/>
    <x v="14"/>
    <x v="1"/>
    <x v="1"/>
    <x v="0"/>
    <n v="0"/>
    <n v="62947"/>
    <n v="6.2947000000000003E-2"/>
    <n v="43252"/>
    <x v="0"/>
  </r>
  <r>
    <n v="60000272"/>
    <x v="41"/>
    <x v="1"/>
    <x v="0"/>
    <x v="3"/>
    <x v="0"/>
    <n v="0.17"/>
    <x v="2"/>
    <x v="5"/>
    <x v="8"/>
    <x v="42"/>
    <x v="0"/>
    <x v="1"/>
    <x v="0"/>
    <n v="0"/>
    <n v="56032"/>
    <n v="5.6031999999999998E-2"/>
    <n v="43252"/>
    <x v="0"/>
  </r>
  <r>
    <n v="60000273"/>
    <x v="25"/>
    <x v="1"/>
    <x v="1"/>
    <x v="3"/>
    <x v="0"/>
    <n v="0.21"/>
    <x v="0"/>
    <x v="7"/>
    <x v="0"/>
    <x v="24"/>
    <x v="1"/>
    <x v="1"/>
    <x v="1"/>
    <n v="0"/>
    <n v="67233"/>
    <n v="6.7233000000000001E-2"/>
    <n v="43252"/>
    <x v="0"/>
  </r>
  <r>
    <n v="60000274"/>
    <x v="37"/>
    <x v="0"/>
    <x v="1"/>
    <x v="10"/>
    <x v="0"/>
    <n v="0.27"/>
    <x v="3"/>
    <x v="5"/>
    <x v="5"/>
    <x v="48"/>
    <x v="0"/>
    <x v="1"/>
    <x v="1"/>
    <n v="6"/>
    <n v="42157"/>
    <n v="4.2157E-2"/>
    <n v="43252"/>
    <x v="0"/>
  </r>
  <r>
    <n v="60000275"/>
    <x v="15"/>
    <x v="1"/>
    <x v="0"/>
    <x v="11"/>
    <x v="0"/>
    <n v="0.35"/>
    <x v="1"/>
    <x v="6"/>
    <x v="1"/>
    <x v="44"/>
    <x v="1"/>
    <x v="1"/>
    <x v="1"/>
    <n v="2"/>
    <n v="80127"/>
    <n v="8.0127000000000004E-2"/>
    <n v="43252"/>
    <x v="0"/>
  </r>
  <r>
    <n v="60000276"/>
    <x v="4"/>
    <x v="1"/>
    <x v="0"/>
    <x v="0"/>
    <x v="0"/>
    <n v="0.22"/>
    <x v="0"/>
    <x v="0"/>
    <x v="9"/>
    <x v="20"/>
    <x v="1"/>
    <x v="1"/>
    <x v="1"/>
    <n v="5"/>
    <n v="63859"/>
    <n v="6.3858999999999999E-2"/>
    <n v="43252"/>
    <x v="0"/>
  </r>
  <r>
    <n v="60000277"/>
    <x v="12"/>
    <x v="1"/>
    <x v="0"/>
    <x v="4"/>
    <x v="0"/>
    <n v="0.19"/>
    <x v="0"/>
    <x v="0"/>
    <x v="2"/>
    <x v="39"/>
    <x v="1"/>
    <x v="1"/>
    <x v="0"/>
    <n v="4"/>
    <n v="56370"/>
    <n v="5.6370000000000003E-2"/>
    <n v="43252"/>
    <x v="0"/>
  </r>
  <r>
    <n v="60000278"/>
    <x v="40"/>
    <x v="0"/>
    <x v="1"/>
    <x v="11"/>
    <x v="0"/>
    <n v="0.35"/>
    <x v="1"/>
    <x v="5"/>
    <x v="2"/>
    <x v="24"/>
    <x v="0"/>
    <x v="1"/>
    <x v="1"/>
    <n v="4"/>
    <n v="45869"/>
    <n v="4.5869E-2"/>
    <n v="43252"/>
    <x v="0"/>
  </r>
  <r>
    <n v="60000279"/>
    <x v="13"/>
    <x v="1"/>
    <x v="0"/>
    <x v="7"/>
    <x v="0"/>
    <n v="0.28000000000000003"/>
    <x v="3"/>
    <x v="14"/>
    <x v="1"/>
    <x v="28"/>
    <x v="0"/>
    <x v="1"/>
    <x v="0"/>
    <n v="0"/>
    <n v="61650"/>
    <n v="6.1650000000000003E-2"/>
    <n v="43252"/>
    <x v="0"/>
  </r>
  <r>
    <n v="60000280"/>
    <x v="7"/>
    <x v="0"/>
    <x v="1"/>
    <x v="8"/>
    <x v="0"/>
    <n v="0.19"/>
    <x v="0"/>
    <x v="9"/>
    <x v="5"/>
    <x v="47"/>
    <x v="0"/>
    <x v="1"/>
    <x v="1"/>
    <n v="0"/>
    <n v="54763"/>
    <n v="5.4762999999999999E-2"/>
    <n v="43252"/>
    <x v="0"/>
  </r>
  <r>
    <n v="60000281"/>
    <x v="39"/>
    <x v="0"/>
    <x v="0"/>
    <x v="6"/>
    <x v="0"/>
    <n v="0.14000000000000001"/>
    <x v="2"/>
    <x v="13"/>
    <x v="0"/>
    <x v="25"/>
    <x v="1"/>
    <x v="1"/>
    <x v="1"/>
    <n v="0"/>
    <n v="84890"/>
    <n v="8.4889999999999993E-2"/>
    <n v="43252"/>
    <x v="0"/>
  </r>
  <r>
    <n v="60000282"/>
    <x v="27"/>
    <x v="1"/>
    <x v="0"/>
    <x v="5"/>
    <x v="0"/>
    <n v="0.11"/>
    <x v="4"/>
    <x v="3"/>
    <x v="4"/>
    <x v="13"/>
    <x v="1"/>
    <x v="1"/>
    <x v="1"/>
    <n v="6"/>
    <n v="62574"/>
    <n v="6.2574000000000005E-2"/>
    <n v="43252"/>
    <x v="0"/>
  </r>
  <r>
    <n v="60000283"/>
    <x v="30"/>
    <x v="0"/>
    <x v="1"/>
    <x v="3"/>
    <x v="0"/>
    <n v="0.37"/>
    <x v="1"/>
    <x v="9"/>
    <x v="4"/>
    <x v="0"/>
    <x v="0"/>
    <x v="1"/>
    <x v="0"/>
    <n v="0"/>
    <n v="25808"/>
    <n v="2.5808000000000001E-2"/>
    <n v="43252"/>
    <x v="0"/>
  </r>
  <r>
    <n v="60000284"/>
    <x v="34"/>
    <x v="0"/>
    <x v="1"/>
    <x v="2"/>
    <x v="0"/>
    <n v="0.16"/>
    <x v="2"/>
    <x v="9"/>
    <x v="5"/>
    <x v="19"/>
    <x v="1"/>
    <x v="1"/>
    <x v="1"/>
    <n v="0"/>
    <n v="40642"/>
    <n v="4.0641999999999998E-2"/>
    <n v="43252"/>
    <x v="0"/>
  </r>
  <r>
    <n v="60000285"/>
    <x v="28"/>
    <x v="1"/>
    <x v="0"/>
    <x v="8"/>
    <x v="0"/>
    <n v="0.19"/>
    <x v="0"/>
    <x v="8"/>
    <x v="9"/>
    <x v="37"/>
    <x v="0"/>
    <x v="1"/>
    <x v="0"/>
    <n v="0"/>
    <n v="79634"/>
    <n v="7.9633999999999996E-2"/>
    <n v="43252"/>
    <x v="0"/>
  </r>
  <r>
    <n v="60000286"/>
    <x v="27"/>
    <x v="1"/>
    <x v="0"/>
    <x v="1"/>
    <x v="0"/>
    <n v="0.25"/>
    <x v="3"/>
    <x v="3"/>
    <x v="10"/>
    <x v="39"/>
    <x v="0"/>
    <x v="1"/>
    <x v="1"/>
    <n v="7"/>
    <n v="45068"/>
    <n v="4.5067999999999997E-2"/>
    <n v="43252"/>
    <x v="0"/>
  </r>
  <r>
    <n v="60000287"/>
    <x v="31"/>
    <x v="1"/>
    <x v="0"/>
    <x v="8"/>
    <x v="0"/>
    <n v="0.21"/>
    <x v="0"/>
    <x v="12"/>
    <x v="0"/>
    <x v="49"/>
    <x v="0"/>
    <x v="1"/>
    <x v="0"/>
    <n v="0"/>
    <n v="71844"/>
    <n v="7.1844000000000005E-2"/>
    <n v="43252"/>
    <x v="0"/>
  </r>
  <r>
    <n v="60000288"/>
    <x v="5"/>
    <x v="0"/>
    <x v="1"/>
    <x v="9"/>
    <x v="0"/>
    <n v="0.27"/>
    <x v="3"/>
    <x v="12"/>
    <x v="7"/>
    <x v="19"/>
    <x v="1"/>
    <x v="1"/>
    <x v="0"/>
    <n v="0"/>
    <n v="23846"/>
    <n v="2.3845999999999999E-2"/>
    <n v="43252"/>
    <x v="0"/>
  </r>
  <r>
    <n v="60000289"/>
    <x v="6"/>
    <x v="0"/>
    <x v="0"/>
    <x v="9"/>
    <x v="0"/>
    <n v="0.28000000000000003"/>
    <x v="3"/>
    <x v="0"/>
    <x v="8"/>
    <x v="26"/>
    <x v="1"/>
    <x v="1"/>
    <x v="1"/>
    <n v="0"/>
    <n v="68805"/>
    <n v="6.8805000000000005E-2"/>
    <n v="43252"/>
    <x v="0"/>
  </r>
  <r>
    <n v="60000290"/>
    <x v="30"/>
    <x v="1"/>
    <x v="1"/>
    <x v="5"/>
    <x v="0"/>
    <n v="0.3"/>
    <x v="3"/>
    <x v="1"/>
    <x v="11"/>
    <x v="0"/>
    <x v="2"/>
    <x v="1"/>
    <x v="0"/>
    <n v="6"/>
    <n v="79400"/>
    <n v="7.9399999999999998E-2"/>
    <n v="43252"/>
    <x v="0"/>
  </r>
  <r>
    <n v="60000291"/>
    <x v="6"/>
    <x v="0"/>
    <x v="0"/>
    <x v="7"/>
    <x v="0"/>
    <n v="0.36"/>
    <x v="1"/>
    <x v="1"/>
    <x v="1"/>
    <x v="40"/>
    <x v="1"/>
    <x v="1"/>
    <x v="0"/>
    <n v="3"/>
    <n v="65258"/>
    <n v="6.5257999999999997E-2"/>
    <n v="43252"/>
    <x v="0"/>
  </r>
  <r>
    <n v="60000292"/>
    <x v="13"/>
    <x v="0"/>
    <x v="0"/>
    <x v="10"/>
    <x v="0"/>
    <n v="0.13"/>
    <x v="2"/>
    <x v="3"/>
    <x v="10"/>
    <x v="39"/>
    <x v="2"/>
    <x v="1"/>
    <x v="1"/>
    <n v="7"/>
    <n v="79127"/>
    <n v="7.9127000000000003E-2"/>
    <n v="43252"/>
    <x v="0"/>
  </r>
  <r>
    <n v="60000293"/>
    <x v="3"/>
    <x v="0"/>
    <x v="1"/>
    <x v="6"/>
    <x v="0"/>
    <n v="0.27"/>
    <x v="3"/>
    <x v="12"/>
    <x v="3"/>
    <x v="41"/>
    <x v="0"/>
    <x v="1"/>
    <x v="0"/>
    <n v="0"/>
    <n v="54971"/>
    <n v="5.4970999999999999E-2"/>
    <n v="43252"/>
    <x v="0"/>
  </r>
  <r>
    <n v="60000294"/>
    <x v="24"/>
    <x v="1"/>
    <x v="0"/>
    <x v="10"/>
    <x v="0"/>
    <n v="0.27"/>
    <x v="3"/>
    <x v="11"/>
    <x v="3"/>
    <x v="42"/>
    <x v="2"/>
    <x v="1"/>
    <x v="1"/>
    <n v="0"/>
    <n v="35141"/>
    <n v="3.5140999999999999E-2"/>
    <n v="43252"/>
    <x v="0"/>
  </r>
  <r>
    <n v="60000295"/>
    <x v="32"/>
    <x v="1"/>
    <x v="1"/>
    <x v="6"/>
    <x v="0"/>
    <n v="0.27"/>
    <x v="3"/>
    <x v="15"/>
    <x v="5"/>
    <x v="34"/>
    <x v="2"/>
    <x v="1"/>
    <x v="0"/>
    <n v="0"/>
    <n v="31060"/>
    <n v="3.1060000000000001E-2"/>
    <n v="43252"/>
    <x v="0"/>
  </r>
  <r>
    <n v="60000296"/>
    <x v="43"/>
    <x v="0"/>
    <x v="1"/>
    <x v="9"/>
    <x v="0"/>
    <n v="0.13"/>
    <x v="2"/>
    <x v="11"/>
    <x v="1"/>
    <x v="7"/>
    <x v="1"/>
    <x v="1"/>
    <x v="0"/>
    <n v="0"/>
    <n v="66888"/>
    <n v="6.6888000000000003E-2"/>
    <n v="43252"/>
    <x v="0"/>
  </r>
  <r>
    <n v="60000297"/>
    <x v="3"/>
    <x v="1"/>
    <x v="1"/>
    <x v="9"/>
    <x v="0"/>
    <n v="0.16"/>
    <x v="2"/>
    <x v="10"/>
    <x v="2"/>
    <x v="36"/>
    <x v="1"/>
    <x v="1"/>
    <x v="1"/>
    <n v="0"/>
    <n v="31251"/>
    <n v="3.1251000000000001E-2"/>
    <n v="43252"/>
    <x v="0"/>
  </r>
  <r>
    <n v="60000298"/>
    <x v="9"/>
    <x v="0"/>
    <x v="0"/>
    <x v="11"/>
    <x v="0"/>
    <n v="0.32"/>
    <x v="1"/>
    <x v="15"/>
    <x v="9"/>
    <x v="15"/>
    <x v="1"/>
    <x v="1"/>
    <x v="0"/>
    <n v="5"/>
    <n v="71949"/>
    <n v="7.1948999999999999E-2"/>
    <n v="43252"/>
    <x v="0"/>
  </r>
  <r>
    <n v="60000299"/>
    <x v="20"/>
    <x v="0"/>
    <x v="0"/>
    <x v="6"/>
    <x v="0"/>
    <n v="0.1"/>
    <x v="4"/>
    <x v="9"/>
    <x v="10"/>
    <x v="33"/>
    <x v="2"/>
    <x v="1"/>
    <x v="1"/>
    <n v="3"/>
    <n v="78768"/>
    <n v="7.8768000000000005E-2"/>
    <n v="43252"/>
    <x v="0"/>
  </r>
  <r>
    <n v="60000300"/>
    <x v="5"/>
    <x v="1"/>
    <x v="1"/>
    <x v="3"/>
    <x v="0"/>
    <n v="0.28999999999999998"/>
    <x v="3"/>
    <x v="14"/>
    <x v="7"/>
    <x v="43"/>
    <x v="1"/>
    <x v="1"/>
    <x v="1"/>
    <n v="0"/>
    <n v="66516"/>
    <n v="6.6516000000000006E-2"/>
    <n v="43252"/>
    <x v="0"/>
  </r>
  <r>
    <n v="60000301"/>
    <x v="15"/>
    <x v="0"/>
    <x v="0"/>
    <x v="6"/>
    <x v="0"/>
    <n v="0.25"/>
    <x v="3"/>
    <x v="8"/>
    <x v="10"/>
    <x v="20"/>
    <x v="0"/>
    <x v="1"/>
    <x v="1"/>
    <n v="0"/>
    <n v="80286"/>
    <n v="8.0285999999999996E-2"/>
    <n v="43252"/>
    <x v="0"/>
  </r>
  <r>
    <n v="60000302"/>
    <x v="9"/>
    <x v="1"/>
    <x v="0"/>
    <x v="5"/>
    <x v="0"/>
    <n v="0.36"/>
    <x v="1"/>
    <x v="8"/>
    <x v="3"/>
    <x v="17"/>
    <x v="2"/>
    <x v="1"/>
    <x v="1"/>
    <n v="7"/>
    <n v="27132"/>
    <n v="2.7132E-2"/>
    <n v="43252"/>
    <x v="0"/>
  </r>
  <r>
    <n v="60000303"/>
    <x v="30"/>
    <x v="0"/>
    <x v="1"/>
    <x v="4"/>
    <x v="0"/>
    <n v="0.31"/>
    <x v="3"/>
    <x v="9"/>
    <x v="5"/>
    <x v="45"/>
    <x v="1"/>
    <x v="1"/>
    <x v="1"/>
    <n v="5"/>
    <n v="47731"/>
    <n v="4.7731000000000003E-2"/>
    <n v="43252"/>
    <x v="0"/>
  </r>
  <r>
    <n v="60000304"/>
    <x v="44"/>
    <x v="0"/>
    <x v="0"/>
    <x v="4"/>
    <x v="0"/>
    <n v="0.33"/>
    <x v="1"/>
    <x v="2"/>
    <x v="10"/>
    <x v="37"/>
    <x v="1"/>
    <x v="1"/>
    <x v="1"/>
    <n v="0"/>
    <n v="36561"/>
    <n v="3.6561000000000003E-2"/>
    <n v="43252"/>
    <x v="0"/>
  </r>
  <r>
    <n v="60000305"/>
    <x v="18"/>
    <x v="1"/>
    <x v="0"/>
    <x v="1"/>
    <x v="0"/>
    <n v="0.26"/>
    <x v="3"/>
    <x v="3"/>
    <x v="0"/>
    <x v="12"/>
    <x v="2"/>
    <x v="1"/>
    <x v="1"/>
    <n v="0"/>
    <n v="67604"/>
    <n v="6.7603999999999997E-2"/>
    <n v="43252"/>
    <x v="0"/>
  </r>
  <r>
    <n v="60000306"/>
    <x v="7"/>
    <x v="1"/>
    <x v="1"/>
    <x v="8"/>
    <x v="0"/>
    <n v="0.13"/>
    <x v="2"/>
    <x v="4"/>
    <x v="7"/>
    <x v="14"/>
    <x v="0"/>
    <x v="1"/>
    <x v="1"/>
    <n v="3"/>
    <n v="65598"/>
    <n v="6.5598000000000004E-2"/>
    <n v="43252"/>
    <x v="0"/>
  </r>
  <r>
    <n v="60000307"/>
    <x v="17"/>
    <x v="0"/>
    <x v="0"/>
    <x v="7"/>
    <x v="0"/>
    <n v="0.17"/>
    <x v="2"/>
    <x v="13"/>
    <x v="11"/>
    <x v="44"/>
    <x v="0"/>
    <x v="1"/>
    <x v="0"/>
    <n v="0"/>
    <n v="34810"/>
    <n v="3.4810000000000001E-2"/>
    <n v="43252"/>
    <x v="0"/>
  </r>
  <r>
    <n v="60000308"/>
    <x v="29"/>
    <x v="0"/>
    <x v="1"/>
    <x v="7"/>
    <x v="0"/>
    <n v="0.32"/>
    <x v="1"/>
    <x v="15"/>
    <x v="1"/>
    <x v="37"/>
    <x v="1"/>
    <x v="1"/>
    <x v="0"/>
    <n v="0"/>
    <n v="71181"/>
    <n v="7.1180999999999994E-2"/>
    <n v="43252"/>
    <x v="0"/>
  </r>
  <r>
    <n v="60000309"/>
    <x v="17"/>
    <x v="0"/>
    <x v="1"/>
    <x v="11"/>
    <x v="0"/>
    <n v="0.13"/>
    <x v="2"/>
    <x v="5"/>
    <x v="3"/>
    <x v="23"/>
    <x v="2"/>
    <x v="1"/>
    <x v="0"/>
    <n v="0"/>
    <n v="27743"/>
    <n v="2.7743E-2"/>
    <n v="43252"/>
    <x v="0"/>
  </r>
  <r>
    <n v="60000310"/>
    <x v="22"/>
    <x v="1"/>
    <x v="1"/>
    <x v="9"/>
    <x v="0"/>
    <n v="0.26"/>
    <x v="3"/>
    <x v="4"/>
    <x v="11"/>
    <x v="0"/>
    <x v="0"/>
    <x v="1"/>
    <x v="0"/>
    <n v="7"/>
    <n v="33018"/>
    <n v="3.3017999999999999E-2"/>
    <n v="43252"/>
    <x v="0"/>
  </r>
  <r>
    <n v="60000311"/>
    <x v="35"/>
    <x v="1"/>
    <x v="0"/>
    <x v="0"/>
    <x v="0"/>
    <n v="0.36"/>
    <x v="1"/>
    <x v="0"/>
    <x v="2"/>
    <x v="45"/>
    <x v="2"/>
    <x v="1"/>
    <x v="0"/>
    <n v="4"/>
    <n v="81977"/>
    <n v="8.1976999999999994E-2"/>
    <n v="43252"/>
    <x v="0"/>
  </r>
  <r>
    <n v="60000312"/>
    <x v="12"/>
    <x v="0"/>
    <x v="0"/>
    <x v="11"/>
    <x v="0"/>
    <n v="0.17"/>
    <x v="2"/>
    <x v="10"/>
    <x v="8"/>
    <x v="41"/>
    <x v="2"/>
    <x v="1"/>
    <x v="0"/>
    <n v="3"/>
    <n v="40365"/>
    <n v="4.0364999999999998E-2"/>
    <n v="43252"/>
    <x v="0"/>
  </r>
  <r>
    <n v="60000313"/>
    <x v="27"/>
    <x v="1"/>
    <x v="0"/>
    <x v="10"/>
    <x v="0"/>
    <n v="0.35"/>
    <x v="1"/>
    <x v="7"/>
    <x v="10"/>
    <x v="36"/>
    <x v="1"/>
    <x v="1"/>
    <x v="1"/>
    <n v="0"/>
    <n v="24396"/>
    <n v="2.4396000000000001E-2"/>
    <n v="43252"/>
    <x v="0"/>
  </r>
  <r>
    <n v="60000314"/>
    <x v="43"/>
    <x v="0"/>
    <x v="1"/>
    <x v="7"/>
    <x v="0"/>
    <n v="0.34"/>
    <x v="1"/>
    <x v="15"/>
    <x v="11"/>
    <x v="20"/>
    <x v="1"/>
    <x v="1"/>
    <x v="0"/>
    <n v="0"/>
    <n v="60089"/>
    <n v="6.0088999999999997E-2"/>
    <n v="43252"/>
    <x v="0"/>
  </r>
  <r>
    <n v="60000315"/>
    <x v="29"/>
    <x v="1"/>
    <x v="1"/>
    <x v="7"/>
    <x v="0"/>
    <n v="0.37"/>
    <x v="1"/>
    <x v="5"/>
    <x v="4"/>
    <x v="12"/>
    <x v="1"/>
    <x v="1"/>
    <x v="1"/>
    <n v="0"/>
    <n v="80153"/>
    <n v="8.0153000000000002E-2"/>
    <n v="43252"/>
    <x v="0"/>
  </r>
  <r>
    <n v="60000316"/>
    <x v="42"/>
    <x v="1"/>
    <x v="1"/>
    <x v="4"/>
    <x v="0"/>
    <n v="0.17"/>
    <x v="2"/>
    <x v="6"/>
    <x v="10"/>
    <x v="43"/>
    <x v="0"/>
    <x v="1"/>
    <x v="1"/>
    <n v="0"/>
    <n v="30014"/>
    <n v="3.0013999999999999E-2"/>
    <n v="43252"/>
    <x v="0"/>
  </r>
  <r>
    <n v="60000317"/>
    <x v="38"/>
    <x v="1"/>
    <x v="0"/>
    <x v="3"/>
    <x v="0"/>
    <n v="0.3"/>
    <x v="3"/>
    <x v="8"/>
    <x v="12"/>
    <x v="17"/>
    <x v="0"/>
    <x v="1"/>
    <x v="0"/>
    <n v="3"/>
    <n v="59887"/>
    <n v="5.9887000000000003E-2"/>
    <n v="43252"/>
    <x v="0"/>
  </r>
  <r>
    <n v="60000318"/>
    <x v="18"/>
    <x v="1"/>
    <x v="1"/>
    <x v="3"/>
    <x v="0"/>
    <n v="0.19"/>
    <x v="0"/>
    <x v="8"/>
    <x v="11"/>
    <x v="39"/>
    <x v="2"/>
    <x v="1"/>
    <x v="0"/>
    <n v="0"/>
    <n v="54530"/>
    <n v="5.4530000000000002E-2"/>
    <n v="43252"/>
    <x v="0"/>
  </r>
  <r>
    <n v="60000319"/>
    <x v="16"/>
    <x v="0"/>
    <x v="0"/>
    <x v="11"/>
    <x v="0"/>
    <n v="0.34"/>
    <x v="1"/>
    <x v="7"/>
    <x v="3"/>
    <x v="34"/>
    <x v="1"/>
    <x v="1"/>
    <x v="1"/>
    <n v="0"/>
    <n v="69493"/>
    <n v="6.9492999999999999E-2"/>
    <n v="43252"/>
    <x v="0"/>
  </r>
  <r>
    <n v="60000320"/>
    <x v="24"/>
    <x v="0"/>
    <x v="0"/>
    <x v="1"/>
    <x v="0"/>
    <n v="0.25"/>
    <x v="3"/>
    <x v="13"/>
    <x v="3"/>
    <x v="45"/>
    <x v="1"/>
    <x v="1"/>
    <x v="1"/>
    <n v="0"/>
    <n v="59545"/>
    <n v="5.9545000000000001E-2"/>
    <n v="43252"/>
    <x v="0"/>
  </r>
  <r>
    <n v="60000321"/>
    <x v="42"/>
    <x v="0"/>
    <x v="0"/>
    <x v="6"/>
    <x v="0"/>
    <n v="0.23"/>
    <x v="0"/>
    <x v="7"/>
    <x v="9"/>
    <x v="28"/>
    <x v="1"/>
    <x v="1"/>
    <x v="1"/>
    <n v="0"/>
    <n v="44617"/>
    <n v="4.4616999999999997E-2"/>
    <n v="43252"/>
    <x v="0"/>
  </r>
  <r>
    <n v="60000322"/>
    <x v="41"/>
    <x v="1"/>
    <x v="0"/>
    <x v="10"/>
    <x v="0"/>
    <n v="0.16"/>
    <x v="2"/>
    <x v="4"/>
    <x v="12"/>
    <x v="34"/>
    <x v="1"/>
    <x v="1"/>
    <x v="1"/>
    <n v="4"/>
    <n v="73689"/>
    <n v="7.3689000000000004E-2"/>
    <n v="43252"/>
    <x v="0"/>
  </r>
  <r>
    <n v="60000323"/>
    <x v="17"/>
    <x v="0"/>
    <x v="1"/>
    <x v="10"/>
    <x v="0"/>
    <n v="0.16"/>
    <x v="2"/>
    <x v="14"/>
    <x v="1"/>
    <x v="2"/>
    <x v="0"/>
    <x v="1"/>
    <x v="0"/>
    <n v="6"/>
    <n v="40223"/>
    <n v="4.0223000000000002E-2"/>
    <n v="43252"/>
    <x v="0"/>
  </r>
  <r>
    <n v="60000324"/>
    <x v="44"/>
    <x v="1"/>
    <x v="0"/>
    <x v="7"/>
    <x v="0"/>
    <n v="0.18"/>
    <x v="2"/>
    <x v="1"/>
    <x v="7"/>
    <x v="3"/>
    <x v="0"/>
    <x v="1"/>
    <x v="0"/>
    <n v="0"/>
    <n v="57482"/>
    <n v="5.7481999999999998E-2"/>
    <n v="43252"/>
    <x v="0"/>
  </r>
  <r>
    <n v="60000325"/>
    <x v="38"/>
    <x v="1"/>
    <x v="0"/>
    <x v="0"/>
    <x v="0"/>
    <n v="0.27"/>
    <x v="3"/>
    <x v="1"/>
    <x v="7"/>
    <x v="12"/>
    <x v="2"/>
    <x v="1"/>
    <x v="0"/>
    <n v="7"/>
    <n v="64281"/>
    <n v="6.4281000000000005E-2"/>
    <n v="43252"/>
    <x v="0"/>
  </r>
  <r>
    <n v="60000326"/>
    <x v="40"/>
    <x v="1"/>
    <x v="0"/>
    <x v="0"/>
    <x v="0"/>
    <n v="0.12"/>
    <x v="2"/>
    <x v="9"/>
    <x v="4"/>
    <x v="3"/>
    <x v="0"/>
    <x v="1"/>
    <x v="0"/>
    <n v="2"/>
    <n v="71618"/>
    <n v="7.1618000000000001E-2"/>
    <n v="43252"/>
    <x v="0"/>
  </r>
  <r>
    <n v="60000327"/>
    <x v="5"/>
    <x v="1"/>
    <x v="0"/>
    <x v="8"/>
    <x v="0"/>
    <n v="0.15"/>
    <x v="2"/>
    <x v="13"/>
    <x v="12"/>
    <x v="17"/>
    <x v="2"/>
    <x v="1"/>
    <x v="1"/>
    <n v="0"/>
    <n v="26318"/>
    <n v="2.6318000000000001E-2"/>
    <n v="43252"/>
    <x v="0"/>
  </r>
  <r>
    <n v="60000328"/>
    <x v="17"/>
    <x v="0"/>
    <x v="1"/>
    <x v="0"/>
    <x v="0"/>
    <n v="0.1"/>
    <x v="4"/>
    <x v="2"/>
    <x v="12"/>
    <x v="18"/>
    <x v="0"/>
    <x v="1"/>
    <x v="0"/>
    <n v="4"/>
    <n v="46356"/>
    <n v="4.6356000000000001E-2"/>
    <n v="43252"/>
    <x v="0"/>
  </r>
  <r>
    <n v="60000329"/>
    <x v="11"/>
    <x v="1"/>
    <x v="1"/>
    <x v="9"/>
    <x v="0"/>
    <n v="0.28000000000000003"/>
    <x v="3"/>
    <x v="6"/>
    <x v="7"/>
    <x v="18"/>
    <x v="0"/>
    <x v="1"/>
    <x v="0"/>
    <n v="0"/>
    <n v="81647"/>
    <n v="8.1646999999999997E-2"/>
    <n v="43252"/>
    <x v="0"/>
  </r>
  <r>
    <n v="60000330"/>
    <x v="24"/>
    <x v="1"/>
    <x v="0"/>
    <x v="8"/>
    <x v="0"/>
    <n v="0.14000000000000001"/>
    <x v="2"/>
    <x v="9"/>
    <x v="8"/>
    <x v="21"/>
    <x v="1"/>
    <x v="1"/>
    <x v="0"/>
    <n v="3"/>
    <n v="54648"/>
    <n v="5.4648000000000002E-2"/>
    <n v="43252"/>
    <x v="0"/>
  </r>
  <r>
    <n v="60000331"/>
    <x v="12"/>
    <x v="1"/>
    <x v="0"/>
    <x v="2"/>
    <x v="0"/>
    <n v="0.24"/>
    <x v="0"/>
    <x v="5"/>
    <x v="11"/>
    <x v="10"/>
    <x v="0"/>
    <x v="1"/>
    <x v="1"/>
    <n v="7"/>
    <n v="81653"/>
    <n v="8.1653000000000003E-2"/>
    <n v="43252"/>
    <x v="0"/>
  </r>
  <r>
    <n v="60000332"/>
    <x v="43"/>
    <x v="1"/>
    <x v="0"/>
    <x v="1"/>
    <x v="0"/>
    <n v="0.38"/>
    <x v="1"/>
    <x v="0"/>
    <x v="12"/>
    <x v="25"/>
    <x v="1"/>
    <x v="1"/>
    <x v="1"/>
    <n v="7"/>
    <n v="77875"/>
    <n v="7.7875E-2"/>
    <n v="43252"/>
    <x v="0"/>
  </r>
  <r>
    <n v="60000333"/>
    <x v="45"/>
    <x v="0"/>
    <x v="0"/>
    <x v="2"/>
    <x v="0"/>
    <n v="0.11"/>
    <x v="4"/>
    <x v="0"/>
    <x v="7"/>
    <x v="47"/>
    <x v="2"/>
    <x v="1"/>
    <x v="0"/>
    <n v="0"/>
    <n v="45273"/>
    <n v="4.5273000000000001E-2"/>
    <n v="43252"/>
    <x v="0"/>
  </r>
  <r>
    <n v="60000334"/>
    <x v="12"/>
    <x v="0"/>
    <x v="1"/>
    <x v="6"/>
    <x v="0"/>
    <n v="0.25"/>
    <x v="3"/>
    <x v="13"/>
    <x v="2"/>
    <x v="32"/>
    <x v="1"/>
    <x v="1"/>
    <x v="0"/>
    <n v="3"/>
    <n v="61595"/>
    <n v="6.1594999999999997E-2"/>
    <n v="43252"/>
    <x v="0"/>
  </r>
  <r>
    <n v="60000335"/>
    <x v="6"/>
    <x v="0"/>
    <x v="0"/>
    <x v="7"/>
    <x v="0"/>
    <n v="0.14000000000000001"/>
    <x v="2"/>
    <x v="3"/>
    <x v="1"/>
    <x v="38"/>
    <x v="1"/>
    <x v="1"/>
    <x v="1"/>
    <n v="0"/>
    <n v="63891"/>
    <n v="6.3891000000000003E-2"/>
    <n v="43252"/>
    <x v="0"/>
  </r>
  <r>
    <n v="60000336"/>
    <x v="27"/>
    <x v="1"/>
    <x v="1"/>
    <x v="7"/>
    <x v="0"/>
    <n v="0.35"/>
    <x v="1"/>
    <x v="6"/>
    <x v="10"/>
    <x v="22"/>
    <x v="2"/>
    <x v="1"/>
    <x v="1"/>
    <n v="3"/>
    <n v="82738"/>
    <n v="8.2738000000000006E-2"/>
    <n v="43252"/>
    <x v="0"/>
  </r>
  <r>
    <n v="60000337"/>
    <x v="16"/>
    <x v="0"/>
    <x v="1"/>
    <x v="8"/>
    <x v="0"/>
    <n v="0.2"/>
    <x v="0"/>
    <x v="1"/>
    <x v="6"/>
    <x v="11"/>
    <x v="2"/>
    <x v="1"/>
    <x v="1"/>
    <n v="0"/>
    <n v="70406"/>
    <n v="7.0405999999999996E-2"/>
    <n v="43252"/>
    <x v="0"/>
  </r>
  <r>
    <n v="60000338"/>
    <x v="1"/>
    <x v="1"/>
    <x v="1"/>
    <x v="6"/>
    <x v="0"/>
    <n v="0.24"/>
    <x v="0"/>
    <x v="7"/>
    <x v="2"/>
    <x v="2"/>
    <x v="0"/>
    <x v="1"/>
    <x v="0"/>
    <n v="0"/>
    <n v="32704"/>
    <n v="3.2703999999999997E-2"/>
    <n v="43252"/>
    <x v="0"/>
  </r>
  <r>
    <n v="60000339"/>
    <x v="41"/>
    <x v="0"/>
    <x v="0"/>
    <x v="4"/>
    <x v="0"/>
    <n v="0.18"/>
    <x v="2"/>
    <x v="4"/>
    <x v="1"/>
    <x v="42"/>
    <x v="2"/>
    <x v="1"/>
    <x v="0"/>
    <n v="5"/>
    <n v="55853"/>
    <n v="5.5853E-2"/>
    <n v="43252"/>
    <x v="0"/>
  </r>
  <r>
    <n v="60000340"/>
    <x v="38"/>
    <x v="1"/>
    <x v="0"/>
    <x v="10"/>
    <x v="0"/>
    <n v="0.21"/>
    <x v="0"/>
    <x v="2"/>
    <x v="10"/>
    <x v="22"/>
    <x v="2"/>
    <x v="1"/>
    <x v="0"/>
    <n v="1"/>
    <n v="68248"/>
    <n v="6.8248000000000003E-2"/>
    <n v="43252"/>
    <x v="0"/>
  </r>
  <r>
    <n v="60000341"/>
    <x v="35"/>
    <x v="0"/>
    <x v="1"/>
    <x v="1"/>
    <x v="0"/>
    <n v="0.21"/>
    <x v="0"/>
    <x v="3"/>
    <x v="5"/>
    <x v="47"/>
    <x v="2"/>
    <x v="1"/>
    <x v="0"/>
    <n v="7"/>
    <n v="66416"/>
    <n v="6.6416000000000003E-2"/>
    <n v="43252"/>
    <x v="0"/>
  </r>
  <r>
    <n v="60000342"/>
    <x v="13"/>
    <x v="0"/>
    <x v="0"/>
    <x v="9"/>
    <x v="0"/>
    <n v="0.31"/>
    <x v="3"/>
    <x v="7"/>
    <x v="0"/>
    <x v="7"/>
    <x v="1"/>
    <x v="1"/>
    <x v="1"/>
    <n v="0"/>
    <n v="30843"/>
    <n v="3.0842999999999999E-2"/>
    <n v="43252"/>
    <x v="0"/>
  </r>
  <r>
    <n v="60000343"/>
    <x v="20"/>
    <x v="0"/>
    <x v="0"/>
    <x v="7"/>
    <x v="0"/>
    <n v="0.33"/>
    <x v="1"/>
    <x v="2"/>
    <x v="12"/>
    <x v="35"/>
    <x v="1"/>
    <x v="1"/>
    <x v="0"/>
    <n v="1"/>
    <n v="75103"/>
    <n v="7.5103000000000003E-2"/>
    <n v="43252"/>
    <x v="0"/>
  </r>
  <r>
    <n v="60000344"/>
    <x v="32"/>
    <x v="0"/>
    <x v="1"/>
    <x v="9"/>
    <x v="0"/>
    <n v="0.3"/>
    <x v="3"/>
    <x v="13"/>
    <x v="0"/>
    <x v="42"/>
    <x v="1"/>
    <x v="1"/>
    <x v="0"/>
    <n v="0"/>
    <n v="25142"/>
    <n v="2.5142000000000001E-2"/>
    <n v="43252"/>
    <x v="0"/>
  </r>
  <r>
    <n v="60000345"/>
    <x v="30"/>
    <x v="1"/>
    <x v="0"/>
    <x v="8"/>
    <x v="0"/>
    <n v="0.25"/>
    <x v="3"/>
    <x v="11"/>
    <x v="5"/>
    <x v="32"/>
    <x v="2"/>
    <x v="1"/>
    <x v="1"/>
    <n v="0"/>
    <n v="66513"/>
    <n v="6.6513000000000003E-2"/>
    <n v="43252"/>
    <x v="0"/>
  </r>
  <r>
    <n v="60000346"/>
    <x v="4"/>
    <x v="0"/>
    <x v="1"/>
    <x v="6"/>
    <x v="0"/>
    <n v="0.24"/>
    <x v="0"/>
    <x v="9"/>
    <x v="12"/>
    <x v="4"/>
    <x v="1"/>
    <x v="1"/>
    <x v="1"/>
    <n v="0"/>
    <n v="27384"/>
    <n v="2.7383999999999999E-2"/>
    <n v="43252"/>
    <x v="0"/>
  </r>
  <r>
    <n v="60000347"/>
    <x v="25"/>
    <x v="0"/>
    <x v="0"/>
    <x v="1"/>
    <x v="0"/>
    <n v="0.23"/>
    <x v="0"/>
    <x v="5"/>
    <x v="11"/>
    <x v="25"/>
    <x v="1"/>
    <x v="1"/>
    <x v="1"/>
    <n v="6"/>
    <n v="38490"/>
    <n v="3.8490000000000003E-2"/>
    <n v="43252"/>
    <x v="0"/>
  </r>
  <r>
    <n v="60000348"/>
    <x v="13"/>
    <x v="0"/>
    <x v="0"/>
    <x v="5"/>
    <x v="0"/>
    <n v="0.11"/>
    <x v="4"/>
    <x v="10"/>
    <x v="2"/>
    <x v="17"/>
    <x v="2"/>
    <x v="1"/>
    <x v="0"/>
    <n v="7"/>
    <n v="82763"/>
    <n v="8.2763000000000003E-2"/>
    <n v="43252"/>
    <x v="0"/>
  </r>
  <r>
    <n v="60000349"/>
    <x v="4"/>
    <x v="0"/>
    <x v="0"/>
    <x v="6"/>
    <x v="0"/>
    <n v="0.36"/>
    <x v="1"/>
    <x v="8"/>
    <x v="12"/>
    <x v="40"/>
    <x v="0"/>
    <x v="1"/>
    <x v="0"/>
    <n v="3"/>
    <n v="43345"/>
    <n v="4.3345000000000002E-2"/>
    <n v="43252"/>
    <x v="0"/>
  </r>
  <r>
    <n v="60000350"/>
    <x v="14"/>
    <x v="1"/>
    <x v="0"/>
    <x v="5"/>
    <x v="0"/>
    <n v="0.32"/>
    <x v="1"/>
    <x v="1"/>
    <x v="5"/>
    <x v="26"/>
    <x v="2"/>
    <x v="1"/>
    <x v="0"/>
    <n v="0"/>
    <n v="24990"/>
    <n v="2.4989999999999998E-2"/>
    <n v="43252"/>
    <x v="0"/>
  </r>
  <r>
    <n v="60000351"/>
    <x v="36"/>
    <x v="0"/>
    <x v="0"/>
    <x v="0"/>
    <x v="0"/>
    <n v="0.18"/>
    <x v="2"/>
    <x v="0"/>
    <x v="12"/>
    <x v="48"/>
    <x v="2"/>
    <x v="1"/>
    <x v="0"/>
    <n v="0"/>
    <n v="25961"/>
    <n v="2.5961000000000001E-2"/>
    <n v="43252"/>
    <x v="0"/>
  </r>
  <r>
    <n v="60000352"/>
    <x v="8"/>
    <x v="0"/>
    <x v="0"/>
    <x v="3"/>
    <x v="0"/>
    <n v="0.38"/>
    <x v="1"/>
    <x v="11"/>
    <x v="3"/>
    <x v="29"/>
    <x v="0"/>
    <x v="1"/>
    <x v="0"/>
    <n v="4"/>
    <n v="37228"/>
    <n v="3.7227999999999997E-2"/>
    <n v="43252"/>
    <x v="0"/>
  </r>
  <r>
    <n v="60000353"/>
    <x v="24"/>
    <x v="1"/>
    <x v="0"/>
    <x v="8"/>
    <x v="0"/>
    <n v="0.28999999999999998"/>
    <x v="3"/>
    <x v="1"/>
    <x v="6"/>
    <x v="44"/>
    <x v="1"/>
    <x v="1"/>
    <x v="0"/>
    <n v="0"/>
    <n v="26244"/>
    <n v="2.6244E-2"/>
    <n v="43252"/>
    <x v="0"/>
  </r>
  <r>
    <n v="60000354"/>
    <x v="42"/>
    <x v="0"/>
    <x v="0"/>
    <x v="6"/>
    <x v="0"/>
    <n v="0.35"/>
    <x v="1"/>
    <x v="12"/>
    <x v="10"/>
    <x v="42"/>
    <x v="2"/>
    <x v="1"/>
    <x v="1"/>
    <n v="6"/>
    <n v="69760"/>
    <n v="6.9760000000000003E-2"/>
    <n v="43252"/>
    <x v="0"/>
  </r>
  <r>
    <n v="60000355"/>
    <x v="33"/>
    <x v="0"/>
    <x v="1"/>
    <x v="8"/>
    <x v="0"/>
    <n v="0.36"/>
    <x v="1"/>
    <x v="13"/>
    <x v="10"/>
    <x v="0"/>
    <x v="0"/>
    <x v="1"/>
    <x v="1"/>
    <n v="2"/>
    <n v="49433"/>
    <n v="4.9432999999999998E-2"/>
    <n v="43252"/>
    <x v="0"/>
  </r>
  <r>
    <n v="60000356"/>
    <x v="38"/>
    <x v="1"/>
    <x v="0"/>
    <x v="0"/>
    <x v="0"/>
    <n v="0.37"/>
    <x v="1"/>
    <x v="6"/>
    <x v="8"/>
    <x v="22"/>
    <x v="0"/>
    <x v="1"/>
    <x v="1"/>
    <n v="0"/>
    <n v="32841"/>
    <n v="3.2841000000000002E-2"/>
    <n v="43252"/>
    <x v="0"/>
  </r>
  <r>
    <n v="60000357"/>
    <x v="18"/>
    <x v="0"/>
    <x v="1"/>
    <x v="7"/>
    <x v="0"/>
    <n v="0.35"/>
    <x v="1"/>
    <x v="5"/>
    <x v="9"/>
    <x v="25"/>
    <x v="0"/>
    <x v="1"/>
    <x v="1"/>
    <n v="0"/>
    <n v="26497"/>
    <n v="2.6497E-2"/>
    <n v="43252"/>
    <x v="0"/>
  </r>
  <r>
    <n v="60000358"/>
    <x v="14"/>
    <x v="0"/>
    <x v="0"/>
    <x v="3"/>
    <x v="0"/>
    <n v="0.37"/>
    <x v="1"/>
    <x v="11"/>
    <x v="6"/>
    <x v="8"/>
    <x v="0"/>
    <x v="1"/>
    <x v="1"/>
    <n v="3"/>
    <n v="24475"/>
    <n v="2.4475E-2"/>
    <n v="43252"/>
    <x v="0"/>
  </r>
  <r>
    <n v="60000359"/>
    <x v="31"/>
    <x v="0"/>
    <x v="0"/>
    <x v="3"/>
    <x v="0"/>
    <n v="0.35"/>
    <x v="1"/>
    <x v="9"/>
    <x v="0"/>
    <x v="32"/>
    <x v="2"/>
    <x v="1"/>
    <x v="0"/>
    <n v="0"/>
    <n v="61193"/>
    <n v="6.1192999999999997E-2"/>
    <n v="43252"/>
    <x v="0"/>
  </r>
  <r>
    <n v="60000360"/>
    <x v="43"/>
    <x v="1"/>
    <x v="1"/>
    <x v="1"/>
    <x v="0"/>
    <n v="0.14000000000000001"/>
    <x v="2"/>
    <x v="10"/>
    <x v="5"/>
    <x v="6"/>
    <x v="0"/>
    <x v="1"/>
    <x v="0"/>
    <n v="6"/>
    <n v="55051"/>
    <n v="5.5051000000000003E-2"/>
    <n v="43252"/>
    <x v="0"/>
  </r>
  <r>
    <n v="60000361"/>
    <x v="14"/>
    <x v="0"/>
    <x v="0"/>
    <x v="0"/>
    <x v="0"/>
    <n v="0.28000000000000003"/>
    <x v="3"/>
    <x v="2"/>
    <x v="0"/>
    <x v="27"/>
    <x v="1"/>
    <x v="1"/>
    <x v="0"/>
    <n v="0"/>
    <n v="36268"/>
    <n v="3.6268000000000002E-2"/>
    <n v="43252"/>
    <x v="0"/>
  </r>
  <r>
    <n v="60000362"/>
    <x v="23"/>
    <x v="0"/>
    <x v="1"/>
    <x v="0"/>
    <x v="0"/>
    <n v="0.21"/>
    <x v="0"/>
    <x v="7"/>
    <x v="10"/>
    <x v="1"/>
    <x v="2"/>
    <x v="1"/>
    <x v="0"/>
    <n v="5"/>
    <n v="62522"/>
    <n v="6.2521999999999994E-2"/>
    <n v="43252"/>
    <x v="0"/>
  </r>
  <r>
    <n v="60000363"/>
    <x v="32"/>
    <x v="0"/>
    <x v="1"/>
    <x v="10"/>
    <x v="0"/>
    <n v="0.16"/>
    <x v="2"/>
    <x v="8"/>
    <x v="6"/>
    <x v="22"/>
    <x v="0"/>
    <x v="1"/>
    <x v="0"/>
    <n v="0"/>
    <n v="74630"/>
    <n v="7.4630000000000002E-2"/>
    <n v="43252"/>
    <x v="0"/>
  </r>
  <r>
    <n v="60000364"/>
    <x v="22"/>
    <x v="0"/>
    <x v="1"/>
    <x v="9"/>
    <x v="0"/>
    <n v="0.14000000000000001"/>
    <x v="2"/>
    <x v="13"/>
    <x v="10"/>
    <x v="2"/>
    <x v="2"/>
    <x v="1"/>
    <x v="0"/>
    <n v="0"/>
    <n v="39889"/>
    <n v="3.9889000000000001E-2"/>
    <n v="43252"/>
    <x v="0"/>
  </r>
  <r>
    <n v="60000365"/>
    <x v="28"/>
    <x v="1"/>
    <x v="1"/>
    <x v="7"/>
    <x v="0"/>
    <n v="0.28999999999999998"/>
    <x v="3"/>
    <x v="2"/>
    <x v="8"/>
    <x v="5"/>
    <x v="1"/>
    <x v="1"/>
    <x v="1"/>
    <n v="5"/>
    <n v="27928"/>
    <n v="2.7928000000000001E-2"/>
    <n v="43252"/>
    <x v="0"/>
  </r>
  <r>
    <n v="60000366"/>
    <x v="31"/>
    <x v="0"/>
    <x v="1"/>
    <x v="4"/>
    <x v="0"/>
    <n v="0.25"/>
    <x v="3"/>
    <x v="5"/>
    <x v="10"/>
    <x v="16"/>
    <x v="0"/>
    <x v="1"/>
    <x v="0"/>
    <n v="1"/>
    <n v="49493"/>
    <n v="4.9493000000000002E-2"/>
    <n v="43252"/>
    <x v="0"/>
  </r>
  <r>
    <n v="60000367"/>
    <x v="34"/>
    <x v="0"/>
    <x v="1"/>
    <x v="3"/>
    <x v="0"/>
    <n v="0.16"/>
    <x v="2"/>
    <x v="0"/>
    <x v="7"/>
    <x v="43"/>
    <x v="0"/>
    <x v="1"/>
    <x v="0"/>
    <n v="0"/>
    <n v="64826"/>
    <n v="6.4825999999999995E-2"/>
    <n v="43252"/>
    <x v="0"/>
  </r>
  <r>
    <n v="60000368"/>
    <x v="43"/>
    <x v="0"/>
    <x v="0"/>
    <x v="2"/>
    <x v="0"/>
    <n v="0.14000000000000001"/>
    <x v="2"/>
    <x v="2"/>
    <x v="11"/>
    <x v="14"/>
    <x v="2"/>
    <x v="1"/>
    <x v="0"/>
    <n v="3"/>
    <n v="54304"/>
    <n v="5.4303999999999998E-2"/>
    <n v="43252"/>
    <x v="0"/>
  </r>
  <r>
    <n v="60000369"/>
    <x v="32"/>
    <x v="1"/>
    <x v="1"/>
    <x v="2"/>
    <x v="0"/>
    <n v="0.28999999999999998"/>
    <x v="3"/>
    <x v="2"/>
    <x v="10"/>
    <x v="27"/>
    <x v="2"/>
    <x v="1"/>
    <x v="1"/>
    <n v="0"/>
    <n v="80617"/>
    <n v="8.0616999999999994E-2"/>
    <n v="43252"/>
    <x v="0"/>
  </r>
  <r>
    <n v="60000370"/>
    <x v="23"/>
    <x v="0"/>
    <x v="0"/>
    <x v="5"/>
    <x v="0"/>
    <n v="0.19"/>
    <x v="0"/>
    <x v="8"/>
    <x v="0"/>
    <x v="23"/>
    <x v="2"/>
    <x v="1"/>
    <x v="0"/>
    <n v="0"/>
    <n v="74854"/>
    <n v="7.4854000000000004E-2"/>
    <n v="43252"/>
    <x v="0"/>
  </r>
  <r>
    <n v="60000371"/>
    <x v="44"/>
    <x v="1"/>
    <x v="1"/>
    <x v="7"/>
    <x v="0"/>
    <n v="0.16"/>
    <x v="2"/>
    <x v="12"/>
    <x v="11"/>
    <x v="4"/>
    <x v="1"/>
    <x v="1"/>
    <x v="1"/>
    <n v="0"/>
    <n v="49343"/>
    <n v="4.9342999999999998E-2"/>
    <n v="43252"/>
    <x v="0"/>
  </r>
  <r>
    <n v="60000372"/>
    <x v="10"/>
    <x v="1"/>
    <x v="1"/>
    <x v="3"/>
    <x v="0"/>
    <n v="0.16"/>
    <x v="2"/>
    <x v="10"/>
    <x v="7"/>
    <x v="25"/>
    <x v="2"/>
    <x v="1"/>
    <x v="0"/>
    <n v="4"/>
    <n v="80425"/>
    <n v="8.0424999999999996E-2"/>
    <n v="43252"/>
    <x v="0"/>
  </r>
  <r>
    <n v="60000373"/>
    <x v="12"/>
    <x v="1"/>
    <x v="0"/>
    <x v="9"/>
    <x v="0"/>
    <n v="0.19"/>
    <x v="0"/>
    <x v="15"/>
    <x v="3"/>
    <x v="31"/>
    <x v="0"/>
    <x v="1"/>
    <x v="0"/>
    <n v="0"/>
    <n v="28635"/>
    <n v="2.8635000000000001E-2"/>
    <n v="43252"/>
    <x v="0"/>
  </r>
  <r>
    <n v="60000374"/>
    <x v="37"/>
    <x v="0"/>
    <x v="0"/>
    <x v="10"/>
    <x v="0"/>
    <n v="0.26"/>
    <x v="3"/>
    <x v="13"/>
    <x v="11"/>
    <x v="34"/>
    <x v="2"/>
    <x v="1"/>
    <x v="0"/>
    <n v="0"/>
    <n v="28074"/>
    <n v="2.8074000000000002E-2"/>
    <n v="43252"/>
    <x v="0"/>
  </r>
  <r>
    <n v="60000375"/>
    <x v="15"/>
    <x v="1"/>
    <x v="0"/>
    <x v="9"/>
    <x v="0"/>
    <n v="0.34"/>
    <x v="1"/>
    <x v="13"/>
    <x v="8"/>
    <x v="20"/>
    <x v="1"/>
    <x v="1"/>
    <x v="0"/>
    <n v="3"/>
    <n v="68445"/>
    <n v="6.8445000000000006E-2"/>
    <n v="43252"/>
    <x v="0"/>
  </r>
  <r>
    <n v="60000376"/>
    <x v="12"/>
    <x v="1"/>
    <x v="1"/>
    <x v="8"/>
    <x v="0"/>
    <n v="0.25"/>
    <x v="3"/>
    <x v="5"/>
    <x v="11"/>
    <x v="38"/>
    <x v="1"/>
    <x v="1"/>
    <x v="1"/>
    <n v="0"/>
    <n v="84067"/>
    <n v="8.4067000000000003E-2"/>
    <n v="43252"/>
    <x v="0"/>
  </r>
  <r>
    <n v="60000377"/>
    <x v="19"/>
    <x v="0"/>
    <x v="1"/>
    <x v="5"/>
    <x v="0"/>
    <n v="0.11"/>
    <x v="4"/>
    <x v="3"/>
    <x v="2"/>
    <x v="36"/>
    <x v="0"/>
    <x v="1"/>
    <x v="0"/>
    <n v="0"/>
    <n v="83731"/>
    <n v="8.3731E-2"/>
    <n v="43252"/>
    <x v="0"/>
  </r>
  <r>
    <n v="60000378"/>
    <x v="25"/>
    <x v="1"/>
    <x v="1"/>
    <x v="6"/>
    <x v="0"/>
    <n v="0.27"/>
    <x v="3"/>
    <x v="10"/>
    <x v="8"/>
    <x v="11"/>
    <x v="0"/>
    <x v="1"/>
    <x v="1"/>
    <n v="1"/>
    <n v="28557"/>
    <n v="2.8556999999999999E-2"/>
    <n v="43252"/>
    <x v="0"/>
  </r>
  <r>
    <n v="60000379"/>
    <x v="2"/>
    <x v="1"/>
    <x v="0"/>
    <x v="5"/>
    <x v="0"/>
    <n v="0.35"/>
    <x v="1"/>
    <x v="6"/>
    <x v="11"/>
    <x v="3"/>
    <x v="2"/>
    <x v="1"/>
    <x v="1"/>
    <n v="5"/>
    <n v="79614"/>
    <n v="7.9614000000000004E-2"/>
    <n v="43252"/>
    <x v="0"/>
  </r>
  <r>
    <n v="60000380"/>
    <x v="8"/>
    <x v="0"/>
    <x v="0"/>
    <x v="6"/>
    <x v="0"/>
    <n v="0.3"/>
    <x v="3"/>
    <x v="3"/>
    <x v="10"/>
    <x v="20"/>
    <x v="1"/>
    <x v="1"/>
    <x v="1"/>
    <n v="0"/>
    <n v="54684"/>
    <n v="5.4684000000000003E-2"/>
    <n v="43252"/>
    <x v="0"/>
  </r>
  <r>
    <n v="60000381"/>
    <x v="21"/>
    <x v="1"/>
    <x v="0"/>
    <x v="6"/>
    <x v="0"/>
    <n v="0.31"/>
    <x v="3"/>
    <x v="3"/>
    <x v="6"/>
    <x v="45"/>
    <x v="2"/>
    <x v="1"/>
    <x v="0"/>
    <n v="7"/>
    <n v="27227"/>
    <n v="2.7227000000000001E-2"/>
    <n v="43252"/>
    <x v="0"/>
  </r>
  <r>
    <n v="60000382"/>
    <x v="20"/>
    <x v="1"/>
    <x v="0"/>
    <x v="4"/>
    <x v="0"/>
    <n v="0.13"/>
    <x v="2"/>
    <x v="5"/>
    <x v="7"/>
    <x v="10"/>
    <x v="1"/>
    <x v="1"/>
    <x v="1"/>
    <n v="0"/>
    <n v="32045"/>
    <n v="3.2044999999999997E-2"/>
    <n v="43252"/>
    <x v="0"/>
  </r>
  <r>
    <n v="60000383"/>
    <x v="43"/>
    <x v="0"/>
    <x v="1"/>
    <x v="3"/>
    <x v="0"/>
    <n v="0.28000000000000003"/>
    <x v="3"/>
    <x v="1"/>
    <x v="8"/>
    <x v="48"/>
    <x v="2"/>
    <x v="1"/>
    <x v="1"/>
    <n v="0"/>
    <n v="25551"/>
    <n v="2.5551000000000001E-2"/>
    <n v="43252"/>
    <x v="0"/>
  </r>
  <r>
    <n v="60000384"/>
    <x v="12"/>
    <x v="0"/>
    <x v="1"/>
    <x v="6"/>
    <x v="0"/>
    <n v="0.2"/>
    <x v="0"/>
    <x v="13"/>
    <x v="7"/>
    <x v="42"/>
    <x v="0"/>
    <x v="1"/>
    <x v="1"/>
    <n v="0"/>
    <n v="43464"/>
    <n v="4.3464000000000003E-2"/>
    <n v="43252"/>
    <x v="0"/>
  </r>
  <r>
    <n v="60000385"/>
    <x v="12"/>
    <x v="1"/>
    <x v="1"/>
    <x v="3"/>
    <x v="0"/>
    <n v="0.3"/>
    <x v="3"/>
    <x v="14"/>
    <x v="4"/>
    <x v="10"/>
    <x v="2"/>
    <x v="1"/>
    <x v="0"/>
    <n v="5"/>
    <n v="41890"/>
    <n v="4.1889999999999997E-2"/>
    <n v="43252"/>
    <x v="0"/>
  </r>
  <r>
    <n v="60000386"/>
    <x v="43"/>
    <x v="1"/>
    <x v="0"/>
    <x v="6"/>
    <x v="0"/>
    <n v="0.17"/>
    <x v="2"/>
    <x v="6"/>
    <x v="0"/>
    <x v="18"/>
    <x v="1"/>
    <x v="1"/>
    <x v="0"/>
    <n v="7"/>
    <n v="36063"/>
    <n v="3.6062999999999998E-2"/>
    <n v="43252"/>
    <x v="0"/>
  </r>
  <r>
    <n v="60000387"/>
    <x v="33"/>
    <x v="0"/>
    <x v="0"/>
    <x v="3"/>
    <x v="0"/>
    <n v="0.24"/>
    <x v="0"/>
    <x v="3"/>
    <x v="2"/>
    <x v="32"/>
    <x v="0"/>
    <x v="1"/>
    <x v="1"/>
    <n v="0"/>
    <n v="80040"/>
    <n v="8.004E-2"/>
    <n v="43252"/>
    <x v="0"/>
  </r>
  <r>
    <n v="60000388"/>
    <x v="20"/>
    <x v="1"/>
    <x v="1"/>
    <x v="0"/>
    <x v="0"/>
    <n v="0.32"/>
    <x v="1"/>
    <x v="10"/>
    <x v="5"/>
    <x v="0"/>
    <x v="2"/>
    <x v="1"/>
    <x v="0"/>
    <n v="1"/>
    <n v="72998"/>
    <n v="7.2997999999999993E-2"/>
    <n v="43252"/>
    <x v="0"/>
  </r>
  <r>
    <n v="60000389"/>
    <x v="34"/>
    <x v="1"/>
    <x v="0"/>
    <x v="8"/>
    <x v="0"/>
    <n v="0.12"/>
    <x v="2"/>
    <x v="9"/>
    <x v="10"/>
    <x v="18"/>
    <x v="2"/>
    <x v="1"/>
    <x v="0"/>
    <n v="0"/>
    <n v="66477"/>
    <n v="6.6476999999999994E-2"/>
    <n v="43252"/>
    <x v="0"/>
  </r>
  <r>
    <n v="60000390"/>
    <x v="26"/>
    <x v="1"/>
    <x v="1"/>
    <x v="6"/>
    <x v="0"/>
    <n v="0.13"/>
    <x v="2"/>
    <x v="6"/>
    <x v="8"/>
    <x v="19"/>
    <x v="2"/>
    <x v="1"/>
    <x v="0"/>
    <n v="7"/>
    <n v="48518"/>
    <n v="4.8517999999999999E-2"/>
    <n v="43252"/>
    <x v="0"/>
  </r>
  <r>
    <n v="60000391"/>
    <x v="28"/>
    <x v="0"/>
    <x v="0"/>
    <x v="9"/>
    <x v="0"/>
    <n v="0.14000000000000001"/>
    <x v="2"/>
    <x v="13"/>
    <x v="12"/>
    <x v="5"/>
    <x v="1"/>
    <x v="1"/>
    <x v="0"/>
    <n v="4"/>
    <n v="34127"/>
    <n v="3.4126999999999998E-2"/>
    <n v="43252"/>
    <x v="0"/>
  </r>
  <r>
    <n v="60000392"/>
    <x v="20"/>
    <x v="0"/>
    <x v="0"/>
    <x v="5"/>
    <x v="0"/>
    <n v="0.21"/>
    <x v="0"/>
    <x v="1"/>
    <x v="8"/>
    <x v="1"/>
    <x v="0"/>
    <x v="1"/>
    <x v="0"/>
    <n v="0"/>
    <n v="64482"/>
    <n v="6.4481999999999998E-2"/>
    <n v="43252"/>
    <x v="0"/>
  </r>
  <r>
    <n v="60000393"/>
    <x v="34"/>
    <x v="1"/>
    <x v="1"/>
    <x v="7"/>
    <x v="0"/>
    <n v="0.21"/>
    <x v="0"/>
    <x v="9"/>
    <x v="2"/>
    <x v="29"/>
    <x v="1"/>
    <x v="1"/>
    <x v="0"/>
    <n v="6"/>
    <n v="54672"/>
    <n v="5.4671999999999998E-2"/>
    <n v="43252"/>
    <x v="0"/>
  </r>
  <r>
    <n v="60000394"/>
    <x v="30"/>
    <x v="1"/>
    <x v="1"/>
    <x v="3"/>
    <x v="0"/>
    <n v="0.17"/>
    <x v="2"/>
    <x v="5"/>
    <x v="8"/>
    <x v="0"/>
    <x v="2"/>
    <x v="1"/>
    <x v="0"/>
    <n v="4"/>
    <n v="51554"/>
    <n v="5.1554000000000003E-2"/>
    <n v="43252"/>
    <x v="0"/>
  </r>
  <r>
    <n v="60000395"/>
    <x v="45"/>
    <x v="1"/>
    <x v="0"/>
    <x v="8"/>
    <x v="0"/>
    <n v="0.37"/>
    <x v="1"/>
    <x v="7"/>
    <x v="1"/>
    <x v="11"/>
    <x v="0"/>
    <x v="1"/>
    <x v="1"/>
    <n v="0"/>
    <n v="44090"/>
    <n v="4.4089999999999997E-2"/>
    <n v="43252"/>
    <x v="0"/>
  </r>
  <r>
    <n v="60000396"/>
    <x v="10"/>
    <x v="0"/>
    <x v="1"/>
    <x v="6"/>
    <x v="0"/>
    <n v="0.23"/>
    <x v="0"/>
    <x v="7"/>
    <x v="0"/>
    <x v="11"/>
    <x v="0"/>
    <x v="1"/>
    <x v="0"/>
    <n v="0"/>
    <n v="81393"/>
    <n v="8.1392999999999993E-2"/>
    <n v="43252"/>
    <x v="0"/>
  </r>
  <r>
    <n v="60000397"/>
    <x v="34"/>
    <x v="1"/>
    <x v="1"/>
    <x v="2"/>
    <x v="0"/>
    <n v="0.33"/>
    <x v="1"/>
    <x v="10"/>
    <x v="0"/>
    <x v="14"/>
    <x v="0"/>
    <x v="1"/>
    <x v="0"/>
    <n v="1"/>
    <n v="35847"/>
    <n v="3.5846999999999997E-2"/>
    <n v="43252"/>
    <x v="0"/>
  </r>
  <r>
    <n v="60000398"/>
    <x v="10"/>
    <x v="1"/>
    <x v="1"/>
    <x v="9"/>
    <x v="0"/>
    <n v="0.27"/>
    <x v="3"/>
    <x v="10"/>
    <x v="5"/>
    <x v="38"/>
    <x v="0"/>
    <x v="1"/>
    <x v="1"/>
    <n v="3"/>
    <n v="73014"/>
    <n v="7.3013999999999996E-2"/>
    <n v="43252"/>
    <x v="0"/>
  </r>
  <r>
    <n v="60000399"/>
    <x v="3"/>
    <x v="0"/>
    <x v="0"/>
    <x v="11"/>
    <x v="0"/>
    <n v="0.16"/>
    <x v="2"/>
    <x v="11"/>
    <x v="6"/>
    <x v="18"/>
    <x v="0"/>
    <x v="1"/>
    <x v="0"/>
    <n v="2"/>
    <n v="48965"/>
    <n v="4.8965000000000002E-2"/>
    <n v="43252"/>
    <x v="0"/>
  </r>
  <r>
    <n v="60000400"/>
    <x v="35"/>
    <x v="0"/>
    <x v="0"/>
    <x v="10"/>
    <x v="0"/>
    <n v="0.15"/>
    <x v="2"/>
    <x v="11"/>
    <x v="8"/>
    <x v="10"/>
    <x v="1"/>
    <x v="1"/>
    <x v="1"/>
    <n v="0"/>
    <n v="23504"/>
    <n v="2.3504000000000001E-2"/>
    <n v="43252"/>
    <x v="0"/>
  </r>
  <r>
    <n v="60000401"/>
    <x v="5"/>
    <x v="0"/>
    <x v="0"/>
    <x v="3"/>
    <x v="0"/>
    <n v="0.12"/>
    <x v="2"/>
    <x v="4"/>
    <x v="3"/>
    <x v="37"/>
    <x v="0"/>
    <x v="1"/>
    <x v="1"/>
    <n v="0"/>
    <n v="28997"/>
    <n v="2.8996999999999998E-2"/>
    <n v="43252"/>
    <x v="0"/>
  </r>
  <r>
    <n v="60000402"/>
    <x v="35"/>
    <x v="1"/>
    <x v="1"/>
    <x v="6"/>
    <x v="0"/>
    <n v="0.37"/>
    <x v="1"/>
    <x v="3"/>
    <x v="2"/>
    <x v="7"/>
    <x v="0"/>
    <x v="1"/>
    <x v="0"/>
    <n v="0"/>
    <n v="29285"/>
    <n v="2.9284999999999999E-2"/>
    <n v="43252"/>
    <x v="0"/>
  </r>
  <r>
    <n v="60000403"/>
    <x v="6"/>
    <x v="0"/>
    <x v="0"/>
    <x v="11"/>
    <x v="0"/>
    <n v="0.14000000000000001"/>
    <x v="2"/>
    <x v="3"/>
    <x v="2"/>
    <x v="16"/>
    <x v="2"/>
    <x v="1"/>
    <x v="0"/>
    <n v="0"/>
    <n v="47552"/>
    <n v="4.7551999999999997E-2"/>
    <n v="43252"/>
    <x v="0"/>
  </r>
  <r>
    <n v="60000404"/>
    <x v="9"/>
    <x v="1"/>
    <x v="0"/>
    <x v="7"/>
    <x v="0"/>
    <n v="0.36"/>
    <x v="1"/>
    <x v="10"/>
    <x v="5"/>
    <x v="43"/>
    <x v="2"/>
    <x v="1"/>
    <x v="1"/>
    <n v="7"/>
    <n v="69505"/>
    <n v="6.9504999999999997E-2"/>
    <n v="43252"/>
    <x v="0"/>
  </r>
  <r>
    <n v="60000405"/>
    <x v="17"/>
    <x v="0"/>
    <x v="1"/>
    <x v="6"/>
    <x v="0"/>
    <n v="0.12"/>
    <x v="2"/>
    <x v="10"/>
    <x v="0"/>
    <x v="19"/>
    <x v="2"/>
    <x v="1"/>
    <x v="0"/>
    <n v="0"/>
    <n v="67632"/>
    <n v="6.7631999999999998E-2"/>
    <n v="43252"/>
    <x v="0"/>
  </r>
  <r>
    <n v="60000406"/>
    <x v="35"/>
    <x v="1"/>
    <x v="0"/>
    <x v="0"/>
    <x v="0"/>
    <n v="0.21"/>
    <x v="0"/>
    <x v="8"/>
    <x v="11"/>
    <x v="40"/>
    <x v="1"/>
    <x v="1"/>
    <x v="0"/>
    <n v="0"/>
    <n v="60132"/>
    <n v="6.0131999999999998E-2"/>
    <n v="43252"/>
    <x v="0"/>
  </r>
  <r>
    <n v="60000407"/>
    <x v="43"/>
    <x v="1"/>
    <x v="1"/>
    <x v="8"/>
    <x v="0"/>
    <n v="0.38"/>
    <x v="1"/>
    <x v="1"/>
    <x v="4"/>
    <x v="48"/>
    <x v="0"/>
    <x v="1"/>
    <x v="0"/>
    <n v="6"/>
    <n v="81351"/>
    <n v="8.1351000000000007E-2"/>
    <n v="43252"/>
    <x v="0"/>
  </r>
  <r>
    <n v="60000408"/>
    <x v="40"/>
    <x v="0"/>
    <x v="0"/>
    <x v="7"/>
    <x v="0"/>
    <n v="0.32"/>
    <x v="1"/>
    <x v="1"/>
    <x v="12"/>
    <x v="10"/>
    <x v="0"/>
    <x v="1"/>
    <x v="1"/>
    <n v="1"/>
    <n v="56880"/>
    <n v="5.688E-2"/>
    <n v="43252"/>
    <x v="0"/>
  </r>
  <r>
    <n v="60000409"/>
    <x v="28"/>
    <x v="1"/>
    <x v="1"/>
    <x v="0"/>
    <x v="0"/>
    <n v="0.3"/>
    <x v="3"/>
    <x v="3"/>
    <x v="7"/>
    <x v="18"/>
    <x v="1"/>
    <x v="1"/>
    <x v="0"/>
    <n v="1"/>
    <n v="58453"/>
    <n v="5.8452999999999998E-2"/>
    <n v="43252"/>
    <x v="0"/>
  </r>
  <r>
    <n v="60000410"/>
    <x v="27"/>
    <x v="1"/>
    <x v="1"/>
    <x v="5"/>
    <x v="0"/>
    <n v="0.2"/>
    <x v="0"/>
    <x v="6"/>
    <x v="10"/>
    <x v="39"/>
    <x v="1"/>
    <x v="1"/>
    <x v="0"/>
    <n v="5"/>
    <n v="67984"/>
    <n v="6.7984000000000003E-2"/>
    <n v="43252"/>
    <x v="0"/>
  </r>
  <r>
    <n v="60000411"/>
    <x v="18"/>
    <x v="0"/>
    <x v="0"/>
    <x v="10"/>
    <x v="0"/>
    <n v="0.32"/>
    <x v="1"/>
    <x v="11"/>
    <x v="10"/>
    <x v="42"/>
    <x v="0"/>
    <x v="1"/>
    <x v="0"/>
    <n v="1"/>
    <n v="72612"/>
    <n v="7.2611999999999996E-2"/>
    <n v="43252"/>
    <x v="0"/>
  </r>
  <r>
    <n v="60000412"/>
    <x v="38"/>
    <x v="1"/>
    <x v="1"/>
    <x v="1"/>
    <x v="0"/>
    <n v="0.33"/>
    <x v="1"/>
    <x v="9"/>
    <x v="7"/>
    <x v="13"/>
    <x v="2"/>
    <x v="1"/>
    <x v="0"/>
    <n v="0"/>
    <n v="27132"/>
    <n v="2.7132E-2"/>
    <n v="43252"/>
    <x v="0"/>
  </r>
  <r>
    <n v="60000413"/>
    <x v="24"/>
    <x v="0"/>
    <x v="1"/>
    <x v="3"/>
    <x v="0"/>
    <n v="0.36"/>
    <x v="1"/>
    <x v="7"/>
    <x v="12"/>
    <x v="31"/>
    <x v="0"/>
    <x v="1"/>
    <x v="0"/>
    <n v="0"/>
    <n v="42131"/>
    <n v="4.2131000000000002E-2"/>
    <n v="43252"/>
    <x v="0"/>
  </r>
  <r>
    <n v="60000414"/>
    <x v="21"/>
    <x v="1"/>
    <x v="0"/>
    <x v="4"/>
    <x v="0"/>
    <n v="0.21"/>
    <x v="0"/>
    <x v="3"/>
    <x v="4"/>
    <x v="33"/>
    <x v="1"/>
    <x v="1"/>
    <x v="1"/>
    <n v="4"/>
    <n v="31293"/>
    <n v="3.1293000000000001E-2"/>
    <n v="43252"/>
    <x v="0"/>
  </r>
  <r>
    <n v="60000415"/>
    <x v="43"/>
    <x v="0"/>
    <x v="0"/>
    <x v="8"/>
    <x v="0"/>
    <n v="0.28000000000000003"/>
    <x v="3"/>
    <x v="14"/>
    <x v="10"/>
    <x v="13"/>
    <x v="0"/>
    <x v="1"/>
    <x v="1"/>
    <n v="4"/>
    <n v="50744"/>
    <n v="5.0743999999999997E-2"/>
    <n v="43252"/>
    <x v="0"/>
  </r>
  <r>
    <n v="60000416"/>
    <x v="27"/>
    <x v="0"/>
    <x v="1"/>
    <x v="7"/>
    <x v="0"/>
    <n v="0.3"/>
    <x v="3"/>
    <x v="5"/>
    <x v="10"/>
    <x v="1"/>
    <x v="2"/>
    <x v="1"/>
    <x v="1"/>
    <n v="0"/>
    <n v="27824"/>
    <n v="2.7824000000000002E-2"/>
    <n v="43252"/>
    <x v="0"/>
  </r>
  <r>
    <n v="60000417"/>
    <x v="3"/>
    <x v="0"/>
    <x v="1"/>
    <x v="3"/>
    <x v="0"/>
    <n v="0.19"/>
    <x v="0"/>
    <x v="8"/>
    <x v="7"/>
    <x v="48"/>
    <x v="0"/>
    <x v="1"/>
    <x v="0"/>
    <n v="3"/>
    <n v="37576"/>
    <n v="3.7575999999999998E-2"/>
    <n v="43252"/>
    <x v="0"/>
  </r>
  <r>
    <n v="60000418"/>
    <x v="8"/>
    <x v="0"/>
    <x v="0"/>
    <x v="7"/>
    <x v="0"/>
    <n v="0.2"/>
    <x v="0"/>
    <x v="11"/>
    <x v="11"/>
    <x v="21"/>
    <x v="0"/>
    <x v="1"/>
    <x v="1"/>
    <n v="0"/>
    <n v="28458"/>
    <n v="2.8458000000000001E-2"/>
    <n v="43252"/>
    <x v="0"/>
  </r>
  <r>
    <n v="60000419"/>
    <x v="38"/>
    <x v="0"/>
    <x v="1"/>
    <x v="10"/>
    <x v="0"/>
    <n v="0.18"/>
    <x v="2"/>
    <x v="6"/>
    <x v="10"/>
    <x v="11"/>
    <x v="1"/>
    <x v="1"/>
    <x v="0"/>
    <n v="0"/>
    <n v="23995"/>
    <n v="2.3994999999999999E-2"/>
    <n v="43252"/>
    <x v="0"/>
  </r>
  <r>
    <n v="60000420"/>
    <x v="19"/>
    <x v="1"/>
    <x v="0"/>
    <x v="3"/>
    <x v="0"/>
    <n v="0.26"/>
    <x v="3"/>
    <x v="11"/>
    <x v="4"/>
    <x v="2"/>
    <x v="1"/>
    <x v="1"/>
    <x v="1"/>
    <n v="5"/>
    <n v="23626"/>
    <n v="2.3626000000000001E-2"/>
    <n v="43252"/>
    <x v="0"/>
  </r>
  <r>
    <n v="60000421"/>
    <x v="4"/>
    <x v="1"/>
    <x v="1"/>
    <x v="5"/>
    <x v="0"/>
    <n v="0.1"/>
    <x v="4"/>
    <x v="5"/>
    <x v="0"/>
    <x v="43"/>
    <x v="2"/>
    <x v="1"/>
    <x v="1"/>
    <n v="5"/>
    <n v="24556"/>
    <n v="2.4556000000000001E-2"/>
    <n v="43252"/>
    <x v="0"/>
  </r>
  <r>
    <n v="60000422"/>
    <x v="26"/>
    <x v="0"/>
    <x v="0"/>
    <x v="8"/>
    <x v="0"/>
    <n v="0.12"/>
    <x v="2"/>
    <x v="13"/>
    <x v="1"/>
    <x v="30"/>
    <x v="2"/>
    <x v="1"/>
    <x v="1"/>
    <n v="7"/>
    <n v="36555"/>
    <n v="3.6554999999999997E-2"/>
    <n v="43252"/>
    <x v="0"/>
  </r>
  <r>
    <n v="60000423"/>
    <x v="7"/>
    <x v="1"/>
    <x v="0"/>
    <x v="10"/>
    <x v="0"/>
    <n v="0.3"/>
    <x v="3"/>
    <x v="11"/>
    <x v="6"/>
    <x v="36"/>
    <x v="1"/>
    <x v="1"/>
    <x v="1"/>
    <n v="0"/>
    <n v="61440"/>
    <n v="6.1440000000000002E-2"/>
    <n v="43252"/>
    <x v="0"/>
  </r>
  <r>
    <n v="60000424"/>
    <x v="16"/>
    <x v="1"/>
    <x v="1"/>
    <x v="0"/>
    <x v="0"/>
    <n v="0.16"/>
    <x v="2"/>
    <x v="5"/>
    <x v="12"/>
    <x v="4"/>
    <x v="1"/>
    <x v="1"/>
    <x v="1"/>
    <n v="7"/>
    <n v="38307"/>
    <n v="3.8307000000000001E-2"/>
    <n v="43252"/>
    <x v="0"/>
  </r>
  <r>
    <n v="60000425"/>
    <x v="18"/>
    <x v="1"/>
    <x v="0"/>
    <x v="7"/>
    <x v="0"/>
    <n v="0.24"/>
    <x v="0"/>
    <x v="9"/>
    <x v="4"/>
    <x v="10"/>
    <x v="0"/>
    <x v="1"/>
    <x v="0"/>
    <n v="0"/>
    <n v="49359"/>
    <n v="4.9359E-2"/>
    <n v="43252"/>
    <x v="0"/>
  </r>
  <r>
    <n v="60000426"/>
    <x v="8"/>
    <x v="1"/>
    <x v="1"/>
    <x v="0"/>
    <x v="0"/>
    <n v="0.1"/>
    <x v="4"/>
    <x v="6"/>
    <x v="10"/>
    <x v="44"/>
    <x v="2"/>
    <x v="1"/>
    <x v="0"/>
    <n v="4"/>
    <n v="73142"/>
    <n v="7.3141999999999999E-2"/>
    <n v="43252"/>
    <x v="0"/>
  </r>
  <r>
    <n v="60000427"/>
    <x v="9"/>
    <x v="1"/>
    <x v="1"/>
    <x v="11"/>
    <x v="0"/>
    <n v="0.22"/>
    <x v="0"/>
    <x v="15"/>
    <x v="6"/>
    <x v="2"/>
    <x v="0"/>
    <x v="1"/>
    <x v="0"/>
    <n v="4"/>
    <n v="36101"/>
    <n v="3.6101000000000001E-2"/>
    <n v="43252"/>
    <x v="0"/>
  </r>
  <r>
    <n v="60000428"/>
    <x v="20"/>
    <x v="1"/>
    <x v="1"/>
    <x v="1"/>
    <x v="0"/>
    <n v="0.35"/>
    <x v="1"/>
    <x v="0"/>
    <x v="11"/>
    <x v="8"/>
    <x v="1"/>
    <x v="1"/>
    <x v="1"/>
    <n v="5"/>
    <n v="25090"/>
    <n v="2.5090000000000001E-2"/>
    <n v="43252"/>
    <x v="0"/>
  </r>
  <r>
    <n v="60000429"/>
    <x v="43"/>
    <x v="0"/>
    <x v="1"/>
    <x v="7"/>
    <x v="0"/>
    <n v="0.33"/>
    <x v="1"/>
    <x v="12"/>
    <x v="5"/>
    <x v="1"/>
    <x v="1"/>
    <x v="1"/>
    <x v="0"/>
    <n v="0"/>
    <n v="41042"/>
    <n v="4.1042000000000002E-2"/>
    <n v="43252"/>
    <x v="0"/>
  </r>
  <r>
    <n v="60000430"/>
    <x v="11"/>
    <x v="0"/>
    <x v="1"/>
    <x v="11"/>
    <x v="0"/>
    <n v="0.21"/>
    <x v="0"/>
    <x v="12"/>
    <x v="1"/>
    <x v="23"/>
    <x v="0"/>
    <x v="1"/>
    <x v="0"/>
    <n v="0"/>
    <n v="60451"/>
    <n v="6.0450999999999998E-2"/>
    <n v="43252"/>
    <x v="0"/>
  </r>
  <r>
    <n v="60000431"/>
    <x v="27"/>
    <x v="0"/>
    <x v="1"/>
    <x v="0"/>
    <x v="0"/>
    <n v="0.12"/>
    <x v="2"/>
    <x v="9"/>
    <x v="9"/>
    <x v="47"/>
    <x v="0"/>
    <x v="1"/>
    <x v="0"/>
    <n v="6"/>
    <n v="26178"/>
    <n v="2.6178E-2"/>
    <n v="43252"/>
    <x v="0"/>
  </r>
  <r>
    <n v="60000432"/>
    <x v="10"/>
    <x v="1"/>
    <x v="0"/>
    <x v="2"/>
    <x v="0"/>
    <n v="0.22"/>
    <x v="0"/>
    <x v="13"/>
    <x v="5"/>
    <x v="8"/>
    <x v="0"/>
    <x v="1"/>
    <x v="1"/>
    <n v="1"/>
    <n v="57367"/>
    <n v="5.7367000000000001E-2"/>
    <n v="43252"/>
    <x v="0"/>
  </r>
  <r>
    <n v="60000433"/>
    <x v="11"/>
    <x v="0"/>
    <x v="1"/>
    <x v="10"/>
    <x v="0"/>
    <n v="0.33"/>
    <x v="1"/>
    <x v="3"/>
    <x v="11"/>
    <x v="15"/>
    <x v="2"/>
    <x v="1"/>
    <x v="0"/>
    <n v="0"/>
    <n v="70761"/>
    <n v="7.0761000000000004E-2"/>
    <n v="43252"/>
    <x v="0"/>
  </r>
  <r>
    <n v="60000434"/>
    <x v="37"/>
    <x v="0"/>
    <x v="0"/>
    <x v="9"/>
    <x v="0"/>
    <n v="0.13"/>
    <x v="2"/>
    <x v="6"/>
    <x v="8"/>
    <x v="17"/>
    <x v="0"/>
    <x v="1"/>
    <x v="0"/>
    <n v="2"/>
    <n v="26855"/>
    <n v="2.6855E-2"/>
    <n v="43252"/>
    <x v="0"/>
  </r>
  <r>
    <n v="60000435"/>
    <x v="19"/>
    <x v="1"/>
    <x v="0"/>
    <x v="7"/>
    <x v="0"/>
    <n v="0.33"/>
    <x v="1"/>
    <x v="0"/>
    <x v="6"/>
    <x v="8"/>
    <x v="2"/>
    <x v="1"/>
    <x v="0"/>
    <n v="0"/>
    <n v="78889"/>
    <n v="7.8889000000000001E-2"/>
    <n v="43252"/>
    <x v="0"/>
  </r>
  <r>
    <n v="60000436"/>
    <x v="29"/>
    <x v="1"/>
    <x v="0"/>
    <x v="0"/>
    <x v="0"/>
    <n v="0.38"/>
    <x v="1"/>
    <x v="5"/>
    <x v="11"/>
    <x v="19"/>
    <x v="1"/>
    <x v="1"/>
    <x v="0"/>
    <n v="3"/>
    <n v="34581"/>
    <n v="3.4581000000000001E-2"/>
    <n v="43252"/>
    <x v="0"/>
  </r>
  <r>
    <n v="60000437"/>
    <x v="18"/>
    <x v="0"/>
    <x v="1"/>
    <x v="10"/>
    <x v="0"/>
    <n v="0.37"/>
    <x v="1"/>
    <x v="7"/>
    <x v="9"/>
    <x v="26"/>
    <x v="0"/>
    <x v="1"/>
    <x v="0"/>
    <n v="0"/>
    <n v="38750"/>
    <n v="3.875E-2"/>
    <n v="43252"/>
    <x v="0"/>
  </r>
  <r>
    <n v="60000438"/>
    <x v="23"/>
    <x v="0"/>
    <x v="1"/>
    <x v="6"/>
    <x v="0"/>
    <n v="0.15"/>
    <x v="2"/>
    <x v="1"/>
    <x v="8"/>
    <x v="31"/>
    <x v="0"/>
    <x v="1"/>
    <x v="1"/>
    <n v="3"/>
    <n v="27003"/>
    <n v="2.7002999999999999E-2"/>
    <n v="43252"/>
    <x v="0"/>
  </r>
  <r>
    <n v="60000439"/>
    <x v="12"/>
    <x v="1"/>
    <x v="0"/>
    <x v="5"/>
    <x v="0"/>
    <n v="0.1"/>
    <x v="4"/>
    <x v="1"/>
    <x v="6"/>
    <x v="33"/>
    <x v="1"/>
    <x v="1"/>
    <x v="1"/>
    <n v="7"/>
    <n v="35593"/>
    <n v="3.5593E-2"/>
    <n v="43252"/>
    <x v="0"/>
  </r>
  <r>
    <n v="60000440"/>
    <x v="9"/>
    <x v="0"/>
    <x v="0"/>
    <x v="10"/>
    <x v="1"/>
    <n v="0.18"/>
    <x v="2"/>
    <x v="6"/>
    <x v="0"/>
    <x v="18"/>
    <x v="2"/>
    <x v="1"/>
    <x v="1"/>
    <n v="4"/>
    <n v="54011"/>
    <n v="5.4011000000000003E-2"/>
    <n v="43252"/>
    <x v="0"/>
  </r>
  <r>
    <n v="60000441"/>
    <x v="12"/>
    <x v="0"/>
    <x v="0"/>
    <x v="11"/>
    <x v="1"/>
    <n v="0.1"/>
    <x v="4"/>
    <x v="5"/>
    <x v="8"/>
    <x v="3"/>
    <x v="2"/>
    <x v="1"/>
    <x v="1"/>
    <n v="0"/>
    <n v="39860"/>
    <n v="3.986E-2"/>
    <n v="43252"/>
    <x v="0"/>
  </r>
  <r>
    <n v="60000442"/>
    <x v="35"/>
    <x v="1"/>
    <x v="1"/>
    <x v="11"/>
    <x v="0"/>
    <n v="0.35"/>
    <x v="1"/>
    <x v="7"/>
    <x v="1"/>
    <x v="20"/>
    <x v="0"/>
    <x v="1"/>
    <x v="0"/>
    <n v="0"/>
    <n v="78921"/>
    <n v="7.8921000000000005E-2"/>
    <n v="43252"/>
    <x v="0"/>
  </r>
  <r>
    <n v="60000443"/>
    <x v="36"/>
    <x v="1"/>
    <x v="1"/>
    <x v="0"/>
    <x v="0"/>
    <n v="0.37"/>
    <x v="1"/>
    <x v="14"/>
    <x v="4"/>
    <x v="17"/>
    <x v="0"/>
    <x v="1"/>
    <x v="0"/>
    <n v="3"/>
    <n v="49834"/>
    <n v="4.9834000000000003E-2"/>
    <n v="43252"/>
    <x v="0"/>
  </r>
  <r>
    <n v="60000444"/>
    <x v="28"/>
    <x v="1"/>
    <x v="0"/>
    <x v="7"/>
    <x v="2"/>
    <n v="0.19"/>
    <x v="0"/>
    <x v="8"/>
    <x v="10"/>
    <x v="20"/>
    <x v="2"/>
    <x v="1"/>
    <x v="1"/>
    <n v="0"/>
    <n v="37822"/>
    <n v="3.7822000000000001E-2"/>
    <n v="43252"/>
    <x v="0"/>
  </r>
  <r>
    <n v="60000445"/>
    <x v="32"/>
    <x v="0"/>
    <x v="1"/>
    <x v="5"/>
    <x v="0"/>
    <n v="0.3"/>
    <x v="3"/>
    <x v="7"/>
    <x v="3"/>
    <x v="24"/>
    <x v="2"/>
    <x v="1"/>
    <x v="1"/>
    <n v="0"/>
    <n v="38296"/>
    <n v="3.8295999999999997E-2"/>
    <n v="43252"/>
    <x v="0"/>
  </r>
  <r>
    <n v="60000446"/>
    <x v="34"/>
    <x v="1"/>
    <x v="1"/>
    <x v="3"/>
    <x v="0"/>
    <n v="0.14000000000000001"/>
    <x v="2"/>
    <x v="2"/>
    <x v="4"/>
    <x v="20"/>
    <x v="1"/>
    <x v="1"/>
    <x v="1"/>
    <n v="0"/>
    <n v="78541"/>
    <n v="7.8541E-2"/>
    <n v="43252"/>
    <x v="0"/>
  </r>
  <r>
    <n v="60000447"/>
    <x v="11"/>
    <x v="0"/>
    <x v="1"/>
    <x v="6"/>
    <x v="2"/>
    <n v="0.3"/>
    <x v="3"/>
    <x v="1"/>
    <x v="10"/>
    <x v="32"/>
    <x v="0"/>
    <x v="1"/>
    <x v="1"/>
    <n v="0"/>
    <n v="79092"/>
    <n v="7.9091999999999996E-2"/>
    <n v="43252"/>
    <x v="0"/>
  </r>
  <r>
    <n v="60000448"/>
    <x v="15"/>
    <x v="0"/>
    <x v="1"/>
    <x v="2"/>
    <x v="1"/>
    <n v="0.18"/>
    <x v="2"/>
    <x v="5"/>
    <x v="9"/>
    <x v="31"/>
    <x v="0"/>
    <x v="1"/>
    <x v="1"/>
    <n v="7"/>
    <n v="76003"/>
    <n v="7.6003000000000001E-2"/>
    <n v="43252"/>
    <x v="0"/>
  </r>
  <r>
    <n v="60000449"/>
    <x v="34"/>
    <x v="1"/>
    <x v="0"/>
    <x v="10"/>
    <x v="0"/>
    <n v="0.34"/>
    <x v="1"/>
    <x v="12"/>
    <x v="6"/>
    <x v="7"/>
    <x v="2"/>
    <x v="1"/>
    <x v="1"/>
    <n v="6"/>
    <n v="46543"/>
    <n v="4.6543000000000001E-2"/>
    <n v="43252"/>
    <x v="0"/>
  </r>
  <r>
    <n v="60000450"/>
    <x v="11"/>
    <x v="1"/>
    <x v="1"/>
    <x v="10"/>
    <x v="0"/>
    <n v="0.18"/>
    <x v="2"/>
    <x v="0"/>
    <x v="7"/>
    <x v="37"/>
    <x v="1"/>
    <x v="1"/>
    <x v="0"/>
    <n v="0"/>
    <n v="81088"/>
    <n v="8.1087999999999993E-2"/>
    <n v="43252"/>
    <x v="0"/>
  </r>
  <r>
    <n v="60000451"/>
    <x v="24"/>
    <x v="1"/>
    <x v="1"/>
    <x v="4"/>
    <x v="0"/>
    <n v="0.32"/>
    <x v="1"/>
    <x v="11"/>
    <x v="1"/>
    <x v="20"/>
    <x v="1"/>
    <x v="1"/>
    <x v="1"/>
    <n v="1"/>
    <n v="69209"/>
    <n v="6.9209000000000007E-2"/>
    <n v="43252"/>
    <x v="0"/>
  </r>
  <r>
    <n v="60000452"/>
    <x v="26"/>
    <x v="0"/>
    <x v="1"/>
    <x v="4"/>
    <x v="2"/>
    <n v="0.31"/>
    <x v="3"/>
    <x v="4"/>
    <x v="0"/>
    <x v="9"/>
    <x v="2"/>
    <x v="1"/>
    <x v="0"/>
    <n v="2"/>
    <n v="33431"/>
    <n v="3.3431000000000002E-2"/>
    <n v="43252"/>
    <x v="0"/>
  </r>
  <r>
    <n v="60000453"/>
    <x v="2"/>
    <x v="0"/>
    <x v="0"/>
    <x v="9"/>
    <x v="2"/>
    <n v="0.17"/>
    <x v="2"/>
    <x v="10"/>
    <x v="12"/>
    <x v="20"/>
    <x v="1"/>
    <x v="1"/>
    <x v="0"/>
    <n v="0"/>
    <n v="59716"/>
    <n v="5.9715999999999998E-2"/>
    <n v="43252"/>
    <x v="0"/>
  </r>
  <r>
    <n v="60000454"/>
    <x v="5"/>
    <x v="0"/>
    <x v="0"/>
    <x v="9"/>
    <x v="2"/>
    <n v="0.32"/>
    <x v="1"/>
    <x v="2"/>
    <x v="5"/>
    <x v="19"/>
    <x v="1"/>
    <x v="1"/>
    <x v="1"/>
    <n v="4"/>
    <n v="84839"/>
    <n v="8.4838999999999998E-2"/>
    <n v="43252"/>
    <x v="0"/>
  </r>
  <r>
    <n v="60000455"/>
    <x v="21"/>
    <x v="1"/>
    <x v="1"/>
    <x v="1"/>
    <x v="1"/>
    <n v="0.35"/>
    <x v="1"/>
    <x v="7"/>
    <x v="0"/>
    <x v="15"/>
    <x v="0"/>
    <x v="1"/>
    <x v="1"/>
    <n v="0"/>
    <n v="52981"/>
    <n v="5.2981E-2"/>
    <n v="43252"/>
    <x v="0"/>
  </r>
  <r>
    <n v="60000456"/>
    <x v="5"/>
    <x v="0"/>
    <x v="0"/>
    <x v="9"/>
    <x v="0"/>
    <n v="0.25"/>
    <x v="3"/>
    <x v="5"/>
    <x v="7"/>
    <x v="49"/>
    <x v="0"/>
    <x v="1"/>
    <x v="0"/>
    <n v="0"/>
    <n v="75264"/>
    <n v="7.5263999999999998E-2"/>
    <n v="43252"/>
    <x v="0"/>
  </r>
  <r>
    <n v="60000457"/>
    <x v="27"/>
    <x v="0"/>
    <x v="1"/>
    <x v="9"/>
    <x v="2"/>
    <n v="0.17"/>
    <x v="2"/>
    <x v="10"/>
    <x v="7"/>
    <x v="22"/>
    <x v="2"/>
    <x v="1"/>
    <x v="1"/>
    <n v="0"/>
    <n v="40112"/>
    <n v="4.0112000000000002E-2"/>
    <n v="43252"/>
    <x v="0"/>
  </r>
  <r>
    <n v="60000458"/>
    <x v="10"/>
    <x v="0"/>
    <x v="1"/>
    <x v="1"/>
    <x v="1"/>
    <n v="0.32"/>
    <x v="1"/>
    <x v="4"/>
    <x v="3"/>
    <x v="6"/>
    <x v="2"/>
    <x v="1"/>
    <x v="0"/>
    <n v="1"/>
    <n v="35550"/>
    <n v="3.5549999999999998E-2"/>
    <n v="43252"/>
    <x v="0"/>
  </r>
  <r>
    <n v="60000459"/>
    <x v="12"/>
    <x v="1"/>
    <x v="1"/>
    <x v="11"/>
    <x v="1"/>
    <n v="0.13"/>
    <x v="2"/>
    <x v="3"/>
    <x v="5"/>
    <x v="33"/>
    <x v="0"/>
    <x v="1"/>
    <x v="1"/>
    <n v="0"/>
    <n v="31234"/>
    <n v="3.1234000000000001E-2"/>
    <n v="43252"/>
    <x v="0"/>
  </r>
  <r>
    <n v="60000460"/>
    <x v="0"/>
    <x v="0"/>
    <x v="0"/>
    <x v="11"/>
    <x v="0"/>
    <n v="0.15"/>
    <x v="2"/>
    <x v="11"/>
    <x v="4"/>
    <x v="15"/>
    <x v="0"/>
    <x v="1"/>
    <x v="0"/>
    <n v="5"/>
    <n v="47650"/>
    <n v="4.7649999999999998E-2"/>
    <n v="43252"/>
    <x v="0"/>
  </r>
  <r>
    <n v="60000461"/>
    <x v="4"/>
    <x v="0"/>
    <x v="0"/>
    <x v="8"/>
    <x v="1"/>
    <n v="0.28999999999999998"/>
    <x v="3"/>
    <x v="5"/>
    <x v="0"/>
    <x v="6"/>
    <x v="1"/>
    <x v="1"/>
    <x v="1"/>
    <n v="0"/>
    <n v="74390"/>
    <n v="7.4389999999999998E-2"/>
    <n v="43252"/>
    <x v="0"/>
  </r>
  <r>
    <n v="60000462"/>
    <x v="33"/>
    <x v="1"/>
    <x v="1"/>
    <x v="4"/>
    <x v="2"/>
    <n v="0.27"/>
    <x v="3"/>
    <x v="9"/>
    <x v="7"/>
    <x v="21"/>
    <x v="2"/>
    <x v="1"/>
    <x v="1"/>
    <n v="1"/>
    <n v="31964"/>
    <n v="3.1963999999999999E-2"/>
    <n v="43252"/>
    <x v="0"/>
  </r>
  <r>
    <n v="60000463"/>
    <x v="40"/>
    <x v="1"/>
    <x v="1"/>
    <x v="5"/>
    <x v="2"/>
    <n v="0.18"/>
    <x v="2"/>
    <x v="3"/>
    <x v="11"/>
    <x v="29"/>
    <x v="2"/>
    <x v="1"/>
    <x v="1"/>
    <n v="0"/>
    <n v="36758"/>
    <n v="3.6757999999999999E-2"/>
    <n v="43252"/>
    <x v="0"/>
  </r>
  <r>
    <n v="60000464"/>
    <x v="11"/>
    <x v="0"/>
    <x v="1"/>
    <x v="10"/>
    <x v="0"/>
    <n v="0.2"/>
    <x v="0"/>
    <x v="3"/>
    <x v="8"/>
    <x v="11"/>
    <x v="1"/>
    <x v="1"/>
    <x v="0"/>
    <n v="3"/>
    <n v="74360"/>
    <n v="7.4359999999999996E-2"/>
    <n v="43252"/>
    <x v="0"/>
  </r>
  <r>
    <n v="60000465"/>
    <x v="42"/>
    <x v="1"/>
    <x v="1"/>
    <x v="6"/>
    <x v="2"/>
    <n v="0.15"/>
    <x v="2"/>
    <x v="2"/>
    <x v="7"/>
    <x v="36"/>
    <x v="2"/>
    <x v="1"/>
    <x v="0"/>
    <n v="6"/>
    <n v="38342"/>
    <n v="3.8342000000000001E-2"/>
    <n v="43252"/>
    <x v="0"/>
  </r>
  <r>
    <n v="60000466"/>
    <x v="8"/>
    <x v="1"/>
    <x v="0"/>
    <x v="5"/>
    <x v="2"/>
    <n v="0.25"/>
    <x v="3"/>
    <x v="5"/>
    <x v="3"/>
    <x v="7"/>
    <x v="2"/>
    <x v="1"/>
    <x v="1"/>
    <n v="0"/>
    <n v="23348"/>
    <n v="2.3348000000000001E-2"/>
    <n v="43252"/>
    <x v="0"/>
  </r>
  <r>
    <n v="60000467"/>
    <x v="26"/>
    <x v="1"/>
    <x v="0"/>
    <x v="4"/>
    <x v="2"/>
    <n v="0.1"/>
    <x v="4"/>
    <x v="1"/>
    <x v="9"/>
    <x v="27"/>
    <x v="2"/>
    <x v="1"/>
    <x v="1"/>
    <n v="0"/>
    <n v="59192"/>
    <n v="5.9192000000000002E-2"/>
    <n v="43252"/>
    <x v="0"/>
  </r>
  <r>
    <n v="60000468"/>
    <x v="44"/>
    <x v="0"/>
    <x v="0"/>
    <x v="9"/>
    <x v="0"/>
    <n v="0.13"/>
    <x v="2"/>
    <x v="6"/>
    <x v="1"/>
    <x v="6"/>
    <x v="1"/>
    <x v="1"/>
    <x v="1"/>
    <n v="6"/>
    <n v="84233"/>
    <n v="8.4233000000000002E-2"/>
    <n v="43252"/>
    <x v="0"/>
  </r>
  <r>
    <n v="60000469"/>
    <x v="42"/>
    <x v="0"/>
    <x v="1"/>
    <x v="3"/>
    <x v="0"/>
    <n v="0.28000000000000003"/>
    <x v="3"/>
    <x v="2"/>
    <x v="2"/>
    <x v="19"/>
    <x v="0"/>
    <x v="1"/>
    <x v="1"/>
    <n v="6"/>
    <n v="68066"/>
    <n v="6.8066000000000002E-2"/>
    <n v="43252"/>
    <x v="0"/>
  </r>
  <r>
    <n v="60000470"/>
    <x v="6"/>
    <x v="1"/>
    <x v="0"/>
    <x v="0"/>
    <x v="0"/>
    <n v="0.23"/>
    <x v="0"/>
    <x v="12"/>
    <x v="2"/>
    <x v="18"/>
    <x v="2"/>
    <x v="1"/>
    <x v="0"/>
    <n v="6"/>
    <n v="76494"/>
    <n v="7.6494000000000006E-2"/>
    <n v="43252"/>
    <x v="0"/>
  </r>
  <r>
    <n v="60000471"/>
    <x v="9"/>
    <x v="1"/>
    <x v="0"/>
    <x v="6"/>
    <x v="1"/>
    <n v="0.13"/>
    <x v="2"/>
    <x v="5"/>
    <x v="12"/>
    <x v="31"/>
    <x v="2"/>
    <x v="1"/>
    <x v="1"/>
    <n v="6"/>
    <n v="34053"/>
    <n v="3.4053E-2"/>
    <n v="43252"/>
    <x v="0"/>
  </r>
  <r>
    <n v="60000472"/>
    <x v="30"/>
    <x v="1"/>
    <x v="0"/>
    <x v="3"/>
    <x v="2"/>
    <n v="0.32"/>
    <x v="1"/>
    <x v="2"/>
    <x v="1"/>
    <x v="40"/>
    <x v="2"/>
    <x v="1"/>
    <x v="0"/>
    <n v="0"/>
    <n v="79293"/>
    <n v="7.9293000000000002E-2"/>
    <n v="43252"/>
    <x v="0"/>
  </r>
  <r>
    <n v="60000473"/>
    <x v="28"/>
    <x v="1"/>
    <x v="1"/>
    <x v="3"/>
    <x v="2"/>
    <n v="0.23"/>
    <x v="0"/>
    <x v="10"/>
    <x v="1"/>
    <x v="48"/>
    <x v="1"/>
    <x v="1"/>
    <x v="0"/>
    <n v="0"/>
    <n v="25683"/>
    <n v="2.5683000000000001E-2"/>
    <n v="43252"/>
    <x v="0"/>
  </r>
  <r>
    <n v="60000474"/>
    <x v="22"/>
    <x v="1"/>
    <x v="0"/>
    <x v="3"/>
    <x v="0"/>
    <n v="0.15"/>
    <x v="2"/>
    <x v="15"/>
    <x v="12"/>
    <x v="35"/>
    <x v="2"/>
    <x v="1"/>
    <x v="1"/>
    <n v="0"/>
    <n v="57179"/>
    <n v="5.7179000000000001E-2"/>
    <n v="43252"/>
    <x v="0"/>
  </r>
  <r>
    <n v="60000475"/>
    <x v="30"/>
    <x v="1"/>
    <x v="1"/>
    <x v="10"/>
    <x v="2"/>
    <n v="0.2"/>
    <x v="0"/>
    <x v="7"/>
    <x v="2"/>
    <x v="46"/>
    <x v="2"/>
    <x v="1"/>
    <x v="1"/>
    <n v="3"/>
    <n v="75455"/>
    <n v="7.5454999999999994E-2"/>
    <n v="43252"/>
    <x v="0"/>
  </r>
  <r>
    <n v="60000476"/>
    <x v="44"/>
    <x v="1"/>
    <x v="0"/>
    <x v="8"/>
    <x v="1"/>
    <n v="0.31"/>
    <x v="3"/>
    <x v="7"/>
    <x v="0"/>
    <x v="35"/>
    <x v="1"/>
    <x v="1"/>
    <x v="1"/>
    <n v="3"/>
    <n v="84609"/>
    <n v="8.4609000000000004E-2"/>
    <n v="43252"/>
    <x v="0"/>
  </r>
  <r>
    <n v="60000477"/>
    <x v="19"/>
    <x v="0"/>
    <x v="1"/>
    <x v="1"/>
    <x v="2"/>
    <n v="0.11"/>
    <x v="4"/>
    <x v="5"/>
    <x v="2"/>
    <x v="43"/>
    <x v="0"/>
    <x v="1"/>
    <x v="1"/>
    <n v="5"/>
    <n v="55080"/>
    <n v="5.5079999999999997E-2"/>
    <n v="43252"/>
    <x v="0"/>
  </r>
  <r>
    <n v="60000478"/>
    <x v="45"/>
    <x v="1"/>
    <x v="0"/>
    <x v="6"/>
    <x v="0"/>
    <n v="0.35"/>
    <x v="1"/>
    <x v="14"/>
    <x v="3"/>
    <x v="19"/>
    <x v="0"/>
    <x v="1"/>
    <x v="0"/>
    <n v="3"/>
    <n v="56686"/>
    <n v="5.6686E-2"/>
    <n v="43252"/>
    <x v="0"/>
  </r>
  <r>
    <n v="60000479"/>
    <x v="2"/>
    <x v="1"/>
    <x v="0"/>
    <x v="5"/>
    <x v="0"/>
    <n v="0.35"/>
    <x v="1"/>
    <x v="9"/>
    <x v="2"/>
    <x v="19"/>
    <x v="0"/>
    <x v="1"/>
    <x v="1"/>
    <n v="5"/>
    <n v="61577"/>
    <n v="6.1577E-2"/>
    <n v="43252"/>
    <x v="0"/>
  </r>
  <r>
    <n v="60000480"/>
    <x v="2"/>
    <x v="1"/>
    <x v="0"/>
    <x v="3"/>
    <x v="2"/>
    <n v="0.2"/>
    <x v="0"/>
    <x v="10"/>
    <x v="1"/>
    <x v="31"/>
    <x v="0"/>
    <x v="1"/>
    <x v="1"/>
    <n v="0"/>
    <n v="56751"/>
    <n v="5.6751000000000003E-2"/>
    <n v="43252"/>
    <x v="0"/>
  </r>
  <r>
    <n v="60000481"/>
    <x v="30"/>
    <x v="0"/>
    <x v="0"/>
    <x v="7"/>
    <x v="0"/>
    <n v="0.32"/>
    <x v="1"/>
    <x v="4"/>
    <x v="6"/>
    <x v="41"/>
    <x v="1"/>
    <x v="1"/>
    <x v="0"/>
    <n v="3"/>
    <n v="68563"/>
    <n v="6.8562999999999999E-2"/>
    <n v="43252"/>
    <x v="0"/>
  </r>
  <r>
    <n v="60000482"/>
    <x v="24"/>
    <x v="0"/>
    <x v="0"/>
    <x v="5"/>
    <x v="0"/>
    <n v="0.31"/>
    <x v="3"/>
    <x v="7"/>
    <x v="1"/>
    <x v="22"/>
    <x v="0"/>
    <x v="1"/>
    <x v="0"/>
    <n v="3"/>
    <n v="71105"/>
    <n v="7.1105000000000002E-2"/>
    <n v="43252"/>
    <x v="0"/>
  </r>
  <r>
    <n v="60000483"/>
    <x v="21"/>
    <x v="1"/>
    <x v="1"/>
    <x v="8"/>
    <x v="2"/>
    <n v="0.35"/>
    <x v="1"/>
    <x v="14"/>
    <x v="1"/>
    <x v="4"/>
    <x v="1"/>
    <x v="1"/>
    <x v="1"/>
    <n v="1"/>
    <n v="60253"/>
    <n v="6.0253000000000001E-2"/>
    <n v="43252"/>
    <x v="0"/>
  </r>
  <r>
    <n v="60000484"/>
    <x v="31"/>
    <x v="1"/>
    <x v="0"/>
    <x v="3"/>
    <x v="0"/>
    <n v="0.3"/>
    <x v="3"/>
    <x v="1"/>
    <x v="12"/>
    <x v="37"/>
    <x v="1"/>
    <x v="1"/>
    <x v="0"/>
    <n v="1"/>
    <n v="80860"/>
    <n v="8.0860000000000001E-2"/>
    <n v="43252"/>
    <x v="0"/>
  </r>
  <r>
    <n v="60000485"/>
    <x v="7"/>
    <x v="0"/>
    <x v="1"/>
    <x v="11"/>
    <x v="0"/>
    <n v="0.11"/>
    <x v="4"/>
    <x v="0"/>
    <x v="12"/>
    <x v="48"/>
    <x v="1"/>
    <x v="1"/>
    <x v="1"/>
    <n v="0"/>
    <n v="48374"/>
    <n v="4.8374E-2"/>
    <n v="43252"/>
    <x v="0"/>
  </r>
  <r>
    <n v="60000486"/>
    <x v="4"/>
    <x v="0"/>
    <x v="0"/>
    <x v="9"/>
    <x v="0"/>
    <n v="0.14000000000000001"/>
    <x v="2"/>
    <x v="10"/>
    <x v="7"/>
    <x v="12"/>
    <x v="2"/>
    <x v="1"/>
    <x v="1"/>
    <n v="0"/>
    <n v="51538"/>
    <n v="5.1538E-2"/>
    <n v="43252"/>
    <x v="0"/>
  </r>
  <r>
    <n v="60000487"/>
    <x v="3"/>
    <x v="1"/>
    <x v="1"/>
    <x v="4"/>
    <x v="2"/>
    <n v="0.18"/>
    <x v="2"/>
    <x v="11"/>
    <x v="8"/>
    <x v="45"/>
    <x v="1"/>
    <x v="1"/>
    <x v="0"/>
    <n v="1"/>
    <n v="39944"/>
    <n v="3.9944E-2"/>
    <n v="43252"/>
    <x v="0"/>
  </r>
  <r>
    <n v="60000488"/>
    <x v="36"/>
    <x v="0"/>
    <x v="0"/>
    <x v="9"/>
    <x v="2"/>
    <n v="0.11"/>
    <x v="4"/>
    <x v="15"/>
    <x v="1"/>
    <x v="31"/>
    <x v="0"/>
    <x v="1"/>
    <x v="1"/>
    <n v="2"/>
    <n v="84587"/>
    <n v="8.4586999999999996E-2"/>
    <n v="43252"/>
    <x v="0"/>
  </r>
  <r>
    <n v="60000489"/>
    <x v="14"/>
    <x v="1"/>
    <x v="1"/>
    <x v="5"/>
    <x v="1"/>
    <n v="0.36"/>
    <x v="1"/>
    <x v="13"/>
    <x v="6"/>
    <x v="0"/>
    <x v="1"/>
    <x v="1"/>
    <x v="1"/>
    <n v="0"/>
    <n v="30344"/>
    <n v="3.0343999999999999E-2"/>
    <n v="43252"/>
    <x v="0"/>
  </r>
  <r>
    <n v="60000490"/>
    <x v="25"/>
    <x v="0"/>
    <x v="0"/>
    <x v="9"/>
    <x v="1"/>
    <n v="0.24"/>
    <x v="0"/>
    <x v="3"/>
    <x v="10"/>
    <x v="17"/>
    <x v="1"/>
    <x v="1"/>
    <x v="0"/>
    <n v="2"/>
    <n v="37773"/>
    <n v="3.7773000000000001E-2"/>
    <n v="43252"/>
    <x v="0"/>
  </r>
  <r>
    <n v="60000491"/>
    <x v="19"/>
    <x v="1"/>
    <x v="0"/>
    <x v="5"/>
    <x v="0"/>
    <n v="0.32"/>
    <x v="1"/>
    <x v="13"/>
    <x v="3"/>
    <x v="42"/>
    <x v="1"/>
    <x v="1"/>
    <x v="1"/>
    <n v="7"/>
    <n v="54503"/>
    <n v="5.4503000000000003E-2"/>
    <n v="43252"/>
    <x v="0"/>
  </r>
  <r>
    <n v="60000492"/>
    <x v="7"/>
    <x v="0"/>
    <x v="0"/>
    <x v="6"/>
    <x v="1"/>
    <n v="0.17"/>
    <x v="2"/>
    <x v="7"/>
    <x v="7"/>
    <x v="3"/>
    <x v="1"/>
    <x v="1"/>
    <x v="0"/>
    <n v="2"/>
    <n v="69843"/>
    <n v="6.9843000000000002E-2"/>
    <n v="43252"/>
    <x v="0"/>
  </r>
  <r>
    <n v="60000493"/>
    <x v="6"/>
    <x v="0"/>
    <x v="1"/>
    <x v="10"/>
    <x v="2"/>
    <n v="0.26"/>
    <x v="3"/>
    <x v="1"/>
    <x v="3"/>
    <x v="32"/>
    <x v="1"/>
    <x v="1"/>
    <x v="1"/>
    <n v="2"/>
    <n v="52179"/>
    <n v="5.2179000000000003E-2"/>
    <n v="43252"/>
    <x v="0"/>
  </r>
  <r>
    <n v="60000494"/>
    <x v="37"/>
    <x v="0"/>
    <x v="0"/>
    <x v="4"/>
    <x v="1"/>
    <n v="0.28999999999999998"/>
    <x v="3"/>
    <x v="8"/>
    <x v="4"/>
    <x v="47"/>
    <x v="0"/>
    <x v="1"/>
    <x v="1"/>
    <n v="0"/>
    <n v="74828"/>
    <n v="7.4828000000000006E-2"/>
    <n v="43252"/>
    <x v="0"/>
  </r>
  <r>
    <n v="60000495"/>
    <x v="18"/>
    <x v="0"/>
    <x v="1"/>
    <x v="7"/>
    <x v="2"/>
    <n v="0.1"/>
    <x v="4"/>
    <x v="15"/>
    <x v="9"/>
    <x v="24"/>
    <x v="1"/>
    <x v="1"/>
    <x v="1"/>
    <n v="0"/>
    <n v="33616"/>
    <n v="3.3616E-2"/>
    <n v="43252"/>
    <x v="0"/>
  </r>
  <r>
    <n v="60000496"/>
    <x v="35"/>
    <x v="0"/>
    <x v="1"/>
    <x v="10"/>
    <x v="0"/>
    <n v="0.18"/>
    <x v="2"/>
    <x v="4"/>
    <x v="8"/>
    <x v="23"/>
    <x v="2"/>
    <x v="1"/>
    <x v="0"/>
    <n v="0"/>
    <n v="26557"/>
    <n v="2.6557000000000001E-2"/>
    <n v="43252"/>
    <x v="0"/>
  </r>
  <r>
    <n v="60000497"/>
    <x v="10"/>
    <x v="0"/>
    <x v="1"/>
    <x v="4"/>
    <x v="0"/>
    <n v="0.3"/>
    <x v="3"/>
    <x v="9"/>
    <x v="12"/>
    <x v="14"/>
    <x v="0"/>
    <x v="1"/>
    <x v="1"/>
    <n v="0"/>
    <n v="62858"/>
    <n v="6.2857999999999997E-2"/>
    <n v="43252"/>
    <x v="0"/>
  </r>
  <r>
    <n v="60000498"/>
    <x v="16"/>
    <x v="1"/>
    <x v="1"/>
    <x v="0"/>
    <x v="0"/>
    <n v="0.33"/>
    <x v="1"/>
    <x v="5"/>
    <x v="2"/>
    <x v="18"/>
    <x v="1"/>
    <x v="1"/>
    <x v="0"/>
    <n v="1"/>
    <n v="61560"/>
    <n v="6.1559999999999997E-2"/>
    <n v="43252"/>
    <x v="0"/>
  </r>
  <r>
    <n v="60000499"/>
    <x v="9"/>
    <x v="1"/>
    <x v="0"/>
    <x v="0"/>
    <x v="0"/>
    <n v="0.18"/>
    <x v="2"/>
    <x v="7"/>
    <x v="12"/>
    <x v="30"/>
    <x v="2"/>
    <x v="1"/>
    <x v="0"/>
    <n v="0"/>
    <n v="79005"/>
    <n v="7.9005000000000006E-2"/>
    <n v="43252"/>
    <x v="0"/>
  </r>
  <r>
    <n v="60000500"/>
    <x v="14"/>
    <x v="1"/>
    <x v="1"/>
    <x v="0"/>
    <x v="2"/>
    <n v="0.28000000000000003"/>
    <x v="3"/>
    <x v="7"/>
    <x v="4"/>
    <x v="22"/>
    <x v="1"/>
    <x v="1"/>
    <x v="0"/>
    <n v="0"/>
    <n v="28323"/>
    <n v="2.8323000000000001E-2"/>
    <n v="43252"/>
    <x v="0"/>
  </r>
  <r>
    <n v="60000501"/>
    <x v="28"/>
    <x v="1"/>
    <x v="0"/>
    <x v="4"/>
    <x v="1"/>
    <n v="0.18"/>
    <x v="2"/>
    <x v="14"/>
    <x v="1"/>
    <x v="46"/>
    <x v="2"/>
    <x v="1"/>
    <x v="0"/>
    <n v="4"/>
    <n v="52056"/>
    <n v="5.2055999999999998E-2"/>
    <n v="43252"/>
    <x v="0"/>
  </r>
  <r>
    <n v="60000502"/>
    <x v="40"/>
    <x v="0"/>
    <x v="1"/>
    <x v="4"/>
    <x v="2"/>
    <n v="0.31"/>
    <x v="3"/>
    <x v="12"/>
    <x v="3"/>
    <x v="38"/>
    <x v="1"/>
    <x v="1"/>
    <x v="0"/>
    <n v="0"/>
    <n v="39339"/>
    <n v="3.9338999999999999E-2"/>
    <n v="43252"/>
    <x v="0"/>
  </r>
  <r>
    <n v="60000503"/>
    <x v="0"/>
    <x v="1"/>
    <x v="1"/>
    <x v="10"/>
    <x v="2"/>
    <n v="0.27"/>
    <x v="3"/>
    <x v="9"/>
    <x v="1"/>
    <x v="12"/>
    <x v="1"/>
    <x v="1"/>
    <x v="0"/>
    <n v="0"/>
    <n v="41199"/>
    <n v="4.1199E-2"/>
    <n v="43252"/>
    <x v="0"/>
  </r>
  <r>
    <n v="60000504"/>
    <x v="0"/>
    <x v="1"/>
    <x v="1"/>
    <x v="11"/>
    <x v="1"/>
    <n v="0.17"/>
    <x v="2"/>
    <x v="10"/>
    <x v="10"/>
    <x v="24"/>
    <x v="0"/>
    <x v="1"/>
    <x v="0"/>
    <n v="0"/>
    <n v="49602"/>
    <n v="4.9602E-2"/>
    <n v="43252"/>
    <x v="0"/>
  </r>
  <r>
    <n v="60000505"/>
    <x v="33"/>
    <x v="0"/>
    <x v="1"/>
    <x v="3"/>
    <x v="2"/>
    <n v="0.2"/>
    <x v="0"/>
    <x v="15"/>
    <x v="4"/>
    <x v="6"/>
    <x v="0"/>
    <x v="1"/>
    <x v="0"/>
    <n v="0"/>
    <n v="36760"/>
    <n v="3.6760000000000001E-2"/>
    <n v="43252"/>
    <x v="0"/>
  </r>
  <r>
    <n v="60000506"/>
    <x v="27"/>
    <x v="0"/>
    <x v="0"/>
    <x v="2"/>
    <x v="2"/>
    <n v="0.34"/>
    <x v="1"/>
    <x v="5"/>
    <x v="9"/>
    <x v="12"/>
    <x v="1"/>
    <x v="1"/>
    <x v="1"/>
    <n v="0"/>
    <n v="79375"/>
    <n v="7.9375000000000001E-2"/>
    <n v="43252"/>
    <x v="0"/>
  </r>
  <r>
    <n v="60000507"/>
    <x v="26"/>
    <x v="0"/>
    <x v="0"/>
    <x v="5"/>
    <x v="2"/>
    <n v="0.28000000000000003"/>
    <x v="3"/>
    <x v="10"/>
    <x v="5"/>
    <x v="38"/>
    <x v="2"/>
    <x v="1"/>
    <x v="1"/>
    <n v="7"/>
    <n v="77696"/>
    <n v="7.7696000000000001E-2"/>
    <n v="43252"/>
    <x v="0"/>
  </r>
  <r>
    <n v="60000508"/>
    <x v="28"/>
    <x v="1"/>
    <x v="0"/>
    <x v="6"/>
    <x v="1"/>
    <n v="0.35"/>
    <x v="1"/>
    <x v="3"/>
    <x v="2"/>
    <x v="37"/>
    <x v="2"/>
    <x v="1"/>
    <x v="1"/>
    <n v="0"/>
    <n v="81384"/>
    <n v="8.1383999999999998E-2"/>
    <n v="43252"/>
    <x v="0"/>
  </r>
  <r>
    <n v="60000509"/>
    <x v="16"/>
    <x v="0"/>
    <x v="0"/>
    <x v="11"/>
    <x v="1"/>
    <n v="0.36"/>
    <x v="1"/>
    <x v="2"/>
    <x v="4"/>
    <x v="12"/>
    <x v="0"/>
    <x v="1"/>
    <x v="1"/>
    <n v="0"/>
    <n v="64585"/>
    <n v="6.4585000000000004E-2"/>
    <n v="43252"/>
    <x v="0"/>
  </r>
  <r>
    <n v="60000510"/>
    <x v="16"/>
    <x v="1"/>
    <x v="0"/>
    <x v="8"/>
    <x v="2"/>
    <n v="0.38"/>
    <x v="1"/>
    <x v="6"/>
    <x v="3"/>
    <x v="49"/>
    <x v="1"/>
    <x v="1"/>
    <x v="0"/>
    <n v="6"/>
    <n v="26416"/>
    <n v="2.6415999999999999E-2"/>
    <n v="43252"/>
    <x v="0"/>
  </r>
  <r>
    <n v="60000511"/>
    <x v="11"/>
    <x v="1"/>
    <x v="1"/>
    <x v="1"/>
    <x v="1"/>
    <n v="0.27"/>
    <x v="3"/>
    <x v="6"/>
    <x v="5"/>
    <x v="27"/>
    <x v="1"/>
    <x v="1"/>
    <x v="1"/>
    <n v="2"/>
    <n v="64046"/>
    <n v="6.4046000000000006E-2"/>
    <n v="43252"/>
    <x v="0"/>
  </r>
  <r>
    <n v="60000512"/>
    <x v="2"/>
    <x v="0"/>
    <x v="1"/>
    <x v="10"/>
    <x v="2"/>
    <n v="0.35"/>
    <x v="1"/>
    <x v="2"/>
    <x v="4"/>
    <x v="14"/>
    <x v="2"/>
    <x v="1"/>
    <x v="0"/>
    <n v="7"/>
    <n v="24939"/>
    <n v="2.4938999999999999E-2"/>
    <n v="43252"/>
    <x v="0"/>
  </r>
  <r>
    <n v="60000513"/>
    <x v="15"/>
    <x v="0"/>
    <x v="0"/>
    <x v="1"/>
    <x v="2"/>
    <n v="0.35"/>
    <x v="1"/>
    <x v="5"/>
    <x v="1"/>
    <x v="19"/>
    <x v="0"/>
    <x v="1"/>
    <x v="1"/>
    <n v="0"/>
    <n v="79838"/>
    <n v="7.9838000000000006E-2"/>
    <n v="43252"/>
    <x v="0"/>
  </r>
  <r>
    <n v="60000514"/>
    <x v="17"/>
    <x v="0"/>
    <x v="1"/>
    <x v="4"/>
    <x v="0"/>
    <n v="0.19"/>
    <x v="0"/>
    <x v="15"/>
    <x v="1"/>
    <x v="41"/>
    <x v="0"/>
    <x v="1"/>
    <x v="1"/>
    <n v="7"/>
    <n v="28883"/>
    <n v="2.8882999999999999E-2"/>
    <n v="43252"/>
    <x v="0"/>
  </r>
  <r>
    <n v="60000515"/>
    <x v="6"/>
    <x v="0"/>
    <x v="1"/>
    <x v="4"/>
    <x v="2"/>
    <n v="0.25"/>
    <x v="3"/>
    <x v="9"/>
    <x v="6"/>
    <x v="37"/>
    <x v="1"/>
    <x v="1"/>
    <x v="1"/>
    <n v="0"/>
    <n v="82172"/>
    <n v="8.2171999999999995E-2"/>
    <n v="43252"/>
    <x v="0"/>
  </r>
  <r>
    <n v="60000516"/>
    <x v="16"/>
    <x v="0"/>
    <x v="0"/>
    <x v="8"/>
    <x v="0"/>
    <n v="0.18"/>
    <x v="2"/>
    <x v="13"/>
    <x v="0"/>
    <x v="7"/>
    <x v="1"/>
    <x v="1"/>
    <x v="1"/>
    <n v="0"/>
    <n v="49849"/>
    <n v="4.9848999999999997E-2"/>
    <n v="43252"/>
    <x v="0"/>
  </r>
  <r>
    <n v="60000517"/>
    <x v="16"/>
    <x v="0"/>
    <x v="1"/>
    <x v="9"/>
    <x v="1"/>
    <n v="0.16"/>
    <x v="2"/>
    <x v="5"/>
    <x v="3"/>
    <x v="18"/>
    <x v="1"/>
    <x v="1"/>
    <x v="0"/>
    <n v="0"/>
    <n v="55350"/>
    <n v="5.5350000000000003E-2"/>
    <n v="43252"/>
    <x v="0"/>
  </r>
  <r>
    <n v="60000518"/>
    <x v="30"/>
    <x v="0"/>
    <x v="0"/>
    <x v="2"/>
    <x v="0"/>
    <n v="0.28000000000000003"/>
    <x v="3"/>
    <x v="9"/>
    <x v="10"/>
    <x v="33"/>
    <x v="2"/>
    <x v="1"/>
    <x v="1"/>
    <n v="3"/>
    <n v="78750"/>
    <n v="7.8750000000000001E-2"/>
    <n v="43252"/>
    <x v="0"/>
  </r>
  <r>
    <n v="60000519"/>
    <x v="23"/>
    <x v="1"/>
    <x v="0"/>
    <x v="10"/>
    <x v="0"/>
    <n v="0.17"/>
    <x v="2"/>
    <x v="7"/>
    <x v="5"/>
    <x v="49"/>
    <x v="1"/>
    <x v="1"/>
    <x v="0"/>
    <n v="3"/>
    <n v="76139"/>
    <n v="7.6138999999999998E-2"/>
    <n v="43252"/>
    <x v="0"/>
  </r>
  <r>
    <n v="60000520"/>
    <x v="27"/>
    <x v="1"/>
    <x v="0"/>
    <x v="10"/>
    <x v="1"/>
    <n v="0.32"/>
    <x v="1"/>
    <x v="8"/>
    <x v="1"/>
    <x v="33"/>
    <x v="0"/>
    <x v="1"/>
    <x v="0"/>
    <n v="7"/>
    <n v="44697"/>
    <n v="4.4697000000000001E-2"/>
    <n v="43252"/>
    <x v="0"/>
  </r>
  <r>
    <n v="60000521"/>
    <x v="39"/>
    <x v="1"/>
    <x v="0"/>
    <x v="7"/>
    <x v="0"/>
    <n v="0.32"/>
    <x v="1"/>
    <x v="14"/>
    <x v="2"/>
    <x v="17"/>
    <x v="0"/>
    <x v="1"/>
    <x v="0"/>
    <n v="3"/>
    <n v="29148"/>
    <n v="2.9148E-2"/>
    <n v="43252"/>
    <x v="0"/>
  </r>
  <r>
    <n v="60000522"/>
    <x v="23"/>
    <x v="1"/>
    <x v="1"/>
    <x v="9"/>
    <x v="2"/>
    <n v="0.3"/>
    <x v="3"/>
    <x v="12"/>
    <x v="5"/>
    <x v="43"/>
    <x v="1"/>
    <x v="1"/>
    <x v="1"/>
    <n v="7"/>
    <n v="46375"/>
    <n v="4.6375E-2"/>
    <n v="43252"/>
    <x v="0"/>
  </r>
  <r>
    <n v="60000523"/>
    <x v="39"/>
    <x v="0"/>
    <x v="1"/>
    <x v="3"/>
    <x v="0"/>
    <n v="0.1"/>
    <x v="4"/>
    <x v="13"/>
    <x v="2"/>
    <x v="27"/>
    <x v="0"/>
    <x v="1"/>
    <x v="0"/>
    <n v="6"/>
    <n v="46883"/>
    <n v="4.6883000000000001E-2"/>
    <n v="43252"/>
    <x v="0"/>
  </r>
  <r>
    <n v="60000524"/>
    <x v="20"/>
    <x v="1"/>
    <x v="0"/>
    <x v="10"/>
    <x v="2"/>
    <n v="0.22"/>
    <x v="0"/>
    <x v="10"/>
    <x v="7"/>
    <x v="0"/>
    <x v="2"/>
    <x v="1"/>
    <x v="0"/>
    <n v="0"/>
    <n v="35596"/>
    <n v="3.5596000000000003E-2"/>
    <n v="43252"/>
    <x v="0"/>
  </r>
  <r>
    <n v="60000525"/>
    <x v="22"/>
    <x v="1"/>
    <x v="1"/>
    <x v="2"/>
    <x v="2"/>
    <n v="0.37"/>
    <x v="1"/>
    <x v="8"/>
    <x v="2"/>
    <x v="37"/>
    <x v="0"/>
    <x v="1"/>
    <x v="0"/>
    <n v="4"/>
    <n v="47797"/>
    <n v="4.7796999999999999E-2"/>
    <n v="43252"/>
    <x v="0"/>
  </r>
  <r>
    <n v="60000526"/>
    <x v="9"/>
    <x v="0"/>
    <x v="1"/>
    <x v="2"/>
    <x v="2"/>
    <n v="0.13"/>
    <x v="2"/>
    <x v="12"/>
    <x v="4"/>
    <x v="2"/>
    <x v="1"/>
    <x v="1"/>
    <x v="1"/>
    <n v="7"/>
    <n v="84205"/>
    <n v="8.4205000000000002E-2"/>
    <n v="43252"/>
    <x v="0"/>
  </r>
  <r>
    <n v="60000527"/>
    <x v="5"/>
    <x v="1"/>
    <x v="1"/>
    <x v="1"/>
    <x v="2"/>
    <n v="0.31"/>
    <x v="3"/>
    <x v="6"/>
    <x v="9"/>
    <x v="8"/>
    <x v="2"/>
    <x v="1"/>
    <x v="1"/>
    <n v="0"/>
    <n v="40117"/>
    <n v="4.0117E-2"/>
    <n v="43252"/>
    <x v="0"/>
  </r>
  <r>
    <n v="60000528"/>
    <x v="18"/>
    <x v="0"/>
    <x v="0"/>
    <x v="5"/>
    <x v="2"/>
    <n v="0.24"/>
    <x v="0"/>
    <x v="12"/>
    <x v="4"/>
    <x v="42"/>
    <x v="1"/>
    <x v="1"/>
    <x v="0"/>
    <n v="0"/>
    <n v="41802"/>
    <n v="4.1801999999999999E-2"/>
    <n v="43252"/>
    <x v="0"/>
  </r>
  <r>
    <n v="60000529"/>
    <x v="5"/>
    <x v="0"/>
    <x v="0"/>
    <x v="4"/>
    <x v="2"/>
    <n v="0.34"/>
    <x v="1"/>
    <x v="9"/>
    <x v="9"/>
    <x v="29"/>
    <x v="0"/>
    <x v="1"/>
    <x v="1"/>
    <n v="0"/>
    <n v="69085"/>
    <n v="6.9084999999999994E-2"/>
    <n v="43252"/>
    <x v="0"/>
  </r>
  <r>
    <n v="60000530"/>
    <x v="5"/>
    <x v="0"/>
    <x v="1"/>
    <x v="9"/>
    <x v="2"/>
    <n v="0.38"/>
    <x v="1"/>
    <x v="6"/>
    <x v="7"/>
    <x v="40"/>
    <x v="1"/>
    <x v="1"/>
    <x v="1"/>
    <n v="6"/>
    <n v="51061"/>
    <n v="5.1061000000000002E-2"/>
    <n v="43252"/>
    <x v="0"/>
  </r>
  <r>
    <n v="60000531"/>
    <x v="5"/>
    <x v="0"/>
    <x v="1"/>
    <x v="4"/>
    <x v="2"/>
    <n v="0.14000000000000001"/>
    <x v="2"/>
    <x v="5"/>
    <x v="4"/>
    <x v="34"/>
    <x v="0"/>
    <x v="1"/>
    <x v="0"/>
    <n v="2"/>
    <n v="83923"/>
    <n v="8.3922999999999998E-2"/>
    <n v="43252"/>
    <x v="0"/>
  </r>
  <r>
    <n v="60000532"/>
    <x v="35"/>
    <x v="1"/>
    <x v="0"/>
    <x v="5"/>
    <x v="0"/>
    <n v="0.35"/>
    <x v="1"/>
    <x v="15"/>
    <x v="2"/>
    <x v="8"/>
    <x v="1"/>
    <x v="1"/>
    <x v="1"/>
    <n v="0"/>
    <n v="58922"/>
    <n v="5.8922000000000002E-2"/>
    <n v="43252"/>
    <x v="0"/>
  </r>
  <r>
    <n v="60000533"/>
    <x v="23"/>
    <x v="1"/>
    <x v="1"/>
    <x v="2"/>
    <x v="0"/>
    <n v="0.24"/>
    <x v="0"/>
    <x v="5"/>
    <x v="5"/>
    <x v="15"/>
    <x v="0"/>
    <x v="1"/>
    <x v="0"/>
    <n v="0"/>
    <n v="51571"/>
    <n v="5.1570999999999999E-2"/>
    <n v="43252"/>
    <x v="0"/>
  </r>
  <r>
    <n v="60000534"/>
    <x v="37"/>
    <x v="0"/>
    <x v="0"/>
    <x v="5"/>
    <x v="2"/>
    <n v="0.25"/>
    <x v="3"/>
    <x v="15"/>
    <x v="1"/>
    <x v="35"/>
    <x v="2"/>
    <x v="1"/>
    <x v="0"/>
    <n v="5"/>
    <n v="71370"/>
    <n v="7.1370000000000003E-2"/>
    <n v="43252"/>
    <x v="0"/>
  </r>
  <r>
    <n v="60000535"/>
    <x v="30"/>
    <x v="0"/>
    <x v="0"/>
    <x v="9"/>
    <x v="2"/>
    <n v="0.15"/>
    <x v="2"/>
    <x v="0"/>
    <x v="4"/>
    <x v="43"/>
    <x v="1"/>
    <x v="1"/>
    <x v="0"/>
    <n v="0"/>
    <n v="82397"/>
    <n v="8.2396999999999998E-2"/>
    <n v="43252"/>
    <x v="0"/>
  </r>
  <r>
    <n v="60000536"/>
    <x v="45"/>
    <x v="1"/>
    <x v="1"/>
    <x v="8"/>
    <x v="1"/>
    <n v="0.23"/>
    <x v="0"/>
    <x v="15"/>
    <x v="12"/>
    <x v="39"/>
    <x v="0"/>
    <x v="1"/>
    <x v="1"/>
    <n v="1"/>
    <n v="27825"/>
    <n v="2.7824999999999999E-2"/>
    <n v="43252"/>
    <x v="0"/>
  </r>
  <r>
    <n v="60000537"/>
    <x v="11"/>
    <x v="1"/>
    <x v="0"/>
    <x v="7"/>
    <x v="0"/>
    <n v="0.24"/>
    <x v="0"/>
    <x v="5"/>
    <x v="1"/>
    <x v="22"/>
    <x v="1"/>
    <x v="1"/>
    <x v="1"/>
    <n v="0"/>
    <n v="58041"/>
    <n v="5.8041000000000002E-2"/>
    <n v="43252"/>
    <x v="0"/>
  </r>
  <r>
    <n v="60000538"/>
    <x v="3"/>
    <x v="1"/>
    <x v="0"/>
    <x v="6"/>
    <x v="2"/>
    <n v="0.12"/>
    <x v="2"/>
    <x v="3"/>
    <x v="5"/>
    <x v="41"/>
    <x v="0"/>
    <x v="1"/>
    <x v="0"/>
    <n v="6"/>
    <n v="80139"/>
    <n v="8.0139000000000002E-2"/>
    <n v="43252"/>
    <x v="0"/>
  </r>
  <r>
    <n v="60000539"/>
    <x v="42"/>
    <x v="1"/>
    <x v="1"/>
    <x v="1"/>
    <x v="0"/>
    <n v="0.14000000000000001"/>
    <x v="2"/>
    <x v="6"/>
    <x v="1"/>
    <x v="14"/>
    <x v="2"/>
    <x v="1"/>
    <x v="0"/>
    <n v="2"/>
    <n v="70328"/>
    <n v="7.0328000000000002E-2"/>
    <n v="43252"/>
    <x v="0"/>
  </r>
  <r>
    <n v="60000540"/>
    <x v="19"/>
    <x v="1"/>
    <x v="1"/>
    <x v="5"/>
    <x v="1"/>
    <n v="0.2"/>
    <x v="0"/>
    <x v="3"/>
    <x v="3"/>
    <x v="46"/>
    <x v="0"/>
    <x v="1"/>
    <x v="1"/>
    <n v="0"/>
    <n v="39091"/>
    <n v="3.9091000000000001E-2"/>
    <n v="43252"/>
    <x v="0"/>
  </r>
  <r>
    <n v="60000541"/>
    <x v="12"/>
    <x v="0"/>
    <x v="0"/>
    <x v="10"/>
    <x v="2"/>
    <n v="0.31"/>
    <x v="3"/>
    <x v="11"/>
    <x v="5"/>
    <x v="3"/>
    <x v="2"/>
    <x v="1"/>
    <x v="1"/>
    <n v="0"/>
    <n v="57443"/>
    <n v="5.7443000000000001E-2"/>
    <n v="43252"/>
    <x v="0"/>
  </r>
  <r>
    <n v="60000542"/>
    <x v="33"/>
    <x v="0"/>
    <x v="1"/>
    <x v="1"/>
    <x v="2"/>
    <n v="0.37"/>
    <x v="1"/>
    <x v="5"/>
    <x v="5"/>
    <x v="38"/>
    <x v="1"/>
    <x v="1"/>
    <x v="1"/>
    <n v="0"/>
    <n v="37654"/>
    <n v="3.7654E-2"/>
    <n v="43252"/>
    <x v="0"/>
  </r>
  <r>
    <n v="60000543"/>
    <x v="32"/>
    <x v="0"/>
    <x v="1"/>
    <x v="11"/>
    <x v="2"/>
    <n v="0.31"/>
    <x v="3"/>
    <x v="8"/>
    <x v="11"/>
    <x v="13"/>
    <x v="1"/>
    <x v="1"/>
    <x v="0"/>
    <n v="0"/>
    <n v="76747"/>
    <n v="7.6746999999999996E-2"/>
    <n v="43252"/>
    <x v="0"/>
  </r>
  <r>
    <n v="60000544"/>
    <x v="21"/>
    <x v="1"/>
    <x v="0"/>
    <x v="5"/>
    <x v="2"/>
    <n v="0.22"/>
    <x v="0"/>
    <x v="5"/>
    <x v="8"/>
    <x v="1"/>
    <x v="2"/>
    <x v="1"/>
    <x v="0"/>
    <n v="7"/>
    <n v="79615"/>
    <n v="7.9615000000000005E-2"/>
    <n v="43252"/>
    <x v="0"/>
  </r>
  <r>
    <n v="60000545"/>
    <x v="43"/>
    <x v="0"/>
    <x v="1"/>
    <x v="3"/>
    <x v="0"/>
    <n v="0.18"/>
    <x v="2"/>
    <x v="15"/>
    <x v="8"/>
    <x v="2"/>
    <x v="1"/>
    <x v="1"/>
    <x v="0"/>
    <n v="0"/>
    <n v="51669"/>
    <n v="5.1669E-2"/>
    <n v="43252"/>
    <x v="0"/>
  </r>
  <r>
    <n v="60000546"/>
    <x v="4"/>
    <x v="1"/>
    <x v="1"/>
    <x v="11"/>
    <x v="1"/>
    <n v="0.21"/>
    <x v="0"/>
    <x v="11"/>
    <x v="12"/>
    <x v="32"/>
    <x v="0"/>
    <x v="1"/>
    <x v="0"/>
    <n v="0"/>
    <n v="45235"/>
    <n v="4.5234999999999997E-2"/>
    <n v="43252"/>
    <x v="0"/>
  </r>
  <r>
    <n v="60000547"/>
    <x v="15"/>
    <x v="1"/>
    <x v="0"/>
    <x v="2"/>
    <x v="1"/>
    <n v="0.33"/>
    <x v="1"/>
    <x v="8"/>
    <x v="12"/>
    <x v="14"/>
    <x v="2"/>
    <x v="1"/>
    <x v="1"/>
    <n v="0"/>
    <n v="69731"/>
    <n v="6.9731000000000001E-2"/>
    <n v="43252"/>
    <x v="0"/>
  </r>
  <r>
    <n v="60000548"/>
    <x v="37"/>
    <x v="1"/>
    <x v="0"/>
    <x v="11"/>
    <x v="2"/>
    <n v="0.17"/>
    <x v="2"/>
    <x v="15"/>
    <x v="5"/>
    <x v="40"/>
    <x v="1"/>
    <x v="1"/>
    <x v="1"/>
    <n v="0"/>
    <n v="40946"/>
    <n v="4.0946000000000003E-2"/>
    <n v="43252"/>
    <x v="0"/>
  </r>
  <r>
    <n v="60000549"/>
    <x v="27"/>
    <x v="0"/>
    <x v="0"/>
    <x v="7"/>
    <x v="0"/>
    <n v="0.33"/>
    <x v="1"/>
    <x v="5"/>
    <x v="1"/>
    <x v="26"/>
    <x v="2"/>
    <x v="1"/>
    <x v="1"/>
    <n v="0"/>
    <n v="69945"/>
    <n v="6.9944999999999993E-2"/>
    <n v="43252"/>
    <x v="0"/>
  </r>
  <r>
    <n v="60000550"/>
    <x v="26"/>
    <x v="0"/>
    <x v="1"/>
    <x v="2"/>
    <x v="0"/>
    <n v="0.33"/>
    <x v="1"/>
    <x v="14"/>
    <x v="4"/>
    <x v="8"/>
    <x v="0"/>
    <x v="1"/>
    <x v="1"/>
    <n v="0"/>
    <n v="67008"/>
    <n v="6.7007999999999998E-2"/>
    <n v="43252"/>
    <x v="0"/>
  </r>
  <r>
    <n v="60000551"/>
    <x v="12"/>
    <x v="1"/>
    <x v="0"/>
    <x v="2"/>
    <x v="1"/>
    <n v="0.21"/>
    <x v="0"/>
    <x v="11"/>
    <x v="12"/>
    <x v="10"/>
    <x v="0"/>
    <x v="1"/>
    <x v="1"/>
    <n v="4"/>
    <n v="56667"/>
    <n v="5.6667000000000002E-2"/>
    <n v="43252"/>
    <x v="0"/>
  </r>
  <r>
    <n v="60000552"/>
    <x v="4"/>
    <x v="0"/>
    <x v="1"/>
    <x v="2"/>
    <x v="1"/>
    <n v="0.28000000000000003"/>
    <x v="3"/>
    <x v="12"/>
    <x v="5"/>
    <x v="23"/>
    <x v="2"/>
    <x v="1"/>
    <x v="1"/>
    <n v="0"/>
    <n v="32042"/>
    <n v="3.2042000000000001E-2"/>
    <n v="43252"/>
    <x v="0"/>
  </r>
  <r>
    <n v="60000553"/>
    <x v="22"/>
    <x v="1"/>
    <x v="0"/>
    <x v="1"/>
    <x v="2"/>
    <n v="0.35"/>
    <x v="1"/>
    <x v="8"/>
    <x v="7"/>
    <x v="17"/>
    <x v="0"/>
    <x v="1"/>
    <x v="0"/>
    <n v="7"/>
    <n v="57373"/>
    <n v="5.7373E-2"/>
    <n v="43252"/>
    <x v="0"/>
  </r>
  <r>
    <n v="60000554"/>
    <x v="8"/>
    <x v="0"/>
    <x v="0"/>
    <x v="1"/>
    <x v="2"/>
    <n v="0.11"/>
    <x v="4"/>
    <x v="15"/>
    <x v="6"/>
    <x v="1"/>
    <x v="2"/>
    <x v="1"/>
    <x v="1"/>
    <n v="0"/>
    <n v="34399"/>
    <n v="3.4398999999999999E-2"/>
    <n v="43252"/>
    <x v="0"/>
  </r>
  <r>
    <n v="60000555"/>
    <x v="11"/>
    <x v="0"/>
    <x v="1"/>
    <x v="9"/>
    <x v="0"/>
    <n v="0.38"/>
    <x v="1"/>
    <x v="1"/>
    <x v="8"/>
    <x v="42"/>
    <x v="1"/>
    <x v="1"/>
    <x v="1"/>
    <n v="0"/>
    <n v="65066"/>
    <n v="6.5065999999999999E-2"/>
    <n v="43252"/>
    <x v="0"/>
  </r>
  <r>
    <n v="60000556"/>
    <x v="7"/>
    <x v="0"/>
    <x v="1"/>
    <x v="2"/>
    <x v="0"/>
    <n v="0.15"/>
    <x v="2"/>
    <x v="7"/>
    <x v="3"/>
    <x v="22"/>
    <x v="1"/>
    <x v="1"/>
    <x v="0"/>
    <n v="0"/>
    <n v="25621"/>
    <n v="2.5621000000000001E-2"/>
    <n v="43252"/>
    <x v="0"/>
  </r>
  <r>
    <n v="60000557"/>
    <x v="22"/>
    <x v="1"/>
    <x v="1"/>
    <x v="1"/>
    <x v="1"/>
    <n v="0.23"/>
    <x v="0"/>
    <x v="14"/>
    <x v="3"/>
    <x v="28"/>
    <x v="0"/>
    <x v="1"/>
    <x v="0"/>
    <n v="7"/>
    <n v="81039"/>
    <n v="8.1039E-2"/>
    <n v="43252"/>
    <x v="0"/>
  </r>
  <r>
    <n v="60000558"/>
    <x v="26"/>
    <x v="0"/>
    <x v="0"/>
    <x v="2"/>
    <x v="1"/>
    <n v="0.23"/>
    <x v="0"/>
    <x v="14"/>
    <x v="11"/>
    <x v="0"/>
    <x v="2"/>
    <x v="1"/>
    <x v="0"/>
    <n v="0"/>
    <n v="60055"/>
    <n v="6.0054999999999997E-2"/>
    <n v="43252"/>
    <x v="0"/>
  </r>
  <r>
    <n v="60000559"/>
    <x v="0"/>
    <x v="0"/>
    <x v="0"/>
    <x v="10"/>
    <x v="2"/>
    <n v="0.31"/>
    <x v="3"/>
    <x v="10"/>
    <x v="2"/>
    <x v="45"/>
    <x v="1"/>
    <x v="1"/>
    <x v="1"/>
    <n v="4"/>
    <n v="59665"/>
    <n v="5.9665000000000003E-2"/>
    <n v="43252"/>
    <x v="0"/>
  </r>
  <r>
    <n v="60000560"/>
    <x v="9"/>
    <x v="1"/>
    <x v="1"/>
    <x v="5"/>
    <x v="0"/>
    <n v="0.18"/>
    <x v="2"/>
    <x v="8"/>
    <x v="4"/>
    <x v="33"/>
    <x v="2"/>
    <x v="1"/>
    <x v="1"/>
    <n v="2"/>
    <n v="79766"/>
    <n v="7.9766000000000004E-2"/>
    <n v="43252"/>
    <x v="0"/>
  </r>
  <r>
    <n v="60000561"/>
    <x v="34"/>
    <x v="1"/>
    <x v="0"/>
    <x v="0"/>
    <x v="0"/>
    <n v="0.26"/>
    <x v="3"/>
    <x v="0"/>
    <x v="10"/>
    <x v="28"/>
    <x v="0"/>
    <x v="1"/>
    <x v="0"/>
    <n v="0"/>
    <n v="72085"/>
    <n v="7.2084999999999996E-2"/>
    <n v="43252"/>
    <x v="0"/>
  </r>
  <r>
    <n v="60000562"/>
    <x v="24"/>
    <x v="1"/>
    <x v="0"/>
    <x v="6"/>
    <x v="2"/>
    <n v="0.2"/>
    <x v="0"/>
    <x v="14"/>
    <x v="5"/>
    <x v="36"/>
    <x v="0"/>
    <x v="1"/>
    <x v="0"/>
    <n v="0"/>
    <n v="30210"/>
    <n v="3.0210000000000001E-2"/>
    <n v="43252"/>
    <x v="0"/>
  </r>
  <r>
    <n v="60000563"/>
    <x v="36"/>
    <x v="1"/>
    <x v="0"/>
    <x v="1"/>
    <x v="0"/>
    <n v="0.34"/>
    <x v="1"/>
    <x v="5"/>
    <x v="7"/>
    <x v="48"/>
    <x v="1"/>
    <x v="1"/>
    <x v="0"/>
    <n v="2"/>
    <n v="71522"/>
    <n v="7.1522000000000002E-2"/>
    <n v="43252"/>
    <x v="0"/>
  </r>
  <r>
    <n v="60000564"/>
    <x v="42"/>
    <x v="1"/>
    <x v="0"/>
    <x v="3"/>
    <x v="2"/>
    <n v="0.19"/>
    <x v="0"/>
    <x v="6"/>
    <x v="8"/>
    <x v="32"/>
    <x v="2"/>
    <x v="1"/>
    <x v="1"/>
    <n v="0"/>
    <n v="72112"/>
    <n v="7.2111999999999996E-2"/>
    <n v="43252"/>
    <x v="0"/>
  </r>
  <r>
    <n v="60000565"/>
    <x v="7"/>
    <x v="1"/>
    <x v="0"/>
    <x v="7"/>
    <x v="0"/>
    <n v="0.1"/>
    <x v="4"/>
    <x v="3"/>
    <x v="9"/>
    <x v="31"/>
    <x v="0"/>
    <x v="1"/>
    <x v="0"/>
    <n v="2"/>
    <n v="23879"/>
    <n v="2.3879000000000001E-2"/>
    <n v="43252"/>
    <x v="0"/>
  </r>
  <r>
    <n v="60000566"/>
    <x v="17"/>
    <x v="1"/>
    <x v="1"/>
    <x v="8"/>
    <x v="0"/>
    <n v="0.37"/>
    <x v="1"/>
    <x v="5"/>
    <x v="5"/>
    <x v="8"/>
    <x v="0"/>
    <x v="1"/>
    <x v="1"/>
    <n v="0"/>
    <n v="51537"/>
    <n v="5.1536999999999999E-2"/>
    <n v="43252"/>
    <x v="0"/>
  </r>
  <r>
    <n v="60000567"/>
    <x v="41"/>
    <x v="0"/>
    <x v="1"/>
    <x v="8"/>
    <x v="0"/>
    <n v="0.36"/>
    <x v="1"/>
    <x v="10"/>
    <x v="11"/>
    <x v="34"/>
    <x v="2"/>
    <x v="1"/>
    <x v="1"/>
    <n v="0"/>
    <n v="73829"/>
    <n v="7.3829000000000006E-2"/>
    <n v="43252"/>
    <x v="0"/>
  </r>
  <r>
    <n v="60000568"/>
    <x v="41"/>
    <x v="0"/>
    <x v="0"/>
    <x v="2"/>
    <x v="2"/>
    <n v="0.12"/>
    <x v="2"/>
    <x v="5"/>
    <x v="5"/>
    <x v="35"/>
    <x v="2"/>
    <x v="1"/>
    <x v="0"/>
    <n v="6"/>
    <n v="55684"/>
    <n v="5.5683999999999997E-2"/>
    <n v="43252"/>
    <x v="0"/>
  </r>
  <r>
    <n v="60000569"/>
    <x v="33"/>
    <x v="1"/>
    <x v="0"/>
    <x v="6"/>
    <x v="2"/>
    <n v="0.34"/>
    <x v="1"/>
    <x v="3"/>
    <x v="9"/>
    <x v="47"/>
    <x v="2"/>
    <x v="1"/>
    <x v="1"/>
    <n v="1"/>
    <n v="66711"/>
    <n v="6.6711000000000006E-2"/>
    <n v="43252"/>
    <x v="0"/>
  </r>
  <r>
    <n v="60000570"/>
    <x v="16"/>
    <x v="1"/>
    <x v="1"/>
    <x v="7"/>
    <x v="2"/>
    <n v="0.35"/>
    <x v="1"/>
    <x v="2"/>
    <x v="0"/>
    <x v="35"/>
    <x v="1"/>
    <x v="1"/>
    <x v="1"/>
    <n v="4"/>
    <n v="35715"/>
    <n v="3.5714999999999997E-2"/>
    <n v="43252"/>
    <x v="0"/>
  </r>
  <r>
    <n v="60000571"/>
    <x v="10"/>
    <x v="1"/>
    <x v="0"/>
    <x v="0"/>
    <x v="1"/>
    <n v="0.38"/>
    <x v="1"/>
    <x v="1"/>
    <x v="4"/>
    <x v="38"/>
    <x v="0"/>
    <x v="1"/>
    <x v="0"/>
    <n v="5"/>
    <n v="74814"/>
    <n v="7.4814000000000005E-2"/>
    <n v="43252"/>
    <x v="0"/>
  </r>
  <r>
    <n v="60000572"/>
    <x v="6"/>
    <x v="0"/>
    <x v="0"/>
    <x v="5"/>
    <x v="2"/>
    <n v="0.13"/>
    <x v="2"/>
    <x v="9"/>
    <x v="2"/>
    <x v="40"/>
    <x v="1"/>
    <x v="1"/>
    <x v="0"/>
    <n v="0"/>
    <n v="83368"/>
    <n v="8.3367999999999998E-2"/>
    <n v="43252"/>
    <x v="0"/>
  </r>
  <r>
    <n v="60000573"/>
    <x v="34"/>
    <x v="0"/>
    <x v="0"/>
    <x v="6"/>
    <x v="1"/>
    <n v="0.13"/>
    <x v="2"/>
    <x v="13"/>
    <x v="9"/>
    <x v="3"/>
    <x v="2"/>
    <x v="1"/>
    <x v="0"/>
    <n v="0"/>
    <n v="37503"/>
    <n v="3.7503000000000002E-2"/>
    <n v="43252"/>
    <x v="0"/>
  </r>
  <r>
    <n v="60000574"/>
    <x v="13"/>
    <x v="0"/>
    <x v="1"/>
    <x v="9"/>
    <x v="1"/>
    <n v="0.12"/>
    <x v="2"/>
    <x v="5"/>
    <x v="0"/>
    <x v="8"/>
    <x v="1"/>
    <x v="1"/>
    <x v="0"/>
    <n v="0"/>
    <n v="24263"/>
    <n v="2.4263E-2"/>
    <n v="43252"/>
    <x v="0"/>
  </r>
  <r>
    <n v="60000575"/>
    <x v="1"/>
    <x v="1"/>
    <x v="0"/>
    <x v="4"/>
    <x v="1"/>
    <n v="0.14000000000000001"/>
    <x v="2"/>
    <x v="10"/>
    <x v="10"/>
    <x v="42"/>
    <x v="1"/>
    <x v="1"/>
    <x v="0"/>
    <n v="0"/>
    <n v="41770"/>
    <n v="4.1770000000000002E-2"/>
    <n v="43252"/>
    <x v="0"/>
  </r>
  <r>
    <n v="60000576"/>
    <x v="38"/>
    <x v="0"/>
    <x v="0"/>
    <x v="9"/>
    <x v="0"/>
    <n v="0.3"/>
    <x v="3"/>
    <x v="11"/>
    <x v="8"/>
    <x v="4"/>
    <x v="0"/>
    <x v="1"/>
    <x v="0"/>
    <n v="0"/>
    <n v="55840"/>
    <n v="5.5840000000000001E-2"/>
    <n v="43252"/>
    <x v="0"/>
  </r>
  <r>
    <n v="60000577"/>
    <x v="24"/>
    <x v="1"/>
    <x v="0"/>
    <x v="1"/>
    <x v="1"/>
    <n v="0.11"/>
    <x v="4"/>
    <x v="11"/>
    <x v="12"/>
    <x v="9"/>
    <x v="0"/>
    <x v="1"/>
    <x v="0"/>
    <n v="1"/>
    <n v="72353"/>
    <n v="7.2353000000000001E-2"/>
    <n v="43252"/>
    <x v="0"/>
  </r>
  <r>
    <n v="60000578"/>
    <x v="27"/>
    <x v="1"/>
    <x v="0"/>
    <x v="7"/>
    <x v="2"/>
    <n v="0.36"/>
    <x v="1"/>
    <x v="8"/>
    <x v="5"/>
    <x v="17"/>
    <x v="1"/>
    <x v="1"/>
    <x v="0"/>
    <n v="6"/>
    <n v="40780"/>
    <n v="4.0779999999999997E-2"/>
    <n v="43252"/>
    <x v="0"/>
  </r>
  <r>
    <n v="60000579"/>
    <x v="10"/>
    <x v="1"/>
    <x v="1"/>
    <x v="8"/>
    <x v="2"/>
    <n v="0.26"/>
    <x v="3"/>
    <x v="10"/>
    <x v="7"/>
    <x v="27"/>
    <x v="2"/>
    <x v="1"/>
    <x v="0"/>
    <n v="7"/>
    <n v="76617"/>
    <n v="7.6617000000000005E-2"/>
    <n v="43252"/>
    <x v="0"/>
  </r>
  <r>
    <n v="60000580"/>
    <x v="44"/>
    <x v="0"/>
    <x v="1"/>
    <x v="6"/>
    <x v="0"/>
    <n v="0.15"/>
    <x v="2"/>
    <x v="3"/>
    <x v="4"/>
    <x v="5"/>
    <x v="0"/>
    <x v="1"/>
    <x v="1"/>
    <n v="0"/>
    <n v="68090"/>
    <n v="6.8089999999999998E-2"/>
    <n v="43252"/>
    <x v="0"/>
  </r>
  <r>
    <n v="60000581"/>
    <x v="45"/>
    <x v="1"/>
    <x v="1"/>
    <x v="10"/>
    <x v="0"/>
    <n v="0.1"/>
    <x v="4"/>
    <x v="4"/>
    <x v="12"/>
    <x v="32"/>
    <x v="1"/>
    <x v="1"/>
    <x v="0"/>
    <n v="7"/>
    <n v="46276"/>
    <n v="4.6275999999999998E-2"/>
    <n v="43252"/>
    <x v="0"/>
  </r>
  <r>
    <n v="60000582"/>
    <x v="5"/>
    <x v="1"/>
    <x v="0"/>
    <x v="2"/>
    <x v="0"/>
    <n v="0.11"/>
    <x v="4"/>
    <x v="4"/>
    <x v="11"/>
    <x v="23"/>
    <x v="0"/>
    <x v="1"/>
    <x v="0"/>
    <n v="7"/>
    <n v="41093"/>
    <n v="4.1092999999999998E-2"/>
    <n v="43252"/>
    <x v="0"/>
  </r>
  <r>
    <n v="60000583"/>
    <x v="2"/>
    <x v="1"/>
    <x v="1"/>
    <x v="5"/>
    <x v="0"/>
    <n v="0.36"/>
    <x v="1"/>
    <x v="1"/>
    <x v="12"/>
    <x v="13"/>
    <x v="0"/>
    <x v="1"/>
    <x v="1"/>
    <n v="1"/>
    <n v="53884"/>
    <n v="5.3884000000000001E-2"/>
    <n v="43252"/>
    <x v="0"/>
  </r>
  <r>
    <n v="60000584"/>
    <x v="10"/>
    <x v="0"/>
    <x v="0"/>
    <x v="5"/>
    <x v="2"/>
    <n v="0.32"/>
    <x v="1"/>
    <x v="15"/>
    <x v="8"/>
    <x v="5"/>
    <x v="1"/>
    <x v="1"/>
    <x v="1"/>
    <n v="0"/>
    <n v="76973"/>
    <n v="7.6973E-2"/>
    <n v="43252"/>
    <x v="0"/>
  </r>
  <r>
    <n v="60000585"/>
    <x v="33"/>
    <x v="1"/>
    <x v="1"/>
    <x v="1"/>
    <x v="1"/>
    <n v="0.14000000000000001"/>
    <x v="2"/>
    <x v="9"/>
    <x v="8"/>
    <x v="39"/>
    <x v="0"/>
    <x v="1"/>
    <x v="0"/>
    <n v="0"/>
    <n v="45982"/>
    <n v="4.5982000000000002E-2"/>
    <n v="43252"/>
    <x v="0"/>
  </r>
  <r>
    <n v="60000586"/>
    <x v="12"/>
    <x v="1"/>
    <x v="1"/>
    <x v="3"/>
    <x v="2"/>
    <n v="0.27"/>
    <x v="3"/>
    <x v="15"/>
    <x v="12"/>
    <x v="22"/>
    <x v="1"/>
    <x v="1"/>
    <x v="0"/>
    <n v="0"/>
    <n v="28570"/>
    <n v="2.8570000000000002E-2"/>
    <n v="43252"/>
    <x v="0"/>
  </r>
  <r>
    <n v="60000587"/>
    <x v="29"/>
    <x v="0"/>
    <x v="0"/>
    <x v="5"/>
    <x v="1"/>
    <n v="0.22"/>
    <x v="0"/>
    <x v="12"/>
    <x v="10"/>
    <x v="46"/>
    <x v="0"/>
    <x v="1"/>
    <x v="0"/>
    <n v="4"/>
    <n v="71377"/>
    <n v="7.1376999999999996E-2"/>
    <n v="43252"/>
    <x v="0"/>
  </r>
  <r>
    <n v="60000588"/>
    <x v="3"/>
    <x v="1"/>
    <x v="0"/>
    <x v="6"/>
    <x v="2"/>
    <n v="0.26"/>
    <x v="3"/>
    <x v="1"/>
    <x v="12"/>
    <x v="18"/>
    <x v="0"/>
    <x v="1"/>
    <x v="1"/>
    <n v="0"/>
    <n v="57215"/>
    <n v="5.7215000000000002E-2"/>
    <n v="43252"/>
    <x v="0"/>
  </r>
  <r>
    <n v="60000589"/>
    <x v="19"/>
    <x v="0"/>
    <x v="1"/>
    <x v="8"/>
    <x v="0"/>
    <n v="0.37"/>
    <x v="1"/>
    <x v="15"/>
    <x v="3"/>
    <x v="7"/>
    <x v="1"/>
    <x v="1"/>
    <x v="0"/>
    <n v="2"/>
    <n v="48218"/>
    <n v="4.8217999999999997E-2"/>
    <n v="43252"/>
    <x v="0"/>
  </r>
  <r>
    <n v="60000590"/>
    <x v="7"/>
    <x v="0"/>
    <x v="0"/>
    <x v="11"/>
    <x v="0"/>
    <n v="0.18"/>
    <x v="2"/>
    <x v="7"/>
    <x v="8"/>
    <x v="45"/>
    <x v="1"/>
    <x v="1"/>
    <x v="0"/>
    <n v="0"/>
    <n v="50569"/>
    <n v="5.0569000000000003E-2"/>
    <n v="43252"/>
    <x v="0"/>
  </r>
  <r>
    <n v="60000591"/>
    <x v="41"/>
    <x v="1"/>
    <x v="0"/>
    <x v="8"/>
    <x v="0"/>
    <n v="0.28000000000000003"/>
    <x v="3"/>
    <x v="5"/>
    <x v="2"/>
    <x v="4"/>
    <x v="1"/>
    <x v="1"/>
    <x v="0"/>
    <n v="0"/>
    <n v="65399"/>
    <n v="6.5398999999999999E-2"/>
    <n v="43252"/>
    <x v="0"/>
  </r>
  <r>
    <n v="60000592"/>
    <x v="32"/>
    <x v="1"/>
    <x v="1"/>
    <x v="11"/>
    <x v="2"/>
    <n v="0.28000000000000003"/>
    <x v="3"/>
    <x v="10"/>
    <x v="12"/>
    <x v="28"/>
    <x v="2"/>
    <x v="1"/>
    <x v="0"/>
    <n v="0"/>
    <n v="52033"/>
    <n v="5.2033000000000003E-2"/>
    <n v="43252"/>
    <x v="0"/>
  </r>
  <r>
    <n v="60000593"/>
    <x v="23"/>
    <x v="1"/>
    <x v="1"/>
    <x v="3"/>
    <x v="0"/>
    <n v="0.13"/>
    <x v="2"/>
    <x v="1"/>
    <x v="11"/>
    <x v="42"/>
    <x v="1"/>
    <x v="1"/>
    <x v="0"/>
    <n v="0"/>
    <n v="68451"/>
    <n v="6.8450999999999998E-2"/>
    <n v="43252"/>
    <x v="0"/>
  </r>
  <r>
    <n v="60000594"/>
    <x v="32"/>
    <x v="0"/>
    <x v="1"/>
    <x v="9"/>
    <x v="1"/>
    <n v="0.19"/>
    <x v="0"/>
    <x v="0"/>
    <x v="3"/>
    <x v="29"/>
    <x v="1"/>
    <x v="1"/>
    <x v="1"/>
    <n v="0"/>
    <n v="25667"/>
    <n v="2.5666999999999999E-2"/>
    <n v="43252"/>
    <x v="0"/>
  </r>
  <r>
    <n v="60000595"/>
    <x v="17"/>
    <x v="0"/>
    <x v="0"/>
    <x v="11"/>
    <x v="0"/>
    <n v="0.2"/>
    <x v="0"/>
    <x v="11"/>
    <x v="7"/>
    <x v="37"/>
    <x v="0"/>
    <x v="1"/>
    <x v="1"/>
    <n v="0"/>
    <n v="83560"/>
    <n v="8.3559999999999995E-2"/>
    <n v="43252"/>
    <x v="0"/>
  </r>
  <r>
    <n v="60000596"/>
    <x v="34"/>
    <x v="1"/>
    <x v="1"/>
    <x v="9"/>
    <x v="2"/>
    <n v="0.26"/>
    <x v="3"/>
    <x v="5"/>
    <x v="11"/>
    <x v="48"/>
    <x v="0"/>
    <x v="1"/>
    <x v="0"/>
    <n v="0"/>
    <n v="57917"/>
    <n v="5.7917000000000003E-2"/>
    <n v="43252"/>
    <x v="0"/>
  </r>
  <r>
    <n v="60000597"/>
    <x v="32"/>
    <x v="1"/>
    <x v="0"/>
    <x v="3"/>
    <x v="1"/>
    <n v="0.16"/>
    <x v="2"/>
    <x v="11"/>
    <x v="6"/>
    <x v="38"/>
    <x v="1"/>
    <x v="1"/>
    <x v="0"/>
    <n v="0"/>
    <n v="50258"/>
    <n v="5.0257999999999997E-2"/>
    <n v="43252"/>
    <x v="0"/>
  </r>
  <r>
    <n v="60000598"/>
    <x v="8"/>
    <x v="1"/>
    <x v="1"/>
    <x v="7"/>
    <x v="1"/>
    <n v="0.15"/>
    <x v="2"/>
    <x v="1"/>
    <x v="7"/>
    <x v="36"/>
    <x v="0"/>
    <x v="1"/>
    <x v="1"/>
    <n v="1"/>
    <n v="53537"/>
    <n v="5.3537000000000001E-2"/>
    <n v="43252"/>
    <x v="0"/>
  </r>
  <r>
    <n v="60000599"/>
    <x v="10"/>
    <x v="0"/>
    <x v="1"/>
    <x v="7"/>
    <x v="1"/>
    <n v="0.22"/>
    <x v="0"/>
    <x v="9"/>
    <x v="5"/>
    <x v="9"/>
    <x v="1"/>
    <x v="1"/>
    <x v="1"/>
    <n v="5"/>
    <n v="36408"/>
    <n v="3.6408000000000003E-2"/>
    <n v="43252"/>
    <x v="0"/>
  </r>
  <r>
    <n v="60000600"/>
    <x v="27"/>
    <x v="1"/>
    <x v="1"/>
    <x v="8"/>
    <x v="0"/>
    <n v="0.22"/>
    <x v="0"/>
    <x v="14"/>
    <x v="9"/>
    <x v="33"/>
    <x v="0"/>
    <x v="1"/>
    <x v="1"/>
    <n v="0"/>
    <n v="68952"/>
    <n v="6.8951999999999999E-2"/>
    <n v="43252"/>
    <x v="0"/>
  </r>
  <r>
    <n v="60000601"/>
    <x v="30"/>
    <x v="0"/>
    <x v="0"/>
    <x v="1"/>
    <x v="1"/>
    <n v="0.27"/>
    <x v="3"/>
    <x v="4"/>
    <x v="3"/>
    <x v="7"/>
    <x v="1"/>
    <x v="1"/>
    <x v="0"/>
    <n v="0"/>
    <n v="64036"/>
    <n v="6.4035999999999996E-2"/>
    <n v="43252"/>
    <x v="0"/>
  </r>
  <r>
    <n v="60000602"/>
    <x v="18"/>
    <x v="1"/>
    <x v="1"/>
    <x v="9"/>
    <x v="2"/>
    <n v="0.18"/>
    <x v="2"/>
    <x v="7"/>
    <x v="2"/>
    <x v="30"/>
    <x v="2"/>
    <x v="1"/>
    <x v="0"/>
    <n v="0"/>
    <n v="56531"/>
    <n v="5.6530999999999998E-2"/>
    <n v="43252"/>
    <x v="0"/>
  </r>
  <r>
    <n v="60000603"/>
    <x v="7"/>
    <x v="0"/>
    <x v="0"/>
    <x v="11"/>
    <x v="0"/>
    <n v="0.18"/>
    <x v="2"/>
    <x v="2"/>
    <x v="5"/>
    <x v="16"/>
    <x v="1"/>
    <x v="1"/>
    <x v="0"/>
    <n v="0"/>
    <n v="75914"/>
    <n v="7.5913999999999995E-2"/>
    <n v="43252"/>
    <x v="0"/>
  </r>
  <r>
    <n v="60000604"/>
    <x v="37"/>
    <x v="0"/>
    <x v="0"/>
    <x v="5"/>
    <x v="1"/>
    <n v="0.14000000000000001"/>
    <x v="2"/>
    <x v="14"/>
    <x v="3"/>
    <x v="12"/>
    <x v="2"/>
    <x v="1"/>
    <x v="1"/>
    <n v="4"/>
    <n v="68867"/>
    <n v="6.8866999999999998E-2"/>
    <n v="43252"/>
    <x v="0"/>
  </r>
  <r>
    <n v="60000605"/>
    <x v="30"/>
    <x v="1"/>
    <x v="0"/>
    <x v="5"/>
    <x v="0"/>
    <n v="0.14000000000000001"/>
    <x v="2"/>
    <x v="1"/>
    <x v="7"/>
    <x v="47"/>
    <x v="2"/>
    <x v="1"/>
    <x v="0"/>
    <n v="0"/>
    <n v="68635"/>
    <n v="6.8635000000000002E-2"/>
    <n v="43252"/>
    <x v="0"/>
  </r>
  <r>
    <n v="60000606"/>
    <x v="9"/>
    <x v="1"/>
    <x v="1"/>
    <x v="6"/>
    <x v="0"/>
    <n v="0.34"/>
    <x v="1"/>
    <x v="7"/>
    <x v="5"/>
    <x v="9"/>
    <x v="2"/>
    <x v="1"/>
    <x v="0"/>
    <n v="3"/>
    <n v="81611"/>
    <n v="8.1611000000000003E-2"/>
    <n v="43252"/>
    <x v="0"/>
  </r>
  <r>
    <n v="60000607"/>
    <x v="3"/>
    <x v="0"/>
    <x v="0"/>
    <x v="1"/>
    <x v="0"/>
    <n v="0.33"/>
    <x v="1"/>
    <x v="5"/>
    <x v="4"/>
    <x v="27"/>
    <x v="2"/>
    <x v="1"/>
    <x v="1"/>
    <n v="5"/>
    <n v="48508"/>
    <n v="4.8508000000000003E-2"/>
    <n v="43252"/>
    <x v="0"/>
  </r>
  <r>
    <n v="60000608"/>
    <x v="11"/>
    <x v="1"/>
    <x v="1"/>
    <x v="8"/>
    <x v="0"/>
    <n v="0.37"/>
    <x v="1"/>
    <x v="0"/>
    <x v="1"/>
    <x v="39"/>
    <x v="2"/>
    <x v="1"/>
    <x v="0"/>
    <n v="0"/>
    <n v="70933"/>
    <n v="7.0932999999999996E-2"/>
    <n v="43252"/>
    <x v="0"/>
  </r>
  <r>
    <n v="60000609"/>
    <x v="36"/>
    <x v="1"/>
    <x v="1"/>
    <x v="1"/>
    <x v="1"/>
    <n v="0.25"/>
    <x v="3"/>
    <x v="5"/>
    <x v="3"/>
    <x v="20"/>
    <x v="1"/>
    <x v="1"/>
    <x v="0"/>
    <n v="4"/>
    <n v="48153"/>
    <n v="4.8153000000000001E-2"/>
    <n v="43252"/>
    <x v="0"/>
  </r>
  <r>
    <n v="60000610"/>
    <x v="14"/>
    <x v="0"/>
    <x v="0"/>
    <x v="2"/>
    <x v="0"/>
    <n v="0.25"/>
    <x v="3"/>
    <x v="3"/>
    <x v="0"/>
    <x v="4"/>
    <x v="2"/>
    <x v="1"/>
    <x v="0"/>
    <n v="0"/>
    <n v="45766"/>
    <n v="4.5766000000000001E-2"/>
    <n v="43252"/>
    <x v="0"/>
  </r>
  <r>
    <n v="60000611"/>
    <x v="5"/>
    <x v="0"/>
    <x v="0"/>
    <x v="11"/>
    <x v="1"/>
    <n v="0.12"/>
    <x v="2"/>
    <x v="5"/>
    <x v="2"/>
    <x v="45"/>
    <x v="0"/>
    <x v="1"/>
    <x v="0"/>
    <n v="2"/>
    <n v="28478"/>
    <n v="2.8478E-2"/>
    <n v="43252"/>
    <x v="0"/>
  </r>
  <r>
    <n v="60000612"/>
    <x v="15"/>
    <x v="0"/>
    <x v="0"/>
    <x v="6"/>
    <x v="0"/>
    <n v="0.23"/>
    <x v="0"/>
    <x v="1"/>
    <x v="10"/>
    <x v="29"/>
    <x v="2"/>
    <x v="1"/>
    <x v="1"/>
    <n v="5"/>
    <n v="69741"/>
    <n v="6.9740999999999997E-2"/>
    <n v="43252"/>
    <x v="0"/>
  </r>
  <r>
    <n v="60000613"/>
    <x v="1"/>
    <x v="1"/>
    <x v="0"/>
    <x v="5"/>
    <x v="0"/>
    <n v="0.33"/>
    <x v="1"/>
    <x v="4"/>
    <x v="5"/>
    <x v="32"/>
    <x v="1"/>
    <x v="1"/>
    <x v="0"/>
    <n v="0"/>
    <n v="58015"/>
    <n v="5.8014999999999997E-2"/>
    <n v="43252"/>
    <x v="0"/>
  </r>
  <r>
    <n v="60000614"/>
    <x v="10"/>
    <x v="0"/>
    <x v="1"/>
    <x v="11"/>
    <x v="1"/>
    <n v="0.1"/>
    <x v="4"/>
    <x v="4"/>
    <x v="6"/>
    <x v="24"/>
    <x v="2"/>
    <x v="1"/>
    <x v="0"/>
    <n v="6"/>
    <n v="68263"/>
    <n v="6.8263000000000004E-2"/>
    <n v="43252"/>
    <x v="0"/>
  </r>
  <r>
    <n v="60000615"/>
    <x v="8"/>
    <x v="1"/>
    <x v="1"/>
    <x v="9"/>
    <x v="1"/>
    <n v="0.23"/>
    <x v="0"/>
    <x v="0"/>
    <x v="1"/>
    <x v="0"/>
    <x v="1"/>
    <x v="1"/>
    <x v="0"/>
    <n v="0"/>
    <n v="34109"/>
    <n v="3.4109E-2"/>
    <n v="43252"/>
    <x v="0"/>
  </r>
  <r>
    <n v="60000616"/>
    <x v="4"/>
    <x v="1"/>
    <x v="0"/>
    <x v="2"/>
    <x v="2"/>
    <n v="0.17"/>
    <x v="2"/>
    <x v="15"/>
    <x v="2"/>
    <x v="9"/>
    <x v="0"/>
    <x v="1"/>
    <x v="1"/>
    <n v="3"/>
    <n v="64964"/>
    <n v="6.4963999999999994E-2"/>
    <n v="43252"/>
    <x v="0"/>
  </r>
  <r>
    <n v="60000617"/>
    <x v="20"/>
    <x v="0"/>
    <x v="1"/>
    <x v="2"/>
    <x v="0"/>
    <n v="0.22"/>
    <x v="0"/>
    <x v="10"/>
    <x v="6"/>
    <x v="41"/>
    <x v="2"/>
    <x v="1"/>
    <x v="1"/>
    <n v="5"/>
    <n v="30063"/>
    <n v="3.0062999999999999E-2"/>
    <n v="43252"/>
    <x v="0"/>
  </r>
  <r>
    <n v="60000618"/>
    <x v="8"/>
    <x v="1"/>
    <x v="0"/>
    <x v="2"/>
    <x v="1"/>
    <n v="0.21"/>
    <x v="0"/>
    <x v="8"/>
    <x v="2"/>
    <x v="42"/>
    <x v="1"/>
    <x v="1"/>
    <x v="1"/>
    <n v="5"/>
    <n v="59660"/>
    <n v="5.9659999999999998E-2"/>
    <n v="43252"/>
    <x v="0"/>
  </r>
  <r>
    <n v="60000619"/>
    <x v="9"/>
    <x v="1"/>
    <x v="1"/>
    <x v="11"/>
    <x v="1"/>
    <n v="0.2"/>
    <x v="0"/>
    <x v="3"/>
    <x v="10"/>
    <x v="43"/>
    <x v="0"/>
    <x v="1"/>
    <x v="0"/>
    <n v="0"/>
    <n v="31515"/>
    <n v="3.1515000000000001E-2"/>
    <n v="43252"/>
    <x v="0"/>
  </r>
  <r>
    <n v="60000620"/>
    <x v="33"/>
    <x v="0"/>
    <x v="0"/>
    <x v="9"/>
    <x v="2"/>
    <n v="0.25"/>
    <x v="3"/>
    <x v="5"/>
    <x v="0"/>
    <x v="37"/>
    <x v="1"/>
    <x v="1"/>
    <x v="0"/>
    <n v="0"/>
    <n v="78579"/>
    <n v="7.8578999999999996E-2"/>
    <n v="43252"/>
    <x v="0"/>
  </r>
  <r>
    <n v="60000621"/>
    <x v="43"/>
    <x v="1"/>
    <x v="0"/>
    <x v="1"/>
    <x v="1"/>
    <n v="0.1"/>
    <x v="4"/>
    <x v="12"/>
    <x v="12"/>
    <x v="44"/>
    <x v="1"/>
    <x v="1"/>
    <x v="1"/>
    <n v="0"/>
    <n v="29705"/>
    <n v="2.9704999999999999E-2"/>
    <n v="43252"/>
    <x v="0"/>
  </r>
  <r>
    <n v="60000622"/>
    <x v="16"/>
    <x v="1"/>
    <x v="1"/>
    <x v="3"/>
    <x v="1"/>
    <n v="0.25"/>
    <x v="3"/>
    <x v="10"/>
    <x v="3"/>
    <x v="44"/>
    <x v="0"/>
    <x v="1"/>
    <x v="1"/>
    <n v="0"/>
    <n v="51214"/>
    <n v="5.1214000000000003E-2"/>
    <n v="43252"/>
    <x v="0"/>
  </r>
  <r>
    <n v="60000623"/>
    <x v="22"/>
    <x v="0"/>
    <x v="1"/>
    <x v="5"/>
    <x v="1"/>
    <n v="0.25"/>
    <x v="3"/>
    <x v="8"/>
    <x v="1"/>
    <x v="4"/>
    <x v="2"/>
    <x v="1"/>
    <x v="0"/>
    <n v="0"/>
    <n v="57784"/>
    <n v="5.7784000000000002E-2"/>
    <n v="43252"/>
    <x v="0"/>
  </r>
  <r>
    <n v="60000624"/>
    <x v="32"/>
    <x v="1"/>
    <x v="1"/>
    <x v="11"/>
    <x v="2"/>
    <n v="0.37"/>
    <x v="1"/>
    <x v="7"/>
    <x v="6"/>
    <x v="26"/>
    <x v="1"/>
    <x v="1"/>
    <x v="0"/>
    <n v="0"/>
    <n v="73339"/>
    <n v="7.3339000000000001E-2"/>
    <n v="43252"/>
    <x v="0"/>
  </r>
  <r>
    <n v="60000625"/>
    <x v="39"/>
    <x v="0"/>
    <x v="0"/>
    <x v="6"/>
    <x v="0"/>
    <n v="0.34"/>
    <x v="1"/>
    <x v="5"/>
    <x v="7"/>
    <x v="32"/>
    <x v="1"/>
    <x v="1"/>
    <x v="1"/>
    <n v="4"/>
    <n v="41052"/>
    <n v="4.1051999999999998E-2"/>
    <n v="43252"/>
    <x v="0"/>
  </r>
  <r>
    <n v="60000626"/>
    <x v="40"/>
    <x v="0"/>
    <x v="0"/>
    <x v="2"/>
    <x v="2"/>
    <n v="0.24"/>
    <x v="0"/>
    <x v="5"/>
    <x v="7"/>
    <x v="9"/>
    <x v="0"/>
    <x v="1"/>
    <x v="0"/>
    <n v="4"/>
    <n v="75161"/>
    <n v="7.5161000000000006E-2"/>
    <n v="43252"/>
    <x v="0"/>
  </r>
  <r>
    <n v="60000627"/>
    <x v="33"/>
    <x v="1"/>
    <x v="0"/>
    <x v="1"/>
    <x v="0"/>
    <n v="0.19"/>
    <x v="0"/>
    <x v="5"/>
    <x v="7"/>
    <x v="15"/>
    <x v="0"/>
    <x v="1"/>
    <x v="1"/>
    <n v="7"/>
    <n v="69835"/>
    <n v="6.9834999999999994E-2"/>
    <n v="43252"/>
    <x v="0"/>
  </r>
  <r>
    <n v="60000628"/>
    <x v="38"/>
    <x v="1"/>
    <x v="0"/>
    <x v="0"/>
    <x v="0"/>
    <n v="0.11"/>
    <x v="4"/>
    <x v="9"/>
    <x v="3"/>
    <x v="30"/>
    <x v="1"/>
    <x v="1"/>
    <x v="1"/>
    <n v="0"/>
    <n v="47676"/>
    <n v="4.7676000000000003E-2"/>
    <n v="43252"/>
    <x v="0"/>
  </r>
  <r>
    <n v="60000629"/>
    <x v="6"/>
    <x v="0"/>
    <x v="0"/>
    <x v="1"/>
    <x v="2"/>
    <n v="0.24"/>
    <x v="0"/>
    <x v="11"/>
    <x v="7"/>
    <x v="13"/>
    <x v="0"/>
    <x v="1"/>
    <x v="1"/>
    <n v="0"/>
    <n v="74278"/>
    <n v="7.4277999999999997E-2"/>
    <n v="43252"/>
    <x v="0"/>
  </r>
  <r>
    <n v="60000630"/>
    <x v="32"/>
    <x v="0"/>
    <x v="1"/>
    <x v="2"/>
    <x v="1"/>
    <n v="0.37"/>
    <x v="1"/>
    <x v="12"/>
    <x v="9"/>
    <x v="2"/>
    <x v="1"/>
    <x v="1"/>
    <x v="0"/>
    <n v="3"/>
    <n v="43875"/>
    <n v="4.3874999999999997E-2"/>
    <n v="43252"/>
    <x v="0"/>
  </r>
  <r>
    <n v="60000631"/>
    <x v="5"/>
    <x v="0"/>
    <x v="1"/>
    <x v="8"/>
    <x v="0"/>
    <n v="0.37"/>
    <x v="1"/>
    <x v="12"/>
    <x v="2"/>
    <x v="47"/>
    <x v="1"/>
    <x v="1"/>
    <x v="1"/>
    <n v="6"/>
    <n v="43891"/>
    <n v="4.3890999999999999E-2"/>
    <n v="43252"/>
    <x v="0"/>
  </r>
  <r>
    <n v="60000632"/>
    <x v="6"/>
    <x v="1"/>
    <x v="0"/>
    <x v="2"/>
    <x v="2"/>
    <n v="0.23"/>
    <x v="0"/>
    <x v="12"/>
    <x v="10"/>
    <x v="7"/>
    <x v="1"/>
    <x v="1"/>
    <x v="0"/>
    <n v="0"/>
    <n v="55861"/>
    <n v="5.5861000000000001E-2"/>
    <n v="43252"/>
    <x v="0"/>
  </r>
  <r>
    <n v="60000633"/>
    <x v="45"/>
    <x v="1"/>
    <x v="0"/>
    <x v="8"/>
    <x v="2"/>
    <n v="0.36"/>
    <x v="1"/>
    <x v="14"/>
    <x v="7"/>
    <x v="21"/>
    <x v="0"/>
    <x v="1"/>
    <x v="0"/>
    <n v="3"/>
    <n v="74572"/>
    <n v="7.4571999999999999E-2"/>
    <n v="43252"/>
    <x v="0"/>
  </r>
  <r>
    <n v="60000634"/>
    <x v="22"/>
    <x v="0"/>
    <x v="1"/>
    <x v="1"/>
    <x v="1"/>
    <n v="0.15"/>
    <x v="2"/>
    <x v="1"/>
    <x v="5"/>
    <x v="32"/>
    <x v="0"/>
    <x v="1"/>
    <x v="1"/>
    <n v="0"/>
    <n v="75919"/>
    <n v="7.5919E-2"/>
    <n v="43252"/>
    <x v="0"/>
  </r>
  <r>
    <n v="60000001"/>
    <x v="0"/>
    <x v="0"/>
    <x v="0"/>
    <x v="0"/>
    <x v="0"/>
    <n v="0.2"/>
    <x v="0"/>
    <x v="0"/>
    <x v="0"/>
    <x v="0"/>
    <x v="0"/>
    <x v="2"/>
    <x v="0"/>
    <n v="0"/>
    <n v="32249"/>
    <n v="3.2249E-2"/>
    <n v="43252"/>
    <x v="0"/>
  </r>
  <r>
    <n v="60000002"/>
    <x v="1"/>
    <x v="1"/>
    <x v="1"/>
    <x v="1"/>
    <x v="0"/>
    <n v="0.32"/>
    <x v="1"/>
    <x v="1"/>
    <x v="1"/>
    <x v="1"/>
    <x v="0"/>
    <x v="2"/>
    <x v="0"/>
    <n v="0"/>
    <n v="50190"/>
    <n v="5.0189999999999999E-2"/>
    <n v="43252"/>
    <x v="0"/>
  </r>
  <r>
    <n v="60000003"/>
    <x v="2"/>
    <x v="0"/>
    <x v="0"/>
    <x v="2"/>
    <x v="0"/>
    <n v="0.2"/>
    <x v="0"/>
    <x v="1"/>
    <x v="2"/>
    <x v="2"/>
    <x v="0"/>
    <x v="2"/>
    <x v="0"/>
    <n v="3"/>
    <n v="53861"/>
    <n v="5.3860999999999999E-2"/>
    <n v="43252"/>
    <x v="0"/>
  </r>
  <r>
    <n v="60000004"/>
    <x v="3"/>
    <x v="0"/>
    <x v="0"/>
    <x v="3"/>
    <x v="0"/>
    <n v="0.23"/>
    <x v="0"/>
    <x v="2"/>
    <x v="3"/>
    <x v="3"/>
    <x v="0"/>
    <x v="2"/>
    <x v="0"/>
    <n v="0"/>
    <n v="63985"/>
    <n v="6.3985E-2"/>
    <n v="43252"/>
    <x v="0"/>
  </r>
  <r>
    <n v="60000005"/>
    <x v="4"/>
    <x v="0"/>
    <x v="1"/>
    <x v="1"/>
    <x v="0"/>
    <n v="0.36"/>
    <x v="1"/>
    <x v="3"/>
    <x v="4"/>
    <x v="4"/>
    <x v="0"/>
    <x v="2"/>
    <x v="0"/>
    <n v="2"/>
    <n v="71975"/>
    <n v="7.1974999999999997E-2"/>
    <n v="43252"/>
    <x v="0"/>
  </r>
  <r>
    <n v="60000006"/>
    <x v="5"/>
    <x v="0"/>
    <x v="0"/>
    <x v="1"/>
    <x v="0"/>
    <n v="0.38"/>
    <x v="1"/>
    <x v="4"/>
    <x v="5"/>
    <x v="5"/>
    <x v="0"/>
    <x v="2"/>
    <x v="0"/>
    <n v="0"/>
    <n v="38682"/>
    <n v="3.8682000000000001E-2"/>
    <n v="43252"/>
    <x v="0"/>
  </r>
  <r>
    <n v="60000007"/>
    <x v="5"/>
    <x v="0"/>
    <x v="1"/>
    <x v="4"/>
    <x v="0"/>
    <n v="0.13"/>
    <x v="2"/>
    <x v="5"/>
    <x v="4"/>
    <x v="6"/>
    <x v="0"/>
    <x v="2"/>
    <x v="0"/>
    <n v="0"/>
    <n v="69924"/>
    <n v="6.9924E-2"/>
    <n v="43252"/>
    <x v="0"/>
  </r>
  <r>
    <n v="60000008"/>
    <x v="6"/>
    <x v="0"/>
    <x v="1"/>
    <x v="4"/>
    <x v="0"/>
    <n v="0.18"/>
    <x v="2"/>
    <x v="6"/>
    <x v="3"/>
    <x v="0"/>
    <x v="0"/>
    <x v="2"/>
    <x v="0"/>
    <n v="3"/>
    <n v="41810"/>
    <n v="4.181E-2"/>
    <n v="43252"/>
    <x v="0"/>
  </r>
  <r>
    <n v="60000009"/>
    <x v="7"/>
    <x v="0"/>
    <x v="1"/>
    <x v="5"/>
    <x v="0"/>
    <n v="0.38"/>
    <x v="1"/>
    <x v="7"/>
    <x v="0"/>
    <x v="7"/>
    <x v="0"/>
    <x v="2"/>
    <x v="0"/>
    <n v="7"/>
    <n v="56001"/>
    <n v="5.6001000000000002E-2"/>
    <n v="43252"/>
    <x v="0"/>
  </r>
  <r>
    <n v="60000010"/>
    <x v="8"/>
    <x v="0"/>
    <x v="1"/>
    <x v="4"/>
    <x v="0"/>
    <n v="0.21"/>
    <x v="0"/>
    <x v="5"/>
    <x v="6"/>
    <x v="8"/>
    <x v="0"/>
    <x v="2"/>
    <x v="0"/>
    <n v="0"/>
    <n v="41600"/>
    <n v="4.1599999999999998E-2"/>
    <n v="43252"/>
    <x v="0"/>
  </r>
  <r>
    <n v="60000011"/>
    <x v="9"/>
    <x v="0"/>
    <x v="1"/>
    <x v="0"/>
    <x v="0"/>
    <n v="0.18"/>
    <x v="2"/>
    <x v="8"/>
    <x v="7"/>
    <x v="9"/>
    <x v="0"/>
    <x v="2"/>
    <x v="0"/>
    <n v="0"/>
    <n v="62931"/>
    <n v="6.2931000000000001E-2"/>
    <n v="43252"/>
    <x v="0"/>
  </r>
  <r>
    <n v="60000012"/>
    <x v="10"/>
    <x v="0"/>
    <x v="0"/>
    <x v="6"/>
    <x v="0"/>
    <n v="0.16"/>
    <x v="2"/>
    <x v="5"/>
    <x v="8"/>
    <x v="10"/>
    <x v="0"/>
    <x v="2"/>
    <x v="0"/>
    <n v="0"/>
    <n v="67313"/>
    <n v="6.7312999999999998E-2"/>
    <n v="43252"/>
    <x v="0"/>
  </r>
  <r>
    <n v="60000013"/>
    <x v="11"/>
    <x v="0"/>
    <x v="1"/>
    <x v="7"/>
    <x v="0"/>
    <n v="0.32"/>
    <x v="1"/>
    <x v="5"/>
    <x v="4"/>
    <x v="11"/>
    <x v="0"/>
    <x v="2"/>
    <x v="0"/>
    <n v="6"/>
    <n v="53872"/>
    <n v="5.3872000000000003E-2"/>
    <n v="43252"/>
    <x v="0"/>
  </r>
  <r>
    <n v="60000014"/>
    <x v="12"/>
    <x v="0"/>
    <x v="1"/>
    <x v="3"/>
    <x v="0"/>
    <n v="0.18"/>
    <x v="2"/>
    <x v="7"/>
    <x v="1"/>
    <x v="0"/>
    <x v="0"/>
    <x v="2"/>
    <x v="0"/>
    <n v="0"/>
    <n v="79273"/>
    <n v="7.9272999999999996E-2"/>
    <n v="43252"/>
    <x v="0"/>
  </r>
  <r>
    <n v="60000015"/>
    <x v="13"/>
    <x v="1"/>
    <x v="0"/>
    <x v="6"/>
    <x v="0"/>
    <n v="0.34"/>
    <x v="1"/>
    <x v="2"/>
    <x v="7"/>
    <x v="12"/>
    <x v="0"/>
    <x v="2"/>
    <x v="0"/>
    <n v="1"/>
    <n v="38824"/>
    <n v="3.8823999999999997E-2"/>
    <n v="43252"/>
    <x v="0"/>
  </r>
  <r>
    <n v="60000016"/>
    <x v="14"/>
    <x v="0"/>
    <x v="1"/>
    <x v="2"/>
    <x v="0"/>
    <n v="0.31"/>
    <x v="3"/>
    <x v="4"/>
    <x v="1"/>
    <x v="7"/>
    <x v="0"/>
    <x v="2"/>
    <x v="0"/>
    <n v="0"/>
    <n v="69303"/>
    <n v="6.9303000000000003E-2"/>
    <n v="43252"/>
    <x v="0"/>
  </r>
  <r>
    <n v="60000017"/>
    <x v="15"/>
    <x v="1"/>
    <x v="0"/>
    <x v="4"/>
    <x v="0"/>
    <n v="0.36"/>
    <x v="1"/>
    <x v="2"/>
    <x v="0"/>
    <x v="3"/>
    <x v="0"/>
    <x v="2"/>
    <x v="0"/>
    <n v="0"/>
    <n v="43397"/>
    <n v="4.3396999999999998E-2"/>
    <n v="43252"/>
    <x v="0"/>
  </r>
  <r>
    <n v="60000018"/>
    <x v="16"/>
    <x v="0"/>
    <x v="0"/>
    <x v="0"/>
    <x v="0"/>
    <n v="0.12"/>
    <x v="2"/>
    <x v="8"/>
    <x v="7"/>
    <x v="13"/>
    <x v="0"/>
    <x v="2"/>
    <x v="0"/>
    <n v="0"/>
    <n v="46382"/>
    <n v="4.6382E-2"/>
    <n v="43252"/>
    <x v="0"/>
  </r>
  <r>
    <n v="60000019"/>
    <x v="8"/>
    <x v="1"/>
    <x v="0"/>
    <x v="2"/>
    <x v="0"/>
    <n v="0.32"/>
    <x v="1"/>
    <x v="2"/>
    <x v="9"/>
    <x v="14"/>
    <x v="0"/>
    <x v="2"/>
    <x v="0"/>
    <n v="0"/>
    <n v="53991"/>
    <n v="5.3990999999999997E-2"/>
    <n v="43252"/>
    <x v="0"/>
  </r>
  <r>
    <n v="60000020"/>
    <x v="17"/>
    <x v="0"/>
    <x v="1"/>
    <x v="8"/>
    <x v="0"/>
    <n v="0.27"/>
    <x v="3"/>
    <x v="8"/>
    <x v="7"/>
    <x v="15"/>
    <x v="0"/>
    <x v="2"/>
    <x v="0"/>
    <n v="6"/>
    <n v="63210"/>
    <n v="6.3210000000000002E-2"/>
    <n v="43252"/>
    <x v="0"/>
  </r>
  <r>
    <n v="60000021"/>
    <x v="18"/>
    <x v="0"/>
    <x v="1"/>
    <x v="0"/>
    <x v="0"/>
    <n v="0.27"/>
    <x v="3"/>
    <x v="9"/>
    <x v="7"/>
    <x v="6"/>
    <x v="0"/>
    <x v="2"/>
    <x v="0"/>
    <n v="4"/>
    <n v="72718"/>
    <n v="7.2718000000000005E-2"/>
    <n v="43252"/>
    <x v="0"/>
  </r>
  <r>
    <n v="60000022"/>
    <x v="19"/>
    <x v="0"/>
    <x v="1"/>
    <x v="4"/>
    <x v="0"/>
    <n v="0.38"/>
    <x v="1"/>
    <x v="6"/>
    <x v="10"/>
    <x v="13"/>
    <x v="0"/>
    <x v="2"/>
    <x v="0"/>
    <n v="3"/>
    <n v="74859"/>
    <n v="7.4858999999999995E-2"/>
    <n v="43252"/>
    <x v="0"/>
  </r>
  <r>
    <n v="60000023"/>
    <x v="18"/>
    <x v="0"/>
    <x v="0"/>
    <x v="6"/>
    <x v="0"/>
    <n v="0.32"/>
    <x v="1"/>
    <x v="5"/>
    <x v="8"/>
    <x v="16"/>
    <x v="0"/>
    <x v="2"/>
    <x v="0"/>
    <n v="0"/>
    <n v="76036"/>
    <n v="7.6036000000000006E-2"/>
    <n v="43252"/>
    <x v="0"/>
  </r>
  <r>
    <n v="60000024"/>
    <x v="20"/>
    <x v="1"/>
    <x v="1"/>
    <x v="1"/>
    <x v="0"/>
    <n v="0.17"/>
    <x v="2"/>
    <x v="7"/>
    <x v="6"/>
    <x v="17"/>
    <x v="0"/>
    <x v="2"/>
    <x v="0"/>
    <n v="0"/>
    <n v="54782"/>
    <n v="5.4781999999999997E-2"/>
    <n v="43252"/>
    <x v="0"/>
  </r>
  <r>
    <n v="60000025"/>
    <x v="0"/>
    <x v="0"/>
    <x v="1"/>
    <x v="0"/>
    <x v="0"/>
    <n v="0.25"/>
    <x v="3"/>
    <x v="1"/>
    <x v="9"/>
    <x v="8"/>
    <x v="0"/>
    <x v="2"/>
    <x v="0"/>
    <n v="0"/>
    <n v="76364"/>
    <n v="7.6364000000000001E-2"/>
    <n v="43252"/>
    <x v="0"/>
  </r>
  <r>
    <n v="60000026"/>
    <x v="20"/>
    <x v="0"/>
    <x v="0"/>
    <x v="1"/>
    <x v="0"/>
    <n v="0.24"/>
    <x v="0"/>
    <x v="6"/>
    <x v="5"/>
    <x v="5"/>
    <x v="0"/>
    <x v="2"/>
    <x v="0"/>
    <n v="1"/>
    <n v="78267"/>
    <n v="7.8267000000000003E-2"/>
    <n v="43252"/>
    <x v="0"/>
  </r>
  <r>
    <n v="60000027"/>
    <x v="20"/>
    <x v="1"/>
    <x v="1"/>
    <x v="4"/>
    <x v="0"/>
    <n v="0.28999999999999998"/>
    <x v="3"/>
    <x v="6"/>
    <x v="9"/>
    <x v="18"/>
    <x v="0"/>
    <x v="2"/>
    <x v="0"/>
    <n v="7"/>
    <n v="48724"/>
    <n v="4.8724000000000003E-2"/>
    <n v="43252"/>
    <x v="0"/>
  </r>
  <r>
    <n v="60000028"/>
    <x v="21"/>
    <x v="1"/>
    <x v="1"/>
    <x v="7"/>
    <x v="0"/>
    <n v="0.1"/>
    <x v="4"/>
    <x v="9"/>
    <x v="11"/>
    <x v="19"/>
    <x v="0"/>
    <x v="2"/>
    <x v="0"/>
    <n v="6"/>
    <n v="80630"/>
    <n v="8.0629999999999993E-2"/>
    <n v="43252"/>
    <x v="0"/>
  </r>
  <r>
    <n v="60000029"/>
    <x v="22"/>
    <x v="0"/>
    <x v="0"/>
    <x v="6"/>
    <x v="0"/>
    <n v="0.37"/>
    <x v="1"/>
    <x v="5"/>
    <x v="11"/>
    <x v="16"/>
    <x v="0"/>
    <x v="2"/>
    <x v="0"/>
    <n v="4"/>
    <n v="57422"/>
    <n v="5.7422000000000001E-2"/>
    <n v="43252"/>
    <x v="0"/>
  </r>
  <r>
    <n v="60000030"/>
    <x v="18"/>
    <x v="0"/>
    <x v="1"/>
    <x v="3"/>
    <x v="0"/>
    <n v="0.18"/>
    <x v="2"/>
    <x v="2"/>
    <x v="0"/>
    <x v="8"/>
    <x v="0"/>
    <x v="2"/>
    <x v="0"/>
    <n v="5"/>
    <n v="82448"/>
    <n v="8.2447999999999994E-2"/>
    <n v="43252"/>
    <x v="0"/>
  </r>
  <r>
    <n v="60000031"/>
    <x v="23"/>
    <x v="0"/>
    <x v="0"/>
    <x v="2"/>
    <x v="0"/>
    <n v="0.34"/>
    <x v="1"/>
    <x v="10"/>
    <x v="1"/>
    <x v="20"/>
    <x v="0"/>
    <x v="2"/>
    <x v="0"/>
    <n v="0"/>
    <n v="48511"/>
    <n v="4.8510999999999999E-2"/>
    <n v="43252"/>
    <x v="0"/>
  </r>
  <r>
    <n v="60000032"/>
    <x v="20"/>
    <x v="1"/>
    <x v="0"/>
    <x v="7"/>
    <x v="0"/>
    <n v="0.22"/>
    <x v="0"/>
    <x v="2"/>
    <x v="9"/>
    <x v="21"/>
    <x v="0"/>
    <x v="2"/>
    <x v="0"/>
    <n v="0"/>
    <n v="60906"/>
    <n v="6.0906000000000002E-2"/>
    <n v="43252"/>
    <x v="0"/>
  </r>
  <r>
    <n v="60000033"/>
    <x v="24"/>
    <x v="1"/>
    <x v="0"/>
    <x v="5"/>
    <x v="0"/>
    <n v="0.31"/>
    <x v="3"/>
    <x v="8"/>
    <x v="8"/>
    <x v="18"/>
    <x v="0"/>
    <x v="2"/>
    <x v="0"/>
    <n v="0"/>
    <n v="60696"/>
    <n v="6.0696E-2"/>
    <n v="43252"/>
    <x v="0"/>
  </r>
  <r>
    <n v="60000034"/>
    <x v="25"/>
    <x v="1"/>
    <x v="1"/>
    <x v="0"/>
    <x v="0"/>
    <n v="0.2"/>
    <x v="0"/>
    <x v="5"/>
    <x v="1"/>
    <x v="20"/>
    <x v="0"/>
    <x v="2"/>
    <x v="0"/>
    <n v="0"/>
    <n v="68931"/>
    <n v="6.8931000000000006E-2"/>
    <n v="43252"/>
    <x v="0"/>
  </r>
  <r>
    <n v="60000035"/>
    <x v="5"/>
    <x v="1"/>
    <x v="0"/>
    <x v="0"/>
    <x v="0"/>
    <n v="0.25"/>
    <x v="3"/>
    <x v="5"/>
    <x v="11"/>
    <x v="22"/>
    <x v="0"/>
    <x v="2"/>
    <x v="0"/>
    <n v="0"/>
    <n v="72486"/>
    <n v="7.2485999999999995E-2"/>
    <n v="43252"/>
    <x v="0"/>
  </r>
  <r>
    <n v="60000036"/>
    <x v="19"/>
    <x v="0"/>
    <x v="1"/>
    <x v="5"/>
    <x v="0"/>
    <n v="0.34"/>
    <x v="1"/>
    <x v="0"/>
    <x v="12"/>
    <x v="19"/>
    <x v="0"/>
    <x v="2"/>
    <x v="0"/>
    <n v="0"/>
    <n v="25064"/>
    <n v="2.5063999999999999E-2"/>
    <n v="43252"/>
    <x v="0"/>
  </r>
  <r>
    <n v="60000037"/>
    <x v="1"/>
    <x v="0"/>
    <x v="1"/>
    <x v="2"/>
    <x v="0"/>
    <n v="0.27"/>
    <x v="3"/>
    <x v="11"/>
    <x v="0"/>
    <x v="23"/>
    <x v="0"/>
    <x v="2"/>
    <x v="0"/>
    <n v="0"/>
    <n v="66485"/>
    <n v="6.6485000000000002E-2"/>
    <n v="43252"/>
    <x v="0"/>
  </r>
  <r>
    <n v="60000038"/>
    <x v="23"/>
    <x v="1"/>
    <x v="1"/>
    <x v="4"/>
    <x v="0"/>
    <n v="0.17"/>
    <x v="2"/>
    <x v="7"/>
    <x v="9"/>
    <x v="24"/>
    <x v="0"/>
    <x v="2"/>
    <x v="0"/>
    <n v="0"/>
    <n v="32920"/>
    <n v="3.2919999999999998E-2"/>
    <n v="43252"/>
    <x v="0"/>
  </r>
  <r>
    <n v="60000039"/>
    <x v="26"/>
    <x v="0"/>
    <x v="0"/>
    <x v="9"/>
    <x v="0"/>
    <n v="0.1"/>
    <x v="4"/>
    <x v="4"/>
    <x v="8"/>
    <x v="5"/>
    <x v="0"/>
    <x v="2"/>
    <x v="0"/>
    <n v="0"/>
    <n v="60181"/>
    <n v="6.0180999999999998E-2"/>
    <n v="43252"/>
    <x v="0"/>
  </r>
  <r>
    <n v="60000040"/>
    <x v="20"/>
    <x v="1"/>
    <x v="0"/>
    <x v="8"/>
    <x v="0"/>
    <n v="0.28000000000000003"/>
    <x v="3"/>
    <x v="8"/>
    <x v="12"/>
    <x v="19"/>
    <x v="0"/>
    <x v="2"/>
    <x v="0"/>
    <n v="7"/>
    <n v="64200"/>
    <n v="6.4199999999999993E-2"/>
    <n v="43252"/>
    <x v="0"/>
  </r>
  <r>
    <n v="60000041"/>
    <x v="27"/>
    <x v="1"/>
    <x v="0"/>
    <x v="10"/>
    <x v="0"/>
    <n v="0.32"/>
    <x v="1"/>
    <x v="1"/>
    <x v="3"/>
    <x v="24"/>
    <x v="0"/>
    <x v="2"/>
    <x v="0"/>
    <n v="0"/>
    <n v="27376"/>
    <n v="2.7376000000000001E-2"/>
    <n v="43252"/>
    <x v="0"/>
  </r>
  <r>
    <n v="60000042"/>
    <x v="20"/>
    <x v="0"/>
    <x v="1"/>
    <x v="10"/>
    <x v="0"/>
    <n v="0.36"/>
    <x v="1"/>
    <x v="5"/>
    <x v="1"/>
    <x v="18"/>
    <x v="0"/>
    <x v="2"/>
    <x v="0"/>
    <n v="6"/>
    <n v="73100"/>
    <n v="7.3099999999999998E-2"/>
    <n v="43252"/>
    <x v="0"/>
  </r>
  <r>
    <n v="60000043"/>
    <x v="28"/>
    <x v="1"/>
    <x v="1"/>
    <x v="5"/>
    <x v="0"/>
    <n v="0.33"/>
    <x v="1"/>
    <x v="2"/>
    <x v="8"/>
    <x v="23"/>
    <x v="0"/>
    <x v="2"/>
    <x v="0"/>
    <n v="0"/>
    <n v="51512"/>
    <n v="5.1512000000000002E-2"/>
    <n v="43252"/>
    <x v="0"/>
  </r>
  <r>
    <n v="60000044"/>
    <x v="29"/>
    <x v="1"/>
    <x v="1"/>
    <x v="7"/>
    <x v="0"/>
    <n v="0.24"/>
    <x v="0"/>
    <x v="12"/>
    <x v="4"/>
    <x v="3"/>
    <x v="0"/>
    <x v="2"/>
    <x v="0"/>
    <n v="4"/>
    <n v="32853"/>
    <n v="3.2853E-2"/>
    <n v="43252"/>
    <x v="0"/>
  </r>
  <r>
    <n v="60000045"/>
    <x v="14"/>
    <x v="1"/>
    <x v="0"/>
    <x v="3"/>
    <x v="0"/>
    <n v="0.34"/>
    <x v="1"/>
    <x v="10"/>
    <x v="12"/>
    <x v="13"/>
    <x v="0"/>
    <x v="2"/>
    <x v="0"/>
    <n v="0"/>
    <n v="33519"/>
    <n v="3.3519E-2"/>
    <n v="43252"/>
    <x v="0"/>
  </r>
  <r>
    <n v="60000046"/>
    <x v="11"/>
    <x v="1"/>
    <x v="1"/>
    <x v="4"/>
    <x v="0"/>
    <n v="0.23"/>
    <x v="0"/>
    <x v="9"/>
    <x v="1"/>
    <x v="6"/>
    <x v="0"/>
    <x v="2"/>
    <x v="0"/>
    <n v="0"/>
    <n v="47392"/>
    <n v="4.7391999999999997E-2"/>
    <n v="43252"/>
    <x v="0"/>
  </r>
  <r>
    <n v="60000047"/>
    <x v="12"/>
    <x v="0"/>
    <x v="0"/>
    <x v="5"/>
    <x v="0"/>
    <n v="0.16"/>
    <x v="2"/>
    <x v="0"/>
    <x v="4"/>
    <x v="25"/>
    <x v="0"/>
    <x v="2"/>
    <x v="0"/>
    <n v="7"/>
    <n v="81471"/>
    <n v="8.1471000000000002E-2"/>
    <n v="43252"/>
    <x v="0"/>
  </r>
  <r>
    <n v="60000048"/>
    <x v="29"/>
    <x v="0"/>
    <x v="0"/>
    <x v="3"/>
    <x v="0"/>
    <n v="0.36"/>
    <x v="1"/>
    <x v="6"/>
    <x v="0"/>
    <x v="13"/>
    <x v="0"/>
    <x v="2"/>
    <x v="0"/>
    <n v="4"/>
    <n v="46613"/>
    <n v="4.6613000000000002E-2"/>
    <n v="43252"/>
    <x v="0"/>
  </r>
  <r>
    <n v="60000049"/>
    <x v="20"/>
    <x v="1"/>
    <x v="1"/>
    <x v="6"/>
    <x v="0"/>
    <n v="0.12"/>
    <x v="2"/>
    <x v="5"/>
    <x v="3"/>
    <x v="26"/>
    <x v="0"/>
    <x v="2"/>
    <x v="0"/>
    <n v="0"/>
    <n v="75842"/>
    <n v="7.5842000000000007E-2"/>
    <n v="43252"/>
    <x v="0"/>
  </r>
  <r>
    <n v="60000050"/>
    <x v="20"/>
    <x v="0"/>
    <x v="1"/>
    <x v="6"/>
    <x v="0"/>
    <n v="0.18"/>
    <x v="2"/>
    <x v="6"/>
    <x v="6"/>
    <x v="27"/>
    <x v="0"/>
    <x v="2"/>
    <x v="0"/>
    <n v="0"/>
    <n v="77615"/>
    <n v="7.7615000000000003E-2"/>
    <n v="43252"/>
    <x v="0"/>
  </r>
  <r>
    <n v="60000051"/>
    <x v="24"/>
    <x v="1"/>
    <x v="0"/>
    <x v="4"/>
    <x v="0"/>
    <n v="0.31"/>
    <x v="3"/>
    <x v="8"/>
    <x v="2"/>
    <x v="10"/>
    <x v="0"/>
    <x v="2"/>
    <x v="0"/>
    <n v="0"/>
    <n v="46121"/>
    <n v="4.6121000000000002E-2"/>
    <n v="43252"/>
    <x v="0"/>
  </r>
  <r>
    <n v="60000052"/>
    <x v="0"/>
    <x v="0"/>
    <x v="0"/>
    <x v="2"/>
    <x v="0"/>
    <n v="0.25"/>
    <x v="3"/>
    <x v="8"/>
    <x v="11"/>
    <x v="28"/>
    <x v="0"/>
    <x v="2"/>
    <x v="0"/>
    <n v="6"/>
    <n v="39270"/>
    <n v="3.9269999999999999E-2"/>
    <n v="43252"/>
    <x v="0"/>
  </r>
  <r>
    <n v="60000053"/>
    <x v="4"/>
    <x v="0"/>
    <x v="0"/>
    <x v="9"/>
    <x v="0"/>
    <n v="0.1"/>
    <x v="4"/>
    <x v="6"/>
    <x v="10"/>
    <x v="29"/>
    <x v="0"/>
    <x v="2"/>
    <x v="0"/>
    <n v="5"/>
    <n v="77754"/>
    <n v="7.7754000000000004E-2"/>
    <n v="43252"/>
    <x v="0"/>
  </r>
  <r>
    <n v="60000054"/>
    <x v="30"/>
    <x v="0"/>
    <x v="0"/>
    <x v="10"/>
    <x v="0"/>
    <n v="0.15"/>
    <x v="2"/>
    <x v="8"/>
    <x v="5"/>
    <x v="10"/>
    <x v="0"/>
    <x v="2"/>
    <x v="0"/>
    <n v="3"/>
    <n v="55314"/>
    <n v="5.5314000000000002E-2"/>
    <n v="43252"/>
    <x v="0"/>
  </r>
  <r>
    <n v="60000055"/>
    <x v="31"/>
    <x v="0"/>
    <x v="1"/>
    <x v="10"/>
    <x v="0"/>
    <n v="0.28000000000000003"/>
    <x v="3"/>
    <x v="11"/>
    <x v="9"/>
    <x v="30"/>
    <x v="0"/>
    <x v="2"/>
    <x v="0"/>
    <n v="5"/>
    <n v="44686"/>
    <n v="4.4685999999999997E-2"/>
    <n v="43252"/>
    <x v="0"/>
  </r>
  <r>
    <n v="60000056"/>
    <x v="5"/>
    <x v="1"/>
    <x v="0"/>
    <x v="3"/>
    <x v="0"/>
    <n v="0.16"/>
    <x v="2"/>
    <x v="8"/>
    <x v="4"/>
    <x v="19"/>
    <x v="0"/>
    <x v="2"/>
    <x v="0"/>
    <n v="0"/>
    <n v="79381"/>
    <n v="7.9380999999999993E-2"/>
    <n v="43252"/>
    <x v="0"/>
  </r>
  <r>
    <n v="60000057"/>
    <x v="11"/>
    <x v="0"/>
    <x v="0"/>
    <x v="4"/>
    <x v="0"/>
    <n v="0.25"/>
    <x v="3"/>
    <x v="12"/>
    <x v="6"/>
    <x v="31"/>
    <x v="0"/>
    <x v="2"/>
    <x v="0"/>
    <n v="4"/>
    <n v="55151"/>
    <n v="5.5150999999999999E-2"/>
    <n v="43252"/>
    <x v="0"/>
  </r>
  <r>
    <n v="60000058"/>
    <x v="17"/>
    <x v="0"/>
    <x v="1"/>
    <x v="3"/>
    <x v="0"/>
    <n v="0.27"/>
    <x v="3"/>
    <x v="11"/>
    <x v="8"/>
    <x v="20"/>
    <x v="0"/>
    <x v="2"/>
    <x v="0"/>
    <n v="1"/>
    <n v="65029"/>
    <n v="6.5029000000000003E-2"/>
    <n v="43252"/>
    <x v="0"/>
  </r>
  <r>
    <n v="60000059"/>
    <x v="32"/>
    <x v="1"/>
    <x v="0"/>
    <x v="4"/>
    <x v="0"/>
    <n v="0.2"/>
    <x v="0"/>
    <x v="1"/>
    <x v="7"/>
    <x v="29"/>
    <x v="0"/>
    <x v="2"/>
    <x v="0"/>
    <n v="5"/>
    <n v="26628"/>
    <n v="2.6627999999999999E-2"/>
    <n v="43252"/>
    <x v="0"/>
  </r>
  <r>
    <n v="60000060"/>
    <x v="14"/>
    <x v="0"/>
    <x v="0"/>
    <x v="9"/>
    <x v="0"/>
    <n v="0.19"/>
    <x v="0"/>
    <x v="13"/>
    <x v="10"/>
    <x v="15"/>
    <x v="0"/>
    <x v="2"/>
    <x v="0"/>
    <n v="0"/>
    <n v="49132"/>
    <n v="4.9132000000000002E-2"/>
    <n v="43252"/>
    <x v="0"/>
  </r>
  <r>
    <n v="60000061"/>
    <x v="33"/>
    <x v="1"/>
    <x v="0"/>
    <x v="2"/>
    <x v="0"/>
    <n v="0.31"/>
    <x v="3"/>
    <x v="14"/>
    <x v="0"/>
    <x v="16"/>
    <x v="0"/>
    <x v="2"/>
    <x v="0"/>
    <n v="2"/>
    <n v="75641"/>
    <n v="7.5641E-2"/>
    <n v="43252"/>
    <x v="0"/>
  </r>
  <r>
    <n v="60000062"/>
    <x v="34"/>
    <x v="1"/>
    <x v="1"/>
    <x v="9"/>
    <x v="0"/>
    <n v="0.18"/>
    <x v="2"/>
    <x v="8"/>
    <x v="9"/>
    <x v="30"/>
    <x v="0"/>
    <x v="2"/>
    <x v="0"/>
    <n v="0"/>
    <n v="46107"/>
    <n v="4.6107000000000002E-2"/>
    <n v="43252"/>
    <x v="0"/>
  </r>
  <r>
    <n v="60000063"/>
    <x v="28"/>
    <x v="1"/>
    <x v="1"/>
    <x v="6"/>
    <x v="0"/>
    <n v="0.28999999999999998"/>
    <x v="3"/>
    <x v="13"/>
    <x v="1"/>
    <x v="21"/>
    <x v="0"/>
    <x v="2"/>
    <x v="0"/>
    <n v="5"/>
    <n v="54603"/>
    <n v="5.4602999999999999E-2"/>
    <n v="43252"/>
    <x v="0"/>
  </r>
  <r>
    <n v="60000064"/>
    <x v="35"/>
    <x v="1"/>
    <x v="1"/>
    <x v="3"/>
    <x v="0"/>
    <n v="0.12"/>
    <x v="2"/>
    <x v="9"/>
    <x v="10"/>
    <x v="13"/>
    <x v="0"/>
    <x v="2"/>
    <x v="0"/>
    <n v="2"/>
    <n v="76546"/>
    <n v="7.6546000000000003E-2"/>
    <n v="43252"/>
    <x v="0"/>
  </r>
  <r>
    <n v="60000065"/>
    <x v="35"/>
    <x v="0"/>
    <x v="0"/>
    <x v="9"/>
    <x v="0"/>
    <n v="0.14000000000000001"/>
    <x v="2"/>
    <x v="0"/>
    <x v="3"/>
    <x v="32"/>
    <x v="0"/>
    <x v="2"/>
    <x v="0"/>
    <n v="4"/>
    <n v="51693"/>
    <n v="5.1693000000000003E-2"/>
    <n v="43252"/>
    <x v="0"/>
  </r>
  <r>
    <n v="60000066"/>
    <x v="1"/>
    <x v="0"/>
    <x v="0"/>
    <x v="2"/>
    <x v="0"/>
    <n v="0.21"/>
    <x v="0"/>
    <x v="11"/>
    <x v="7"/>
    <x v="5"/>
    <x v="0"/>
    <x v="2"/>
    <x v="0"/>
    <n v="2"/>
    <n v="74562"/>
    <n v="7.4562000000000003E-2"/>
    <n v="43252"/>
    <x v="0"/>
  </r>
  <r>
    <n v="60000067"/>
    <x v="24"/>
    <x v="1"/>
    <x v="0"/>
    <x v="9"/>
    <x v="0"/>
    <n v="0.15"/>
    <x v="2"/>
    <x v="3"/>
    <x v="2"/>
    <x v="17"/>
    <x v="0"/>
    <x v="2"/>
    <x v="0"/>
    <n v="0"/>
    <n v="23033"/>
    <n v="2.3033000000000001E-2"/>
    <n v="43252"/>
    <x v="0"/>
  </r>
  <r>
    <n v="60000068"/>
    <x v="21"/>
    <x v="1"/>
    <x v="1"/>
    <x v="4"/>
    <x v="0"/>
    <n v="0.32"/>
    <x v="1"/>
    <x v="13"/>
    <x v="1"/>
    <x v="8"/>
    <x v="0"/>
    <x v="2"/>
    <x v="0"/>
    <n v="7"/>
    <n v="49487"/>
    <n v="4.9487000000000003E-2"/>
    <n v="43252"/>
    <x v="0"/>
  </r>
  <r>
    <n v="60000069"/>
    <x v="35"/>
    <x v="0"/>
    <x v="1"/>
    <x v="0"/>
    <x v="0"/>
    <n v="0.13"/>
    <x v="2"/>
    <x v="1"/>
    <x v="5"/>
    <x v="9"/>
    <x v="0"/>
    <x v="2"/>
    <x v="0"/>
    <n v="6"/>
    <n v="81554"/>
    <n v="8.1554000000000001E-2"/>
    <n v="43252"/>
    <x v="0"/>
  </r>
  <r>
    <n v="60000070"/>
    <x v="36"/>
    <x v="1"/>
    <x v="1"/>
    <x v="0"/>
    <x v="0"/>
    <n v="0.23"/>
    <x v="0"/>
    <x v="10"/>
    <x v="12"/>
    <x v="33"/>
    <x v="0"/>
    <x v="2"/>
    <x v="0"/>
    <n v="0"/>
    <n v="50937"/>
    <n v="5.0937000000000003E-2"/>
    <n v="43252"/>
    <x v="0"/>
  </r>
  <r>
    <n v="60000071"/>
    <x v="27"/>
    <x v="0"/>
    <x v="0"/>
    <x v="1"/>
    <x v="0"/>
    <n v="0.38"/>
    <x v="1"/>
    <x v="2"/>
    <x v="3"/>
    <x v="18"/>
    <x v="0"/>
    <x v="2"/>
    <x v="0"/>
    <n v="0"/>
    <n v="50926"/>
    <n v="5.0925999999999999E-2"/>
    <n v="43252"/>
    <x v="0"/>
  </r>
  <r>
    <n v="60000072"/>
    <x v="8"/>
    <x v="0"/>
    <x v="0"/>
    <x v="9"/>
    <x v="0"/>
    <n v="0.2"/>
    <x v="0"/>
    <x v="15"/>
    <x v="2"/>
    <x v="30"/>
    <x v="0"/>
    <x v="2"/>
    <x v="0"/>
    <n v="0"/>
    <n v="65453"/>
    <n v="6.5452999999999997E-2"/>
    <n v="43252"/>
    <x v="0"/>
  </r>
  <r>
    <n v="60000073"/>
    <x v="23"/>
    <x v="1"/>
    <x v="1"/>
    <x v="6"/>
    <x v="0"/>
    <n v="0.15"/>
    <x v="2"/>
    <x v="10"/>
    <x v="2"/>
    <x v="28"/>
    <x v="0"/>
    <x v="2"/>
    <x v="0"/>
    <n v="4"/>
    <n v="60126"/>
    <n v="6.0125999999999999E-2"/>
    <n v="43252"/>
    <x v="0"/>
  </r>
  <r>
    <n v="60000074"/>
    <x v="3"/>
    <x v="0"/>
    <x v="0"/>
    <x v="8"/>
    <x v="0"/>
    <n v="0.13"/>
    <x v="2"/>
    <x v="10"/>
    <x v="6"/>
    <x v="27"/>
    <x v="0"/>
    <x v="2"/>
    <x v="0"/>
    <n v="0"/>
    <n v="23711"/>
    <n v="2.3710999999999999E-2"/>
    <n v="43252"/>
    <x v="0"/>
  </r>
  <r>
    <n v="60000075"/>
    <x v="21"/>
    <x v="1"/>
    <x v="0"/>
    <x v="1"/>
    <x v="0"/>
    <n v="0.33"/>
    <x v="1"/>
    <x v="0"/>
    <x v="5"/>
    <x v="17"/>
    <x v="0"/>
    <x v="2"/>
    <x v="0"/>
    <n v="0"/>
    <n v="77308"/>
    <n v="7.7308000000000002E-2"/>
    <n v="43252"/>
    <x v="0"/>
  </r>
  <r>
    <n v="60000076"/>
    <x v="12"/>
    <x v="0"/>
    <x v="1"/>
    <x v="0"/>
    <x v="0"/>
    <n v="0.1"/>
    <x v="4"/>
    <x v="0"/>
    <x v="11"/>
    <x v="8"/>
    <x v="0"/>
    <x v="2"/>
    <x v="0"/>
    <n v="0"/>
    <n v="34801"/>
    <n v="3.4800999999999999E-2"/>
    <n v="43252"/>
    <x v="0"/>
  </r>
  <r>
    <n v="60000077"/>
    <x v="5"/>
    <x v="1"/>
    <x v="1"/>
    <x v="6"/>
    <x v="0"/>
    <n v="0.16"/>
    <x v="2"/>
    <x v="1"/>
    <x v="11"/>
    <x v="32"/>
    <x v="0"/>
    <x v="2"/>
    <x v="0"/>
    <n v="2"/>
    <n v="79253"/>
    <n v="7.9253000000000004E-2"/>
    <n v="43252"/>
    <x v="0"/>
  </r>
  <r>
    <n v="60000078"/>
    <x v="17"/>
    <x v="1"/>
    <x v="1"/>
    <x v="7"/>
    <x v="0"/>
    <n v="0.38"/>
    <x v="1"/>
    <x v="4"/>
    <x v="5"/>
    <x v="24"/>
    <x v="0"/>
    <x v="2"/>
    <x v="0"/>
    <n v="0"/>
    <n v="74467"/>
    <n v="7.4467000000000005E-2"/>
    <n v="43252"/>
    <x v="0"/>
  </r>
  <r>
    <n v="60000079"/>
    <x v="19"/>
    <x v="1"/>
    <x v="1"/>
    <x v="1"/>
    <x v="0"/>
    <n v="0.31"/>
    <x v="3"/>
    <x v="7"/>
    <x v="12"/>
    <x v="6"/>
    <x v="0"/>
    <x v="2"/>
    <x v="0"/>
    <n v="0"/>
    <n v="71270"/>
    <n v="7.127E-2"/>
    <n v="43252"/>
    <x v="0"/>
  </r>
  <r>
    <n v="60000080"/>
    <x v="37"/>
    <x v="1"/>
    <x v="0"/>
    <x v="3"/>
    <x v="0"/>
    <n v="0.35"/>
    <x v="1"/>
    <x v="13"/>
    <x v="3"/>
    <x v="7"/>
    <x v="0"/>
    <x v="2"/>
    <x v="0"/>
    <n v="0"/>
    <n v="84560"/>
    <n v="8.4559999999999996E-2"/>
    <n v="43252"/>
    <x v="0"/>
  </r>
  <r>
    <n v="60000081"/>
    <x v="34"/>
    <x v="1"/>
    <x v="0"/>
    <x v="10"/>
    <x v="0"/>
    <n v="0.19"/>
    <x v="0"/>
    <x v="12"/>
    <x v="10"/>
    <x v="20"/>
    <x v="0"/>
    <x v="2"/>
    <x v="0"/>
    <n v="0"/>
    <n v="67808"/>
    <n v="6.7807999999999993E-2"/>
    <n v="43252"/>
    <x v="0"/>
  </r>
  <r>
    <n v="60000082"/>
    <x v="16"/>
    <x v="0"/>
    <x v="1"/>
    <x v="0"/>
    <x v="0"/>
    <n v="0.13"/>
    <x v="2"/>
    <x v="2"/>
    <x v="4"/>
    <x v="34"/>
    <x v="0"/>
    <x v="2"/>
    <x v="0"/>
    <n v="0"/>
    <n v="35771"/>
    <n v="3.5770999999999997E-2"/>
    <n v="43252"/>
    <x v="0"/>
  </r>
  <r>
    <n v="60000083"/>
    <x v="38"/>
    <x v="0"/>
    <x v="1"/>
    <x v="7"/>
    <x v="0"/>
    <n v="0.17"/>
    <x v="2"/>
    <x v="12"/>
    <x v="1"/>
    <x v="31"/>
    <x v="0"/>
    <x v="2"/>
    <x v="0"/>
    <n v="0"/>
    <n v="28257"/>
    <n v="2.8257000000000001E-2"/>
    <n v="43252"/>
    <x v="0"/>
  </r>
  <r>
    <n v="60000084"/>
    <x v="33"/>
    <x v="1"/>
    <x v="0"/>
    <x v="8"/>
    <x v="0"/>
    <n v="0.12"/>
    <x v="2"/>
    <x v="8"/>
    <x v="4"/>
    <x v="33"/>
    <x v="0"/>
    <x v="2"/>
    <x v="0"/>
    <n v="0"/>
    <n v="65096"/>
    <n v="6.5096000000000001E-2"/>
    <n v="43252"/>
    <x v="0"/>
  </r>
  <r>
    <n v="60000085"/>
    <x v="37"/>
    <x v="1"/>
    <x v="1"/>
    <x v="2"/>
    <x v="0"/>
    <n v="0.27"/>
    <x v="3"/>
    <x v="13"/>
    <x v="3"/>
    <x v="35"/>
    <x v="0"/>
    <x v="2"/>
    <x v="0"/>
    <n v="0"/>
    <n v="46817"/>
    <n v="4.6816999999999998E-2"/>
    <n v="43252"/>
    <x v="0"/>
  </r>
  <r>
    <n v="60000086"/>
    <x v="31"/>
    <x v="1"/>
    <x v="0"/>
    <x v="2"/>
    <x v="0"/>
    <n v="0.17"/>
    <x v="2"/>
    <x v="5"/>
    <x v="6"/>
    <x v="36"/>
    <x v="0"/>
    <x v="2"/>
    <x v="0"/>
    <n v="3"/>
    <n v="70068"/>
    <n v="7.0068000000000005E-2"/>
    <n v="43252"/>
    <x v="0"/>
  </r>
  <r>
    <n v="60000087"/>
    <x v="3"/>
    <x v="0"/>
    <x v="1"/>
    <x v="6"/>
    <x v="0"/>
    <n v="0.26"/>
    <x v="3"/>
    <x v="13"/>
    <x v="9"/>
    <x v="28"/>
    <x v="0"/>
    <x v="2"/>
    <x v="0"/>
    <n v="0"/>
    <n v="64035"/>
    <n v="6.4034999999999995E-2"/>
    <n v="43252"/>
    <x v="0"/>
  </r>
  <r>
    <n v="60000088"/>
    <x v="24"/>
    <x v="0"/>
    <x v="1"/>
    <x v="10"/>
    <x v="0"/>
    <n v="0.26"/>
    <x v="3"/>
    <x v="7"/>
    <x v="5"/>
    <x v="5"/>
    <x v="0"/>
    <x v="2"/>
    <x v="0"/>
    <n v="0"/>
    <n v="59746"/>
    <n v="5.9746E-2"/>
    <n v="43252"/>
    <x v="0"/>
  </r>
  <r>
    <n v="60000089"/>
    <x v="39"/>
    <x v="0"/>
    <x v="1"/>
    <x v="2"/>
    <x v="0"/>
    <n v="0.38"/>
    <x v="1"/>
    <x v="12"/>
    <x v="11"/>
    <x v="17"/>
    <x v="0"/>
    <x v="2"/>
    <x v="0"/>
    <n v="0"/>
    <n v="65443"/>
    <n v="6.5443000000000001E-2"/>
    <n v="43252"/>
    <x v="0"/>
  </r>
  <r>
    <n v="60000090"/>
    <x v="29"/>
    <x v="1"/>
    <x v="0"/>
    <x v="2"/>
    <x v="0"/>
    <n v="0.28999999999999998"/>
    <x v="3"/>
    <x v="1"/>
    <x v="4"/>
    <x v="37"/>
    <x v="0"/>
    <x v="2"/>
    <x v="0"/>
    <n v="7"/>
    <n v="77471"/>
    <n v="7.7470999999999998E-2"/>
    <n v="43252"/>
    <x v="0"/>
  </r>
  <r>
    <n v="60000091"/>
    <x v="40"/>
    <x v="1"/>
    <x v="0"/>
    <x v="2"/>
    <x v="0"/>
    <n v="0.13"/>
    <x v="2"/>
    <x v="3"/>
    <x v="8"/>
    <x v="11"/>
    <x v="0"/>
    <x v="2"/>
    <x v="0"/>
    <n v="1"/>
    <n v="62047"/>
    <n v="6.2046999999999998E-2"/>
    <n v="43252"/>
    <x v="0"/>
  </r>
  <r>
    <n v="60000092"/>
    <x v="9"/>
    <x v="0"/>
    <x v="1"/>
    <x v="8"/>
    <x v="0"/>
    <n v="0.35"/>
    <x v="1"/>
    <x v="5"/>
    <x v="3"/>
    <x v="32"/>
    <x v="0"/>
    <x v="2"/>
    <x v="0"/>
    <n v="3"/>
    <n v="72608"/>
    <n v="7.2608000000000006E-2"/>
    <n v="43252"/>
    <x v="0"/>
  </r>
  <r>
    <n v="60000093"/>
    <x v="7"/>
    <x v="0"/>
    <x v="0"/>
    <x v="8"/>
    <x v="0"/>
    <n v="0.35"/>
    <x v="1"/>
    <x v="0"/>
    <x v="1"/>
    <x v="18"/>
    <x v="0"/>
    <x v="2"/>
    <x v="0"/>
    <n v="6"/>
    <n v="33947"/>
    <n v="3.3946999999999998E-2"/>
    <n v="43252"/>
    <x v="0"/>
  </r>
  <r>
    <n v="60000094"/>
    <x v="28"/>
    <x v="0"/>
    <x v="0"/>
    <x v="3"/>
    <x v="0"/>
    <n v="0.25"/>
    <x v="3"/>
    <x v="13"/>
    <x v="10"/>
    <x v="38"/>
    <x v="0"/>
    <x v="2"/>
    <x v="0"/>
    <n v="6"/>
    <n v="37975"/>
    <n v="3.7975000000000002E-2"/>
    <n v="43252"/>
    <x v="0"/>
  </r>
  <r>
    <n v="60000095"/>
    <x v="26"/>
    <x v="0"/>
    <x v="0"/>
    <x v="10"/>
    <x v="0"/>
    <n v="0.12"/>
    <x v="2"/>
    <x v="8"/>
    <x v="3"/>
    <x v="29"/>
    <x v="0"/>
    <x v="2"/>
    <x v="0"/>
    <n v="0"/>
    <n v="29675"/>
    <n v="2.9675E-2"/>
    <n v="43252"/>
    <x v="0"/>
  </r>
  <r>
    <n v="60000096"/>
    <x v="3"/>
    <x v="1"/>
    <x v="1"/>
    <x v="5"/>
    <x v="0"/>
    <n v="0.31"/>
    <x v="3"/>
    <x v="5"/>
    <x v="12"/>
    <x v="6"/>
    <x v="0"/>
    <x v="2"/>
    <x v="0"/>
    <n v="0"/>
    <n v="51903"/>
    <n v="5.1902999999999998E-2"/>
    <n v="43252"/>
    <x v="0"/>
  </r>
  <r>
    <n v="60000097"/>
    <x v="3"/>
    <x v="1"/>
    <x v="1"/>
    <x v="7"/>
    <x v="0"/>
    <n v="0.19"/>
    <x v="0"/>
    <x v="11"/>
    <x v="8"/>
    <x v="16"/>
    <x v="0"/>
    <x v="2"/>
    <x v="0"/>
    <n v="0"/>
    <n v="75407"/>
    <n v="7.5407000000000002E-2"/>
    <n v="43252"/>
    <x v="0"/>
  </r>
  <r>
    <n v="60000098"/>
    <x v="40"/>
    <x v="1"/>
    <x v="1"/>
    <x v="1"/>
    <x v="0"/>
    <n v="0.35"/>
    <x v="1"/>
    <x v="1"/>
    <x v="2"/>
    <x v="37"/>
    <x v="0"/>
    <x v="2"/>
    <x v="0"/>
    <n v="0"/>
    <n v="53325"/>
    <n v="5.3324999999999997E-2"/>
    <n v="43252"/>
    <x v="0"/>
  </r>
  <r>
    <n v="60000099"/>
    <x v="30"/>
    <x v="0"/>
    <x v="0"/>
    <x v="7"/>
    <x v="0"/>
    <n v="0.36"/>
    <x v="1"/>
    <x v="5"/>
    <x v="3"/>
    <x v="39"/>
    <x v="0"/>
    <x v="2"/>
    <x v="0"/>
    <n v="7"/>
    <n v="67527"/>
    <n v="6.7527000000000004E-2"/>
    <n v="43252"/>
    <x v="0"/>
  </r>
  <r>
    <n v="60000100"/>
    <x v="6"/>
    <x v="1"/>
    <x v="1"/>
    <x v="3"/>
    <x v="0"/>
    <n v="0.17"/>
    <x v="2"/>
    <x v="11"/>
    <x v="1"/>
    <x v="7"/>
    <x v="0"/>
    <x v="2"/>
    <x v="0"/>
    <n v="5"/>
    <n v="41676"/>
    <n v="4.1675999999999998E-2"/>
    <n v="43252"/>
    <x v="0"/>
  </r>
  <r>
    <n v="60000101"/>
    <x v="22"/>
    <x v="1"/>
    <x v="0"/>
    <x v="4"/>
    <x v="0"/>
    <n v="0.27"/>
    <x v="3"/>
    <x v="14"/>
    <x v="12"/>
    <x v="38"/>
    <x v="0"/>
    <x v="2"/>
    <x v="0"/>
    <n v="0"/>
    <n v="83260"/>
    <n v="8.3260000000000001E-2"/>
    <n v="43252"/>
    <x v="0"/>
  </r>
  <r>
    <n v="60000102"/>
    <x v="9"/>
    <x v="1"/>
    <x v="1"/>
    <x v="8"/>
    <x v="0"/>
    <n v="0.28999999999999998"/>
    <x v="3"/>
    <x v="8"/>
    <x v="9"/>
    <x v="4"/>
    <x v="0"/>
    <x v="2"/>
    <x v="0"/>
    <n v="0"/>
    <n v="42293"/>
    <n v="4.2292999999999997E-2"/>
    <n v="43252"/>
    <x v="0"/>
  </r>
  <r>
    <n v="60000103"/>
    <x v="41"/>
    <x v="1"/>
    <x v="1"/>
    <x v="4"/>
    <x v="0"/>
    <n v="0.23"/>
    <x v="0"/>
    <x v="15"/>
    <x v="1"/>
    <x v="29"/>
    <x v="0"/>
    <x v="2"/>
    <x v="0"/>
    <n v="4"/>
    <n v="31530"/>
    <n v="3.1530000000000002E-2"/>
    <n v="43252"/>
    <x v="0"/>
  </r>
  <r>
    <n v="60000104"/>
    <x v="21"/>
    <x v="0"/>
    <x v="0"/>
    <x v="6"/>
    <x v="0"/>
    <n v="0.21"/>
    <x v="0"/>
    <x v="14"/>
    <x v="12"/>
    <x v="28"/>
    <x v="0"/>
    <x v="2"/>
    <x v="0"/>
    <n v="0"/>
    <n v="80431"/>
    <n v="8.0431000000000002E-2"/>
    <n v="43252"/>
    <x v="0"/>
  </r>
  <r>
    <n v="60000105"/>
    <x v="32"/>
    <x v="0"/>
    <x v="0"/>
    <x v="10"/>
    <x v="0"/>
    <n v="0.36"/>
    <x v="1"/>
    <x v="3"/>
    <x v="5"/>
    <x v="40"/>
    <x v="0"/>
    <x v="2"/>
    <x v="0"/>
    <n v="2"/>
    <n v="27023"/>
    <n v="2.7022999999999998E-2"/>
    <n v="43252"/>
    <x v="0"/>
  </r>
  <r>
    <n v="60000106"/>
    <x v="8"/>
    <x v="0"/>
    <x v="0"/>
    <x v="6"/>
    <x v="0"/>
    <n v="0.11"/>
    <x v="4"/>
    <x v="0"/>
    <x v="3"/>
    <x v="41"/>
    <x v="0"/>
    <x v="2"/>
    <x v="0"/>
    <n v="0"/>
    <n v="30628"/>
    <n v="3.0627999999999999E-2"/>
    <n v="43252"/>
    <x v="0"/>
  </r>
  <r>
    <n v="60000107"/>
    <x v="24"/>
    <x v="1"/>
    <x v="0"/>
    <x v="7"/>
    <x v="0"/>
    <n v="0.11"/>
    <x v="4"/>
    <x v="10"/>
    <x v="10"/>
    <x v="42"/>
    <x v="0"/>
    <x v="2"/>
    <x v="0"/>
    <n v="7"/>
    <n v="84173"/>
    <n v="8.4172999999999998E-2"/>
    <n v="43252"/>
    <x v="0"/>
  </r>
  <r>
    <n v="60000108"/>
    <x v="36"/>
    <x v="1"/>
    <x v="0"/>
    <x v="3"/>
    <x v="0"/>
    <n v="0.28000000000000003"/>
    <x v="3"/>
    <x v="8"/>
    <x v="10"/>
    <x v="13"/>
    <x v="0"/>
    <x v="2"/>
    <x v="0"/>
    <n v="4"/>
    <n v="40057"/>
    <n v="4.0057000000000002E-2"/>
    <n v="43252"/>
    <x v="0"/>
  </r>
  <r>
    <n v="60000109"/>
    <x v="35"/>
    <x v="1"/>
    <x v="1"/>
    <x v="2"/>
    <x v="0"/>
    <n v="0.32"/>
    <x v="1"/>
    <x v="0"/>
    <x v="8"/>
    <x v="29"/>
    <x v="0"/>
    <x v="2"/>
    <x v="0"/>
    <n v="0"/>
    <n v="31074"/>
    <n v="3.1074000000000001E-2"/>
    <n v="43252"/>
    <x v="0"/>
  </r>
  <r>
    <n v="60000110"/>
    <x v="19"/>
    <x v="0"/>
    <x v="1"/>
    <x v="5"/>
    <x v="0"/>
    <n v="0.35"/>
    <x v="1"/>
    <x v="10"/>
    <x v="11"/>
    <x v="22"/>
    <x v="0"/>
    <x v="2"/>
    <x v="0"/>
    <n v="5"/>
    <n v="40029"/>
    <n v="4.0029000000000002E-2"/>
    <n v="43252"/>
    <x v="0"/>
  </r>
  <r>
    <n v="60000111"/>
    <x v="37"/>
    <x v="0"/>
    <x v="0"/>
    <x v="9"/>
    <x v="0"/>
    <n v="0.22"/>
    <x v="0"/>
    <x v="4"/>
    <x v="11"/>
    <x v="10"/>
    <x v="0"/>
    <x v="2"/>
    <x v="0"/>
    <n v="0"/>
    <n v="63650"/>
    <n v="6.3649999999999998E-2"/>
    <n v="43252"/>
    <x v="0"/>
  </r>
  <r>
    <n v="60000112"/>
    <x v="36"/>
    <x v="0"/>
    <x v="1"/>
    <x v="7"/>
    <x v="0"/>
    <n v="0.28000000000000003"/>
    <x v="3"/>
    <x v="13"/>
    <x v="1"/>
    <x v="7"/>
    <x v="0"/>
    <x v="2"/>
    <x v="0"/>
    <n v="0"/>
    <n v="78866"/>
    <n v="7.8866000000000006E-2"/>
    <n v="43252"/>
    <x v="0"/>
  </r>
  <r>
    <n v="60000113"/>
    <x v="42"/>
    <x v="1"/>
    <x v="1"/>
    <x v="5"/>
    <x v="0"/>
    <n v="0.25"/>
    <x v="3"/>
    <x v="15"/>
    <x v="8"/>
    <x v="10"/>
    <x v="0"/>
    <x v="2"/>
    <x v="0"/>
    <n v="3"/>
    <n v="51138"/>
    <n v="5.1138000000000003E-2"/>
    <n v="43252"/>
    <x v="0"/>
  </r>
  <r>
    <n v="60000114"/>
    <x v="19"/>
    <x v="1"/>
    <x v="0"/>
    <x v="2"/>
    <x v="0"/>
    <n v="0.19"/>
    <x v="0"/>
    <x v="3"/>
    <x v="11"/>
    <x v="1"/>
    <x v="0"/>
    <x v="2"/>
    <x v="0"/>
    <n v="6"/>
    <n v="66491"/>
    <n v="6.6490999999999995E-2"/>
    <n v="43252"/>
    <x v="0"/>
  </r>
  <r>
    <n v="60000115"/>
    <x v="10"/>
    <x v="1"/>
    <x v="0"/>
    <x v="10"/>
    <x v="0"/>
    <n v="0.17"/>
    <x v="2"/>
    <x v="8"/>
    <x v="8"/>
    <x v="38"/>
    <x v="0"/>
    <x v="2"/>
    <x v="0"/>
    <n v="3"/>
    <n v="48516"/>
    <n v="4.8515999999999997E-2"/>
    <n v="43252"/>
    <x v="0"/>
  </r>
  <r>
    <n v="60000116"/>
    <x v="43"/>
    <x v="0"/>
    <x v="1"/>
    <x v="1"/>
    <x v="0"/>
    <n v="0.23"/>
    <x v="0"/>
    <x v="10"/>
    <x v="10"/>
    <x v="31"/>
    <x v="0"/>
    <x v="2"/>
    <x v="0"/>
    <n v="0"/>
    <n v="58625"/>
    <n v="5.8624999999999997E-2"/>
    <n v="43252"/>
    <x v="0"/>
  </r>
  <r>
    <n v="60000117"/>
    <x v="2"/>
    <x v="1"/>
    <x v="0"/>
    <x v="6"/>
    <x v="0"/>
    <n v="0.2"/>
    <x v="0"/>
    <x v="4"/>
    <x v="7"/>
    <x v="31"/>
    <x v="0"/>
    <x v="2"/>
    <x v="0"/>
    <n v="1"/>
    <n v="35181"/>
    <n v="3.5180999999999997E-2"/>
    <n v="43252"/>
    <x v="0"/>
  </r>
  <r>
    <n v="60000118"/>
    <x v="23"/>
    <x v="0"/>
    <x v="0"/>
    <x v="8"/>
    <x v="0"/>
    <n v="0.28000000000000003"/>
    <x v="3"/>
    <x v="11"/>
    <x v="5"/>
    <x v="3"/>
    <x v="0"/>
    <x v="2"/>
    <x v="0"/>
    <n v="0"/>
    <n v="30585"/>
    <n v="3.0585000000000001E-2"/>
    <n v="43252"/>
    <x v="0"/>
  </r>
  <r>
    <n v="60000119"/>
    <x v="8"/>
    <x v="0"/>
    <x v="1"/>
    <x v="11"/>
    <x v="0"/>
    <n v="0.37"/>
    <x v="1"/>
    <x v="2"/>
    <x v="7"/>
    <x v="43"/>
    <x v="0"/>
    <x v="2"/>
    <x v="0"/>
    <n v="0"/>
    <n v="52519"/>
    <n v="5.2519000000000003E-2"/>
    <n v="43252"/>
    <x v="0"/>
  </r>
  <r>
    <n v="60000120"/>
    <x v="13"/>
    <x v="0"/>
    <x v="0"/>
    <x v="7"/>
    <x v="0"/>
    <n v="0.37"/>
    <x v="1"/>
    <x v="6"/>
    <x v="7"/>
    <x v="15"/>
    <x v="0"/>
    <x v="2"/>
    <x v="0"/>
    <n v="0"/>
    <n v="33470"/>
    <n v="3.347E-2"/>
    <n v="43252"/>
    <x v="0"/>
  </r>
  <r>
    <n v="60000121"/>
    <x v="24"/>
    <x v="0"/>
    <x v="0"/>
    <x v="9"/>
    <x v="0"/>
    <n v="0.2"/>
    <x v="0"/>
    <x v="3"/>
    <x v="6"/>
    <x v="18"/>
    <x v="0"/>
    <x v="2"/>
    <x v="0"/>
    <n v="0"/>
    <n v="35876"/>
    <n v="3.5875999999999998E-2"/>
    <n v="43252"/>
    <x v="0"/>
  </r>
  <r>
    <n v="60000122"/>
    <x v="40"/>
    <x v="1"/>
    <x v="1"/>
    <x v="9"/>
    <x v="0"/>
    <n v="0.1"/>
    <x v="4"/>
    <x v="5"/>
    <x v="4"/>
    <x v="44"/>
    <x v="0"/>
    <x v="2"/>
    <x v="0"/>
    <n v="0"/>
    <n v="27806"/>
    <n v="2.7806000000000001E-2"/>
    <n v="43252"/>
    <x v="0"/>
  </r>
  <r>
    <n v="60000123"/>
    <x v="36"/>
    <x v="1"/>
    <x v="0"/>
    <x v="11"/>
    <x v="0"/>
    <n v="0.21"/>
    <x v="0"/>
    <x v="8"/>
    <x v="11"/>
    <x v="37"/>
    <x v="0"/>
    <x v="2"/>
    <x v="0"/>
    <n v="7"/>
    <n v="63422"/>
    <n v="6.3422000000000006E-2"/>
    <n v="43252"/>
    <x v="0"/>
  </r>
  <r>
    <n v="60000124"/>
    <x v="3"/>
    <x v="1"/>
    <x v="0"/>
    <x v="3"/>
    <x v="0"/>
    <n v="0.21"/>
    <x v="0"/>
    <x v="3"/>
    <x v="5"/>
    <x v="45"/>
    <x v="0"/>
    <x v="2"/>
    <x v="0"/>
    <n v="4"/>
    <n v="52615"/>
    <n v="5.2615000000000002E-2"/>
    <n v="43252"/>
    <x v="0"/>
  </r>
  <r>
    <n v="60000125"/>
    <x v="39"/>
    <x v="1"/>
    <x v="0"/>
    <x v="0"/>
    <x v="0"/>
    <n v="0.35"/>
    <x v="1"/>
    <x v="8"/>
    <x v="3"/>
    <x v="25"/>
    <x v="0"/>
    <x v="2"/>
    <x v="0"/>
    <n v="0"/>
    <n v="77731"/>
    <n v="7.7730999999999995E-2"/>
    <n v="43252"/>
    <x v="0"/>
  </r>
  <r>
    <n v="60000126"/>
    <x v="27"/>
    <x v="1"/>
    <x v="1"/>
    <x v="2"/>
    <x v="0"/>
    <n v="0.33"/>
    <x v="1"/>
    <x v="4"/>
    <x v="7"/>
    <x v="4"/>
    <x v="0"/>
    <x v="2"/>
    <x v="0"/>
    <n v="0"/>
    <n v="58121"/>
    <n v="5.8120999999999999E-2"/>
    <n v="43252"/>
    <x v="0"/>
  </r>
  <r>
    <n v="60000127"/>
    <x v="12"/>
    <x v="1"/>
    <x v="1"/>
    <x v="2"/>
    <x v="0"/>
    <n v="0.23"/>
    <x v="0"/>
    <x v="15"/>
    <x v="0"/>
    <x v="10"/>
    <x v="0"/>
    <x v="2"/>
    <x v="0"/>
    <n v="4"/>
    <n v="48154"/>
    <n v="4.8154000000000002E-2"/>
    <n v="43252"/>
    <x v="0"/>
  </r>
  <r>
    <n v="60000128"/>
    <x v="7"/>
    <x v="0"/>
    <x v="0"/>
    <x v="10"/>
    <x v="0"/>
    <n v="0.13"/>
    <x v="2"/>
    <x v="5"/>
    <x v="10"/>
    <x v="46"/>
    <x v="0"/>
    <x v="2"/>
    <x v="0"/>
    <n v="4"/>
    <n v="30044"/>
    <n v="3.0044000000000001E-2"/>
    <n v="43252"/>
    <x v="0"/>
  </r>
  <r>
    <n v="60000129"/>
    <x v="41"/>
    <x v="1"/>
    <x v="1"/>
    <x v="1"/>
    <x v="0"/>
    <n v="0.12"/>
    <x v="2"/>
    <x v="13"/>
    <x v="1"/>
    <x v="47"/>
    <x v="0"/>
    <x v="2"/>
    <x v="0"/>
    <n v="1"/>
    <n v="70847"/>
    <n v="7.0846999999999993E-2"/>
    <n v="43252"/>
    <x v="0"/>
  </r>
  <r>
    <n v="60000130"/>
    <x v="40"/>
    <x v="0"/>
    <x v="1"/>
    <x v="10"/>
    <x v="0"/>
    <n v="0.15"/>
    <x v="2"/>
    <x v="1"/>
    <x v="7"/>
    <x v="6"/>
    <x v="0"/>
    <x v="2"/>
    <x v="0"/>
    <n v="1"/>
    <n v="73043"/>
    <n v="7.3042999999999997E-2"/>
    <n v="43252"/>
    <x v="0"/>
  </r>
  <r>
    <n v="60000131"/>
    <x v="18"/>
    <x v="1"/>
    <x v="0"/>
    <x v="11"/>
    <x v="0"/>
    <n v="0.21"/>
    <x v="0"/>
    <x v="4"/>
    <x v="2"/>
    <x v="28"/>
    <x v="0"/>
    <x v="2"/>
    <x v="0"/>
    <n v="0"/>
    <n v="31925"/>
    <n v="3.1925000000000002E-2"/>
    <n v="43252"/>
    <x v="0"/>
  </r>
  <r>
    <n v="60000132"/>
    <x v="31"/>
    <x v="1"/>
    <x v="0"/>
    <x v="0"/>
    <x v="0"/>
    <n v="0.11"/>
    <x v="4"/>
    <x v="10"/>
    <x v="12"/>
    <x v="26"/>
    <x v="0"/>
    <x v="2"/>
    <x v="0"/>
    <n v="0"/>
    <n v="75752"/>
    <n v="7.5752E-2"/>
    <n v="43252"/>
    <x v="0"/>
  </r>
  <r>
    <n v="60000133"/>
    <x v="1"/>
    <x v="1"/>
    <x v="0"/>
    <x v="1"/>
    <x v="0"/>
    <n v="0.21"/>
    <x v="0"/>
    <x v="8"/>
    <x v="9"/>
    <x v="31"/>
    <x v="0"/>
    <x v="2"/>
    <x v="0"/>
    <n v="0"/>
    <n v="24793"/>
    <n v="2.4792999999999999E-2"/>
    <n v="43252"/>
    <x v="0"/>
  </r>
  <r>
    <n v="60000134"/>
    <x v="23"/>
    <x v="0"/>
    <x v="1"/>
    <x v="3"/>
    <x v="0"/>
    <n v="0.28999999999999998"/>
    <x v="3"/>
    <x v="9"/>
    <x v="3"/>
    <x v="19"/>
    <x v="0"/>
    <x v="2"/>
    <x v="0"/>
    <n v="0"/>
    <n v="58103"/>
    <n v="5.8103000000000002E-2"/>
    <n v="43252"/>
    <x v="0"/>
  </r>
  <r>
    <n v="60000135"/>
    <x v="31"/>
    <x v="0"/>
    <x v="1"/>
    <x v="9"/>
    <x v="0"/>
    <n v="0.33"/>
    <x v="1"/>
    <x v="3"/>
    <x v="11"/>
    <x v="20"/>
    <x v="0"/>
    <x v="2"/>
    <x v="0"/>
    <n v="1"/>
    <n v="46478"/>
    <n v="4.6477999999999998E-2"/>
    <n v="43252"/>
    <x v="0"/>
  </r>
  <r>
    <n v="60000136"/>
    <x v="8"/>
    <x v="0"/>
    <x v="0"/>
    <x v="5"/>
    <x v="0"/>
    <n v="0.3"/>
    <x v="3"/>
    <x v="3"/>
    <x v="0"/>
    <x v="28"/>
    <x v="0"/>
    <x v="2"/>
    <x v="0"/>
    <n v="3"/>
    <n v="83401"/>
    <n v="8.3401000000000003E-2"/>
    <n v="43252"/>
    <x v="0"/>
  </r>
  <r>
    <n v="60000137"/>
    <x v="18"/>
    <x v="0"/>
    <x v="0"/>
    <x v="2"/>
    <x v="0"/>
    <n v="0.25"/>
    <x v="3"/>
    <x v="13"/>
    <x v="3"/>
    <x v="30"/>
    <x v="0"/>
    <x v="2"/>
    <x v="0"/>
    <n v="0"/>
    <n v="61812"/>
    <n v="6.1811999999999999E-2"/>
    <n v="43252"/>
    <x v="0"/>
  </r>
  <r>
    <n v="60000138"/>
    <x v="23"/>
    <x v="0"/>
    <x v="0"/>
    <x v="3"/>
    <x v="0"/>
    <n v="0.33"/>
    <x v="1"/>
    <x v="0"/>
    <x v="6"/>
    <x v="41"/>
    <x v="0"/>
    <x v="2"/>
    <x v="0"/>
    <n v="0"/>
    <n v="58973"/>
    <n v="5.8972999999999998E-2"/>
    <n v="43252"/>
    <x v="0"/>
  </r>
  <r>
    <n v="60000139"/>
    <x v="10"/>
    <x v="0"/>
    <x v="1"/>
    <x v="6"/>
    <x v="0"/>
    <n v="0.23"/>
    <x v="0"/>
    <x v="11"/>
    <x v="5"/>
    <x v="34"/>
    <x v="0"/>
    <x v="2"/>
    <x v="0"/>
    <n v="0"/>
    <n v="36477"/>
    <n v="3.6477000000000002E-2"/>
    <n v="43252"/>
    <x v="0"/>
  </r>
  <r>
    <n v="60000140"/>
    <x v="1"/>
    <x v="1"/>
    <x v="1"/>
    <x v="9"/>
    <x v="0"/>
    <n v="0.33"/>
    <x v="1"/>
    <x v="1"/>
    <x v="7"/>
    <x v="39"/>
    <x v="0"/>
    <x v="2"/>
    <x v="0"/>
    <n v="4"/>
    <n v="33098"/>
    <n v="3.3098000000000002E-2"/>
    <n v="43252"/>
    <x v="0"/>
  </r>
  <r>
    <n v="60000141"/>
    <x v="18"/>
    <x v="0"/>
    <x v="1"/>
    <x v="1"/>
    <x v="0"/>
    <n v="0.12"/>
    <x v="2"/>
    <x v="0"/>
    <x v="12"/>
    <x v="44"/>
    <x v="0"/>
    <x v="2"/>
    <x v="0"/>
    <n v="0"/>
    <n v="71611"/>
    <n v="7.1610999999999994E-2"/>
    <n v="43252"/>
    <x v="0"/>
  </r>
  <r>
    <n v="60000142"/>
    <x v="16"/>
    <x v="1"/>
    <x v="1"/>
    <x v="0"/>
    <x v="0"/>
    <n v="0.38"/>
    <x v="1"/>
    <x v="10"/>
    <x v="12"/>
    <x v="43"/>
    <x v="0"/>
    <x v="2"/>
    <x v="0"/>
    <n v="0"/>
    <n v="29276"/>
    <n v="2.9276E-2"/>
    <n v="43252"/>
    <x v="0"/>
  </r>
  <r>
    <n v="60000143"/>
    <x v="34"/>
    <x v="0"/>
    <x v="1"/>
    <x v="0"/>
    <x v="0"/>
    <n v="0.35"/>
    <x v="1"/>
    <x v="7"/>
    <x v="0"/>
    <x v="14"/>
    <x v="0"/>
    <x v="2"/>
    <x v="0"/>
    <n v="2"/>
    <n v="26313"/>
    <n v="2.6313E-2"/>
    <n v="43252"/>
    <x v="0"/>
  </r>
  <r>
    <n v="60000144"/>
    <x v="37"/>
    <x v="1"/>
    <x v="0"/>
    <x v="8"/>
    <x v="0"/>
    <n v="0.15"/>
    <x v="2"/>
    <x v="4"/>
    <x v="2"/>
    <x v="35"/>
    <x v="0"/>
    <x v="2"/>
    <x v="0"/>
    <n v="0"/>
    <n v="35278"/>
    <n v="3.5277999999999997E-2"/>
    <n v="43252"/>
    <x v="0"/>
  </r>
  <r>
    <n v="60000145"/>
    <x v="40"/>
    <x v="1"/>
    <x v="0"/>
    <x v="1"/>
    <x v="0"/>
    <n v="0.16"/>
    <x v="2"/>
    <x v="10"/>
    <x v="11"/>
    <x v="14"/>
    <x v="0"/>
    <x v="2"/>
    <x v="0"/>
    <n v="2"/>
    <n v="72189"/>
    <n v="7.2189000000000003E-2"/>
    <n v="43252"/>
    <x v="0"/>
  </r>
  <r>
    <n v="60000146"/>
    <x v="44"/>
    <x v="0"/>
    <x v="1"/>
    <x v="1"/>
    <x v="0"/>
    <n v="0.19"/>
    <x v="0"/>
    <x v="5"/>
    <x v="6"/>
    <x v="40"/>
    <x v="0"/>
    <x v="2"/>
    <x v="0"/>
    <n v="0"/>
    <n v="47169"/>
    <n v="4.7169000000000003E-2"/>
    <n v="43252"/>
    <x v="0"/>
  </r>
  <r>
    <n v="60000147"/>
    <x v="16"/>
    <x v="1"/>
    <x v="0"/>
    <x v="7"/>
    <x v="0"/>
    <n v="0.37"/>
    <x v="1"/>
    <x v="15"/>
    <x v="12"/>
    <x v="33"/>
    <x v="0"/>
    <x v="2"/>
    <x v="0"/>
    <n v="0"/>
    <n v="33136"/>
    <n v="3.3135999999999999E-2"/>
    <n v="43252"/>
    <x v="0"/>
  </r>
  <r>
    <n v="60000148"/>
    <x v="20"/>
    <x v="0"/>
    <x v="1"/>
    <x v="1"/>
    <x v="0"/>
    <n v="0.18"/>
    <x v="2"/>
    <x v="4"/>
    <x v="4"/>
    <x v="25"/>
    <x v="0"/>
    <x v="2"/>
    <x v="0"/>
    <n v="7"/>
    <n v="60885"/>
    <n v="6.0885000000000002E-2"/>
    <n v="43252"/>
    <x v="0"/>
  </r>
  <r>
    <n v="60000149"/>
    <x v="36"/>
    <x v="0"/>
    <x v="0"/>
    <x v="11"/>
    <x v="0"/>
    <n v="0.2"/>
    <x v="0"/>
    <x v="8"/>
    <x v="2"/>
    <x v="33"/>
    <x v="0"/>
    <x v="2"/>
    <x v="0"/>
    <n v="2"/>
    <n v="74807"/>
    <n v="7.4806999999999998E-2"/>
    <n v="43252"/>
    <x v="0"/>
  </r>
  <r>
    <n v="60000150"/>
    <x v="33"/>
    <x v="1"/>
    <x v="1"/>
    <x v="1"/>
    <x v="0"/>
    <n v="0.1"/>
    <x v="4"/>
    <x v="10"/>
    <x v="7"/>
    <x v="0"/>
    <x v="0"/>
    <x v="2"/>
    <x v="0"/>
    <n v="5"/>
    <n v="60944"/>
    <n v="6.0943999999999998E-2"/>
    <n v="43252"/>
    <x v="0"/>
  </r>
  <r>
    <n v="60000151"/>
    <x v="10"/>
    <x v="0"/>
    <x v="0"/>
    <x v="9"/>
    <x v="0"/>
    <n v="0.23"/>
    <x v="0"/>
    <x v="5"/>
    <x v="12"/>
    <x v="48"/>
    <x v="0"/>
    <x v="2"/>
    <x v="0"/>
    <n v="0"/>
    <n v="58918"/>
    <n v="5.8917999999999998E-2"/>
    <n v="43252"/>
    <x v="0"/>
  </r>
  <r>
    <n v="60000152"/>
    <x v="0"/>
    <x v="0"/>
    <x v="0"/>
    <x v="9"/>
    <x v="0"/>
    <n v="0.35"/>
    <x v="1"/>
    <x v="9"/>
    <x v="8"/>
    <x v="15"/>
    <x v="0"/>
    <x v="2"/>
    <x v="0"/>
    <n v="0"/>
    <n v="37923"/>
    <n v="3.7922999999999998E-2"/>
    <n v="43252"/>
    <x v="0"/>
  </r>
  <r>
    <n v="60000153"/>
    <x v="2"/>
    <x v="1"/>
    <x v="0"/>
    <x v="2"/>
    <x v="0"/>
    <n v="0.36"/>
    <x v="1"/>
    <x v="14"/>
    <x v="1"/>
    <x v="7"/>
    <x v="0"/>
    <x v="2"/>
    <x v="0"/>
    <n v="0"/>
    <n v="75896"/>
    <n v="7.5896000000000005E-2"/>
    <n v="43252"/>
    <x v="0"/>
  </r>
  <r>
    <n v="60000154"/>
    <x v="13"/>
    <x v="1"/>
    <x v="0"/>
    <x v="2"/>
    <x v="0"/>
    <n v="0.16"/>
    <x v="2"/>
    <x v="6"/>
    <x v="1"/>
    <x v="17"/>
    <x v="0"/>
    <x v="2"/>
    <x v="0"/>
    <n v="0"/>
    <n v="39248"/>
    <n v="3.9247999999999998E-2"/>
    <n v="43252"/>
    <x v="0"/>
  </r>
  <r>
    <n v="60000155"/>
    <x v="6"/>
    <x v="1"/>
    <x v="1"/>
    <x v="10"/>
    <x v="0"/>
    <n v="0.32"/>
    <x v="1"/>
    <x v="15"/>
    <x v="6"/>
    <x v="1"/>
    <x v="0"/>
    <x v="2"/>
    <x v="0"/>
    <n v="2"/>
    <n v="61793"/>
    <n v="6.1793000000000001E-2"/>
    <n v="43252"/>
    <x v="0"/>
  </r>
  <r>
    <n v="60000156"/>
    <x v="1"/>
    <x v="1"/>
    <x v="1"/>
    <x v="11"/>
    <x v="0"/>
    <n v="0.35"/>
    <x v="1"/>
    <x v="14"/>
    <x v="10"/>
    <x v="32"/>
    <x v="0"/>
    <x v="2"/>
    <x v="0"/>
    <n v="0"/>
    <n v="84062"/>
    <n v="8.4061999999999998E-2"/>
    <n v="43252"/>
    <x v="0"/>
  </r>
  <r>
    <n v="60000157"/>
    <x v="43"/>
    <x v="1"/>
    <x v="1"/>
    <x v="2"/>
    <x v="0"/>
    <n v="0.11"/>
    <x v="4"/>
    <x v="13"/>
    <x v="6"/>
    <x v="38"/>
    <x v="0"/>
    <x v="2"/>
    <x v="0"/>
    <n v="6"/>
    <n v="50759"/>
    <n v="5.0758999999999999E-2"/>
    <n v="43252"/>
    <x v="0"/>
  </r>
  <r>
    <n v="60000158"/>
    <x v="13"/>
    <x v="1"/>
    <x v="0"/>
    <x v="8"/>
    <x v="0"/>
    <n v="0.31"/>
    <x v="3"/>
    <x v="2"/>
    <x v="4"/>
    <x v="38"/>
    <x v="0"/>
    <x v="2"/>
    <x v="0"/>
    <n v="6"/>
    <n v="29568"/>
    <n v="2.9568000000000001E-2"/>
    <n v="43252"/>
    <x v="0"/>
  </r>
  <r>
    <n v="60000159"/>
    <x v="27"/>
    <x v="0"/>
    <x v="1"/>
    <x v="6"/>
    <x v="0"/>
    <n v="0.27"/>
    <x v="3"/>
    <x v="4"/>
    <x v="7"/>
    <x v="47"/>
    <x v="0"/>
    <x v="2"/>
    <x v="0"/>
    <n v="3"/>
    <n v="71682"/>
    <n v="7.1681999999999996E-2"/>
    <n v="43252"/>
    <x v="0"/>
  </r>
  <r>
    <n v="60000160"/>
    <x v="33"/>
    <x v="1"/>
    <x v="1"/>
    <x v="7"/>
    <x v="0"/>
    <n v="0.19"/>
    <x v="0"/>
    <x v="6"/>
    <x v="12"/>
    <x v="40"/>
    <x v="0"/>
    <x v="2"/>
    <x v="0"/>
    <n v="0"/>
    <n v="70908"/>
    <n v="7.0907999999999999E-2"/>
    <n v="43252"/>
    <x v="0"/>
  </r>
  <r>
    <n v="60000161"/>
    <x v="6"/>
    <x v="1"/>
    <x v="0"/>
    <x v="5"/>
    <x v="0"/>
    <n v="0.27"/>
    <x v="3"/>
    <x v="5"/>
    <x v="12"/>
    <x v="12"/>
    <x v="0"/>
    <x v="2"/>
    <x v="0"/>
    <n v="4"/>
    <n v="62729"/>
    <n v="6.2728999999999993E-2"/>
    <n v="43252"/>
    <x v="0"/>
  </r>
  <r>
    <n v="60000162"/>
    <x v="45"/>
    <x v="0"/>
    <x v="0"/>
    <x v="6"/>
    <x v="0"/>
    <n v="0.21"/>
    <x v="0"/>
    <x v="1"/>
    <x v="12"/>
    <x v="45"/>
    <x v="0"/>
    <x v="2"/>
    <x v="0"/>
    <n v="5"/>
    <n v="51872"/>
    <n v="5.1872000000000001E-2"/>
    <n v="43252"/>
    <x v="0"/>
  </r>
  <r>
    <n v="60000163"/>
    <x v="13"/>
    <x v="0"/>
    <x v="0"/>
    <x v="0"/>
    <x v="0"/>
    <n v="0.37"/>
    <x v="1"/>
    <x v="3"/>
    <x v="3"/>
    <x v="48"/>
    <x v="0"/>
    <x v="2"/>
    <x v="0"/>
    <n v="0"/>
    <n v="41202"/>
    <n v="4.1202000000000003E-2"/>
    <n v="43252"/>
    <x v="0"/>
  </r>
  <r>
    <n v="60000164"/>
    <x v="12"/>
    <x v="1"/>
    <x v="1"/>
    <x v="10"/>
    <x v="0"/>
    <n v="0.33"/>
    <x v="1"/>
    <x v="7"/>
    <x v="4"/>
    <x v="24"/>
    <x v="0"/>
    <x v="2"/>
    <x v="0"/>
    <n v="6"/>
    <n v="54180"/>
    <n v="5.4179999999999999E-2"/>
    <n v="43252"/>
    <x v="0"/>
  </r>
  <r>
    <n v="60000165"/>
    <x v="17"/>
    <x v="1"/>
    <x v="0"/>
    <x v="7"/>
    <x v="0"/>
    <n v="0.12"/>
    <x v="2"/>
    <x v="11"/>
    <x v="8"/>
    <x v="47"/>
    <x v="0"/>
    <x v="2"/>
    <x v="0"/>
    <n v="6"/>
    <n v="59795"/>
    <n v="5.9795000000000001E-2"/>
    <n v="43252"/>
    <x v="0"/>
  </r>
  <r>
    <n v="60000166"/>
    <x v="5"/>
    <x v="1"/>
    <x v="0"/>
    <x v="9"/>
    <x v="0"/>
    <n v="0.37"/>
    <x v="1"/>
    <x v="3"/>
    <x v="11"/>
    <x v="19"/>
    <x v="0"/>
    <x v="2"/>
    <x v="0"/>
    <n v="0"/>
    <n v="26722"/>
    <n v="2.6721999999999999E-2"/>
    <n v="43252"/>
    <x v="0"/>
  </r>
  <r>
    <n v="60000167"/>
    <x v="36"/>
    <x v="1"/>
    <x v="0"/>
    <x v="0"/>
    <x v="0"/>
    <n v="0.36"/>
    <x v="1"/>
    <x v="13"/>
    <x v="7"/>
    <x v="4"/>
    <x v="0"/>
    <x v="2"/>
    <x v="0"/>
    <n v="0"/>
    <n v="39648"/>
    <n v="3.9648000000000003E-2"/>
    <n v="43252"/>
    <x v="0"/>
  </r>
  <r>
    <n v="60000168"/>
    <x v="30"/>
    <x v="1"/>
    <x v="1"/>
    <x v="1"/>
    <x v="0"/>
    <n v="0.35"/>
    <x v="1"/>
    <x v="11"/>
    <x v="4"/>
    <x v="30"/>
    <x v="0"/>
    <x v="2"/>
    <x v="0"/>
    <n v="5"/>
    <n v="63995"/>
    <n v="6.3994999999999996E-2"/>
    <n v="43252"/>
    <x v="0"/>
  </r>
  <r>
    <n v="60000169"/>
    <x v="32"/>
    <x v="1"/>
    <x v="1"/>
    <x v="5"/>
    <x v="0"/>
    <n v="0.25"/>
    <x v="3"/>
    <x v="7"/>
    <x v="7"/>
    <x v="26"/>
    <x v="0"/>
    <x v="2"/>
    <x v="0"/>
    <n v="5"/>
    <n v="76037"/>
    <n v="7.6036999999999993E-2"/>
    <n v="43252"/>
    <x v="0"/>
  </r>
  <r>
    <n v="60000170"/>
    <x v="23"/>
    <x v="0"/>
    <x v="1"/>
    <x v="4"/>
    <x v="0"/>
    <n v="0.17"/>
    <x v="2"/>
    <x v="3"/>
    <x v="1"/>
    <x v="4"/>
    <x v="0"/>
    <x v="2"/>
    <x v="0"/>
    <n v="0"/>
    <n v="56856"/>
    <n v="5.6855999999999997E-2"/>
    <n v="43252"/>
    <x v="0"/>
  </r>
  <r>
    <n v="60000171"/>
    <x v="39"/>
    <x v="0"/>
    <x v="0"/>
    <x v="10"/>
    <x v="0"/>
    <n v="0.33"/>
    <x v="1"/>
    <x v="8"/>
    <x v="2"/>
    <x v="48"/>
    <x v="0"/>
    <x v="2"/>
    <x v="0"/>
    <n v="0"/>
    <n v="60704"/>
    <n v="6.0704000000000001E-2"/>
    <n v="43252"/>
    <x v="0"/>
  </r>
  <r>
    <n v="60000172"/>
    <x v="18"/>
    <x v="1"/>
    <x v="0"/>
    <x v="3"/>
    <x v="0"/>
    <n v="0.25"/>
    <x v="3"/>
    <x v="0"/>
    <x v="0"/>
    <x v="41"/>
    <x v="0"/>
    <x v="2"/>
    <x v="0"/>
    <n v="0"/>
    <n v="50080"/>
    <n v="5.008E-2"/>
    <n v="43252"/>
    <x v="0"/>
  </r>
  <r>
    <n v="60000173"/>
    <x v="19"/>
    <x v="1"/>
    <x v="0"/>
    <x v="7"/>
    <x v="0"/>
    <n v="0.21"/>
    <x v="0"/>
    <x v="10"/>
    <x v="6"/>
    <x v="7"/>
    <x v="0"/>
    <x v="2"/>
    <x v="0"/>
    <n v="0"/>
    <n v="26389"/>
    <n v="2.6388999999999999E-2"/>
    <n v="43252"/>
    <x v="0"/>
  </r>
  <r>
    <n v="60000174"/>
    <x v="26"/>
    <x v="1"/>
    <x v="0"/>
    <x v="3"/>
    <x v="0"/>
    <n v="0.25"/>
    <x v="3"/>
    <x v="14"/>
    <x v="1"/>
    <x v="21"/>
    <x v="0"/>
    <x v="2"/>
    <x v="0"/>
    <n v="0"/>
    <n v="29057"/>
    <n v="2.9056999999999999E-2"/>
    <n v="43252"/>
    <x v="0"/>
  </r>
  <r>
    <n v="60000175"/>
    <x v="30"/>
    <x v="1"/>
    <x v="1"/>
    <x v="2"/>
    <x v="0"/>
    <n v="0.14000000000000001"/>
    <x v="2"/>
    <x v="1"/>
    <x v="6"/>
    <x v="22"/>
    <x v="0"/>
    <x v="2"/>
    <x v="0"/>
    <n v="6"/>
    <n v="33747"/>
    <n v="3.3746999999999999E-2"/>
    <n v="43252"/>
    <x v="0"/>
  </r>
  <r>
    <n v="60000176"/>
    <x v="39"/>
    <x v="1"/>
    <x v="1"/>
    <x v="8"/>
    <x v="0"/>
    <n v="0.27"/>
    <x v="3"/>
    <x v="5"/>
    <x v="8"/>
    <x v="2"/>
    <x v="0"/>
    <x v="2"/>
    <x v="0"/>
    <n v="2"/>
    <n v="39675"/>
    <n v="3.9675000000000002E-2"/>
    <n v="43252"/>
    <x v="0"/>
  </r>
  <r>
    <n v="60000177"/>
    <x v="9"/>
    <x v="0"/>
    <x v="0"/>
    <x v="4"/>
    <x v="0"/>
    <n v="0.34"/>
    <x v="1"/>
    <x v="10"/>
    <x v="7"/>
    <x v="20"/>
    <x v="0"/>
    <x v="2"/>
    <x v="0"/>
    <n v="3"/>
    <n v="32052"/>
    <n v="3.2051999999999997E-2"/>
    <n v="43252"/>
    <x v="0"/>
  </r>
  <r>
    <n v="60000178"/>
    <x v="9"/>
    <x v="1"/>
    <x v="1"/>
    <x v="1"/>
    <x v="0"/>
    <n v="0.31"/>
    <x v="3"/>
    <x v="14"/>
    <x v="2"/>
    <x v="17"/>
    <x v="0"/>
    <x v="2"/>
    <x v="0"/>
    <n v="6"/>
    <n v="84649"/>
    <n v="8.4649000000000002E-2"/>
    <n v="43252"/>
    <x v="0"/>
  </r>
  <r>
    <n v="60000179"/>
    <x v="39"/>
    <x v="0"/>
    <x v="1"/>
    <x v="11"/>
    <x v="0"/>
    <n v="0.27"/>
    <x v="3"/>
    <x v="6"/>
    <x v="12"/>
    <x v="47"/>
    <x v="0"/>
    <x v="2"/>
    <x v="0"/>
    <n v="0"/>
    <n v="54095"/>
    <n v="5.4094999999999997E-2"/>
    <n v="43252"/>
    <x v="0"/>
  </r>
  <r>
    <n v="60000180"/>
    <x v="7"/>
    <x v="0"/>
    <x v="1"/>
    <x v="11"/>
    <x v="0"/>
    <n v="0.33"/>
    <x v="1"/>
    <x v="14"/>
    <x v="1"/>
    <x v="43"/>
    <x v="0"/>
    <x v="2"/>
    <x v="0"/>
    <n v="1"/>
    <n v="77038"/>
    <n v="7.7037999999999995E-2"/>
    <n v="43252"/>
    <x v="0"/>
  </r>
  <r>
    <n v="60000181"/>
    <x v="17"/>
    <x v="1"/>
    <x v="0"/>
    <x v="0"/>
    <x v="0"/>
    <n v="0.12"/>
    <x v="2"/>
    <x v="14"/>
    <x v="0"/>
    <x v="35"/>
    <x v="0"/>
    <x v="2"/>
    <x v="0"/>
    <n v="0"/>
    <n v="51058"/>
    <n v="5.1057999999999999E-2"/>
    <n v="43252"/>
    <x v="0"/>
  </r>
  <r>
    <n v="60000182"/>
    <x v="21"/>
    <x v="0"/>
    <x v="1"/>
    <x v="11"/>
    <x v="0"/>
    <n v="0.11"/>
    <x v="4"/>
    <x v="15"/>
    <x v="0"/>
    <x v="43"/>
    <x v="0"/>
    <x v="2"/>
    <x v="0"/>
    <n v="0"/>
    <n v="84183"/>
    <n v="8.4182999999999994E-2"/>
    <n v="43252"/>
    <x v="0"/>
  </r>
  <r>
    <n v="60000183"/>
    <x v="4"/>
    <x v="0"/>
    <x v="0"/>
    <x v="3"/>
    <x v="0"/>
    <n v="0.33"/>
    <x v="1"/>
    <x v="0"/>
    <x v="12"/>
    <x v="35"/>
    <x v="0"/>
    <x v="2"/>
    <x v="0"/>
    <n v="0"/>
    <n v="48307"/>
    <n v="4.8307000000000003E-2"/>
    <n v="43252"/>
    <x v="0"/>
  </r>
  <r>
    <n v="60000184"/>
    <x v="41"/>
    <x v="1"/>
    <x v="0"/>
    <x v="8"/>
    <x v="0"/>
    <n v="0.25"/>
    <x v="3"/>
    <x v="7"/>
    <x v="4"/>
    <x v="10"/>
    <x v="0"/>
    <x v="2"/>
    <x v="0"/>
    <n v="1"/>
    <n v="26567"/>
    <n v="2.6567E-2"/>
    <n v="43252"/>
    <x v="0"/>
  </r>
  <r>
    <n v="60000185"/>
    <x v="44"/>
    <x v="1"/>
    <x v="1"/>
    <x v="7"/>
    <x v="0"/>
    <n v="0.37"/>
    <x v="1"/>
    <x v="7"/>
    <x v="12"/>
    <x v="1"/>
    <x v="0"/>
    <x v="2"/>
    <x v="0"/>
    <n v="0"/>
    <n v="60974"/>
    <n v="6.0974E-2"/>
    <n v="43252"/>
    <x v="0"/>
  </r>
  <r>
    <n v="60000186"/>
    <x v="1"/>
    <x v="1"/>
    <x v="0"/>
    <x v="2"/>
    <x v="0"/>
    <n v="0.16"/>
    <x v="2"/>
    <x v="6"/>
    <x v="4"/>
    <x v="8"/>
    <x v="0"/>
    <x v="2"/>
    <x v="0"/>
    <n v="2"/>
    <n v="42439"/>
    <n v="4.2438999999999998E-2"/>
    <n v="43252"/>
    <x v="0"/>
  </r>
  <r>
    <n v="60000187"/>
    <x v="26"/>
    <x v="1"/>
    <x v="0"/>
    <x v="1"/>
    <x v="0"/>
    <n v="0.38"/>
    <x v="1"/>
    <x v="12"/>
    <x v="7"/>
    <x v="44"/>
    <x v="0"/>
    <x v="2"/>
    <x v="0"/>
    <n v="0"/>
    <n v="55285"/>
    <n v="5.5285000000000001E-2"/>
    <n v="43252"/>
    <x v="0"/>
  </r>
  <r>
    <n v="60000188"/>
    <x v="10"/>
    <x v="1"/>
    <x v="1"/>
    <x v="1"/>
    <x v="0"/>
    <n v="0.17"/>
    <x v="2"/>
    <x v="5"/>
    <x v="4"/>
    <x v="13"/>
    <x v="0"/>
    <x v="2"/>
    <x v="0"/>
    <n v="4"/>
    <n v="53544"/>
    <n v="5.3544000000000001E-2"/>
    <n v="43252"/>
    <x v="0"/>
  </r>
  <r>
    <n v="60000189"/>
    <x v="35"/>
    <x v="1"/>
    <x v="0"/>
    <x v="0"/>
    <x v="0"/>
    <n v="0.26"/>
    <x v="3"/>
    <x v="11"/>
    <x v="1"/>
    <x v="36"/>
    <x v="0"/>
    <x v="2"/>
    <x v="0"/>
    <n v="7"/>
    <n v="73705"/>
    <n v="7.3705000000000007E-2"/>
    <n v="43252"/>
    <x v="0"/>
  </r>
  <r>
    <n v="60000190"/>
    <x v="15"/>
    <x v="0"/>
    <x v="1"/>
    <x v="10"/>
    <x v="0"/>
    <n v="0.19"/>
    <x v="0"/>
    <x v="5"/>
    <x v="0"/>
    <x v="30"/>
    <x v="0"/>
    <x v="2"/>
    <x v="0"/>
    <n v="0"/>
    <n v="45558"/>
    <n v="4.5558000000000001E-2"/>
    <n v="43252"/>
    <x v="0"/>
  </r>
  <r>
    <n v="60000191"/>
    <x v="23"/>
    <x v="1"/>
    <x v="0"/>
    <x v="10"/>
    <x v="0"/>
    <n v="0.22"/>
    <x v="0"/>
    <x v="7"/>
    <x v="6"/>
    <x v="13"/>
    <x v="0"/>
    <x v="2"/>
    <x v="0"/>
    <n v="0"/>
    <n v="52826"/>
    <n v="5.2825999999999998E-2"/>
    <n v="43252"/>
    <x v="0"/>
  </r>
  <r>
    <n v="60000192"/>
    <x v="44"/>
    <x v="0"/>
    <x v="0"/>
    <x v="5"/>
    <x v="0"/>
    <n v="0.23"/>
    <x v="0"/>
    <x v="9"/>
    <x v="6"/>
    <x v="23"/>
    <x v="0"/>
    <x v="2"/>
    <x v="0"/>
    <n v="1"/>
    <n v="82293"/>
    <n v="8.2293000000000005E-2"/>
    <n v="43252"/>
    <x v="0"/>
  </r>
  <r>
    <n v="60000193"/>
    <x v="30"/>
    <x v="1"/>
    <x v="1"/>
    <x v="3"/>
    <x v="0"/>
    <n v="0.21"/>
    <x v="0"/>
    <x v="2"/>
    <x v="0"/>
    <x v="26"/>
    <x v="0"/>
    <x v="2"/>
    <x v="0"/>
    <n v="0"/>
    <n v="40443"/>
    <n v="4.0443E-2"/>
    <n v="43252"/>
    <x v="0"/>
  </r>
  <r>
    <n v="60000194"/>
    <x v="30"/>
    <x v="0"/>
    <x v="0"/>
    <x v="3"/>
    <x v="0"/>
    <n v="0.18"/>
    <x v="2"/>
    <x v="14"/>
    <x v="2"/>
    <x v="36"/>
    <x v="0"/>
    <x v="2"/>
    <x v="0"/>
    <n v="0"/>
    <n v="43835"/>
    <n v="4.3834999999999999E-2"/>
    <n v="43252"/>
    <x v="0"/>
  </r>
  <r>
    <n v="60000195"/>
    <x v="32"/>
    <x v="1"/>
    <x v="0"/>
    <x v="3"/>
    <x v="0"/>
    <n v="0.3"/>
    <x v="3"/>
    <x v="15"/>
    <x v="6"/>
    <x v="13"/>
    <x v="0"/>
    <x v="2"/>
    <x v="0"/>
    <n v="3"/>
    <n v="49676"/>
    <n v="4.9675999999999998E-2"/>
    <n v="43252"/>
    <x v="0"/>
  </r>
  <r>
    <n v="60000196"/>
    <x v="45"/>
    <x v="1"/>
    <x v="0"/>
    <x v="4"/>
    <x v="0"/>
    <n v="0.16"/>
    <x v="2"/>
    <x v="0"/>
    <x v="9"/>
    <x v="38"/>
    <x v="0"/>
    <x v="2"/>
    <x v="0"/>
    <n v="0"/>
    <n v="58756"/>
    <n v="5.8756000000000003E-2"/>
    <n v="43252"/>
    <x v="0"/>
  </r>
  <r>
    <n v="60000197"/>
    <x v="19"/>
    <x v="1"/>
    <x v="0"/>
    <x v="0"/>
    <x v="0"/>
    <n v="0.22"/>
    <x v="0"/>
    <x v="6"/>
    <x v="0"/>
    <x v="40"/>
    <x v="0"/>
    <x v="2"/>
    <x v="0"/>
    <n v="0"/>
    <n v="44749"/>
    <n v="4.4748999999999997E-2"/>
    <n v="43252"/>
    <x v="0"/>
  </r>
  <r>
    <n v="60000198"/>
    <x v="12"/>
    <x v="0"/>
    <x v="0"/>
    <x v="8"/>
    <x v="0"/>
    <n v="0.3"/>
    <x v="3"/>
    <x v="5"/>
    <x v="5"/>
    <x v="3"/>
    <x v="0"/>
    <x v="2"/>
    <x v="0"/>
    <n v="0"/>
    <n v="51884"/>
    <n v="5.1884E-2"/>
    <n v="43252"/>
    <x v="0"/>
  </r>
  <r>
    <n v="60000199"/>
    <x v="15"/>
    <x v="0"/>
    <x v="0"/>
    <x v="4"/>
    <x v="0"/>
    <n v="0.33"/>
    <x v="1"/>
    <x v="4"/>
    <x v="3"/>
    <x v="9"/>
    <x v="0"/>
    <x v="2"/>
    <x v="0"/>
    <n v="0"/>
    <n v="50267"/>
    <n v="5.0266999999999999E-2"/>
    <n v="43252"/>
    <x v="0"/>
  </r>
  <r>
    <n v="60000200"/>
    <x v="13"/>
    <x v="1"/>
    <x v="1"/>
    <x v="7"/>
    <x v="0"/>
    <n v="0.25"/>
    <x v="3"/>
    <x v="1"/>
    <x v="6"/>
    <x v="1"/>
    <x v="0"/>
    <x v="2"/>
    <x v="0"/>
    <n v="0"/>
    <n v="31636"/>
    <n v="3.1635999999999997E-2"/>
    <n v="43252"/>
    <x v="0"/>
  </r>
  <r>
    <n v="60000201"/>
    <x v="10"/>
    <x v="1"/>
    <x v="0"/>
    <x v="5"/>
    <x v="0"/>
    <n v="0.25"/>
    <x v="3"/>
    <x v="2"/>
    <x v="8"/>
    <x v="8"/>
    <x v="0"/>
    <x v="2"/>
    <x v="0"/>
    <n v="3"/>
    <n v="77924"/>
    <n v="7.7923999999999993E-2"/>
    <n v="43252"/>
    <x v="0"/>
  </r>
  <r>
    <n v="60000202"/>
    <x v="23"/>
    <x v="1"/>
    <x v="0"/>
    <x v="10"/>
    <x v="0"/>
    <n v="0.12"/>
    <x v="2"/>
    <x v="6"/>
    <x v="5"/>
    <x v="1"/>
    <x v="0"/>
    <x v="2"/>
    <x v="0"/>
    <n v="0"/>
    <n v="35126"/>
    <n v="3.5125999999999998E-2"/>
    <n v="43252"/>
    <x v="0"/>
  </r>
  <r>
    <n v="60000203"/>
    <x v="4"/>
    <x v="1"/>
    <x v="0"/>
    <x v="3"/>
    <x v="0"/>
    <n v="0.1"/>
    <x v="4"/>
    <x v="5"/>
    <x v="4"/>
    <x v="16"/>
    <x v="0"/>
    <x v="2"/>
    <x v="0"/>
    <n v="2"/>
    <n v="74576"/>
    <n v="7.4576000000000003E-2"/>
    <n v="43252"/>
    <x v="0"/>
  </r>
  <r>
    <n v="60000204"/>
    <x v="5"/>
    <x v="0"/>
    <x v="1"/>
    <x v="4"/>
    <x v="0"/>
    <n v="0.31"/>
    <x v="3"/>
    <x v="14"/>
    <x v="1"/>
    <x v="28"/>
    <x v="0"/>
    <x v="2"/>
    <x v="0"/>
    <n v="0"/>
    <n v="42426"/>
    <n v="4.2425999999999998E-2"/>
    <n v="43252"/>
    <x v="0"/>
  </r>
  <r>
    <n v="60000205"/>
    <x v="43"/>
    <x v="1"/>
    <x v="1"/>
    <x v="2"/>
    <x v="0"/>
    <n v="0.2"/>
    <x v="0"/>
    <x v="13"/>
    <x v="6"/>
    <x v="38"/>
    <x v="0"/>
    <x v="2"/>
    <x v="0"/>
    <n v="0"/>
    <n v="41369"/>
    <n v="4.1369000000000003E-2"/>
    <n v="43252"/>
    <x v="0"/>
  </r>
  <r>
    <n v="60000206"/>
    <x v="41"/>
    <x v="0"/>
    <x v="0"/>
    <x v="3"/>
    <x v="0"/>
    <n v="0.28999999999999998"/>
    <x v="3"/>
    <x v="4"/>
    <x v="0"/>
    <x v="48"/>
    <x v="0"/>
    <x v="2"/>
    <x v="0"/>
    <n v="2"/>
    <n v="80132"/>
    <n v="8.0131999999999995E-2"/>
    <n v="43252"/>
    <x v="0"/>
  </r>
  <r>
    <n v="60000207"/>
    <x v="35"/>
    <x v="1"/>
    <x v="0"/>
    <x v="10"/>
    <x v="0"/>
    <n v="0.17"/>
    <x v="2"/>
    <x v="3"/>
    <x v="8"/>
    <x v="21"/>
    <x v="0"/>
    <x v="2"/>
    <x v="0"/>
    <n v="0"/>
    <n v="54339"/>
    <n v="5.4338999999999998E-2"/>
    <n v="43252"/>
    <x v="0"/>
  </r>
  <r>
    <n v="60000208"/>
    <x v="34"/>
    <x v="0"/>
    <x v="1"/>
    <x v="2"/>
    <x v="0"/>
    <n v="0.34"/>
    <x v="1"/>
    <x v="0"/>
    <x v="1"/>
    <x v="41"/>
    <x v="0"/>
    <x v="2"/>
    <x v="0"/>
    <n v="2"/>
    <n v="29293"/>
    <n v="2.9293E-2"/>
    <n v="43252"/>
    <x v="0"/>
  </r>
  <r>
    <n v="60000209"/>
    <x v="13"/>
    <x v="0"/>
    <x v="0"/>
    <x v="8"/>
    <x v="0"/>
    <n v="0.35"/>
    <x v="1"/>
    <x v="12"/>
    <x v="1"/>
    <x v="13"/>
    <x v="0"/>
    <x v="2"/>
    <x v="0"/>
    <n v="2"/>
    <n v="49172"/>
    <n v="4.9172E-2"/>
    <n v="43252"/>
    <x v="0"/>
  </r>
  <r>
    <n v="60000210"/>
    <x v="18"/>
    <x v="1"/>
    <x v="0"/>
    <x v="2"/>
    <x v="0"/>
    <n v="0.25"/>
    <x v="3"/>
    <x v="13"/>
    <x v="4"/>
    <x v="12"/>
    <x v="0"/>
    <x v="2"/>
    <x v="0"/>
    <n v="1"/>
    <n v="56939"/>
    <n v="5.6938999999999997E-2"/>
    <n v="43252"/>
    <x v="0"/>
  </r>
  <r>
    <n v="60000211"/>
    <x v="40"/>
    <x v="1"/>
    <x v="1"/>
    <x v="0"/>
    <x v="0"/>
    <n v="0.13"/>
    <x v="2"/>
    <x v="15"/>
    <x v="1"/>
    <x v="46"/>
    <x v="0"/>
    <x v="2"/>
    <x v="0"/>
    <n v="6"/>
    <n v="68211"/>
    <n v="6.8210999999999994E-2"/>
    <n v="43252"/>
    <x v="0"/>
  </r>
  <r>
    <n v="60000212"/>
    <x v="39"/>
    <x v="1"/>
    <x v="0"/>
    <x v="5"/>
    <x v="0"/>
    <n v="0.3"/>
    <x v="3"/>
    <x v="5"/>
    <x v="8"/>
    <x v="46"/>
    <x v="0"/>
    <x v="2"/>
    <x v="0"/>
    <n v="3"/>
    <n v="28402"/>
    <n v="2.8402E-2"/>
    <n v="43252"/>
    <x v="0"/>
  </r>
  <r>
    <n v="60000213"/>
    <x v="32"/>
    <x v="0"/>
    <x v="0"/>
    <x v="0"/>
    <x v="0"/>
    <n v="0.31"/>
    <x v="3"/>
    <x v="11"/>
    <x v="4"/>
    <x v="26"/>
    <x v="0"/>
    <x v="2"/>
    <x v="0"/>
    <n v="7"/>
    <n v="55637"/>
    <n v="5.5636999999999999E-2"/>
    <n v="43252"/>
    <x v="0"/>
  </r>
  <r>
    <n v="60000214"/>
    <x v="10"/>
    <x v="1"/>
    <x v="0"/>
    <x v="0"/>
    <x v="0"/>
    <n v="0.28999999999999998"/>
    <x v="3"/>
    <x v="11"/>
    <x v="0"/>
    <x v="15"/>
    <x v="0"/>
    <x v="2"/>
    <x v="0"/>
    <n v="7"/>
    <n v="60695"/>
    <n v="6.0694999999999999E-2"/>
    <n v="43252"/>
    <x v="0"/>
  </r>
  <r>
    <n v="60000215"/>
    <x v="9"/>
    <x v="0"/>
    <x v="1"/>
    <x v="8"/>
    <x v="0"/>
    <n v="0.35"/>
    <x v="1"/>
    <x v="7"/>
    <x v="5"/>
    <x v="35"/>
    <x v="0"/>
    <x v="2"/>
    <x v="0"/>
    <n v="0"/>
    <n v="48064"/>
    <n v="4.8064000000000003E-2"/>
    <n v="43252"/>
    <x v="0"/>
  </r>
  <r>
    <n v="60000216"/>
    <x v="12"/>
    <x v="0"/>
    <x v="1"/>
    <x v="4"/>
    <x v="0"/>
    <n v="0.37"/>
    <x v="1"/>
    <x v="6"/>
    <x v="5"/>
    <x v="22"/>
    <x v="0"/>
    <x v="2"/>
    <x v="0"/>
    <n v="0"/>
    <n v="65535"/>
    <n v="6.5534999999999996E-2"/>
    <n v="43252"/>
    <x v="0"/>
  </r>
  <r>
    <n v="60000217"/>
    <x v="39"/>
    <x v="0"/>
    <x v="1"/>
    <x v="7"/>
    <x v="0"/>
    <n v="0.21"/>
    <x v="0"/>
    <x v="0"/>
    <x v="10"/>
    <x v="1"/>
    <x v="0"/>
    <x v="2"/>
    <x v="0"/>
    <n v="5"/>
    <n v="29266"/>
    <n v="2.9266E-2"/>
    <n v="43252"/>
    <x v="0"/>
  </r>
  <r>
    <n v="60000218"/>
    <x v="1"/>
    <x v="1"/>
    <x v="0"/>
    <x v="4"/>
    <x v="0"/>
    <n v="0.32"/>
    <x v="1"/>
    <x v="14"/>
    <x v="3"/>
    <x v="6"/>
    <x v="0"/>
    <x v="2"/>
    <x v="0"/>
    <n v="2"/>
    <n v="45406"/>
    <n v="4.5406000000000002E-2"/>
    <n v="43252"/>
    <x v="0"/>
  </r>
  <r>
    <n v="60000219"/>
    <x v="16"/>
    <x v="0"/>
    <x v="1"/>
    <x v="4"/>
    <x v="0"/>
    <n v="0.19"/>
    <x v="0"/>
    <x v="6"/>
    <x v="6"/>
    <x v="28"/>
    <x v="0"/>
    <x v="2"/>
    <x v="0"/>
    <n v="0"/>
    <n v="41428"/>
    <n v="4.1428E-2"/>
    <n v="43252"/>
    <x v="0"/>
  </r>
  <r>
    <n v="60000220"/>
    <x v="10"/>
    <x v="0"/>
    <x v="0"/>
    <x v="1"/>
    <x v="0"/>
    <n v="0.27"/>
    <x v="3"/>
    <x v="1"/>
    <x v="12"/>
    <x v="37"/>
    <x v="0"/>
    <x v="2"/>
    <x v="0"/>
    <n v="0"/>
    <n v="73750"/>
    <n v="7.3749999999999996E-2"/>
    <n v="43252"/>
    <x v="0"/>
  </r>
  <r>
    <n v="60000221"/>
    <x v="11"/>
    <x v="0"/>
    <x v="1"/>
    <x v="6"/>
    <x v="0"/>
    <n v="0.14000000000000001"/>
    <x v="2"/>
    <x v="12"/>
    <x v="10"/>
    <x v="18"/>
    <x v="0"/>
    <x v="2"/>
    <x v="0"/>
    <n v="2"/>
    <n v="72331"/>
    <n v="7.2331000000000006E-2"/>
    <n v="43252"/>
    <x v="0"/>
  </r>
  <r>
    <n v="60000222"/>
    <x v="10"/>
    <x v="1"/>
    <x v="0"/>
    <x v="8"/>
    <x v="0"/>
    <n v="0.2"/>
    <x v="0"/>
    <x v="15"/>
    <x v="12"/>
    <x v="8"/>
    <x v="0"/>
    <x v="2"/>
    <x v="0"/>
    <n v="0"/>
    <n v="35213"/>
    <n v="3.5213000000000001E-2"/>
    <n v="43252"/>
    <x v="0"/>
  </r>
  <r>
    <n v="60000223"/>
    <x v="31"/>
    <x v="0"/>
    <x v="1"/>
    <x v="3"/>
    <x v="0"/>
    <n v="0.13"/>
    <x v="2"/>
    <x v="13"/>
    <x v="12"/>
    <x v="12"/>
    <x v="0"/>
    <x v="2"/>
    <x v="0"/>
    <n v="4"/>
    <n v="82583"/>
    <n v="8.2583000000000004E-2"/>
    <n v="43252"/>
    <x v="0"/>
  </r>
  <r>
    <n v="60000224"/>
    <x v="6"/>
    <x v="0"/>
    <x v="0"/>
    <x v="0"/>
    <x v="0"/>
    <n v="0.28999999999999998"/>
    <x v="3"/>
    <x v="5"/>
    <x v="4"/>
    <x v="34"/>
    <x v="0"/>
    <x v="2"/>
    <x v="0"/>
    <n v="2"/>
    <n v="80511"/>
    <n v="8.0510999999999999E-2"/>
    <n v="43252"/>
    <x v="0"/>
  </r>
  <r>
    <n v="60000225"/>
    <x v="23"/>
    <x v="1"/>
    <x v="0"/>
    <x v="5"/>
    <x v="0"/>
    <n v="0.35"/>
    <x v="1"/>
    <x v="11"/>
    <x v="0"/>
    <x v="16"/>
    <x v="0"/>
    <x v="2"/>
    <x v="0"/>
    <n v="0"/>
    <n v="62373"/>
    <n v="6.2372999999999998E-2"/>
    <n v="43252"/>
    <x v="0"/>
  </r>
  <r>
    <n v="60000226"/>
    <x v="40"/>
    <x v="0"/>
    <x v="1"/>
    <x v="5"/>
    <x v="0"/>
    <n v="0.38"/>
    <x v="1"/>
    <x v="5"/>
    <x v="7"/>
    <x v="47"/>
    <x v="0"/>
    <x v="2"/>
    <x v="0"/>
    <n v="3"/>
    <n v="67931"/>
    <n v="6.7931000000000005E-2"/>
    <n v="43252"/>
    <x v="0"/>
  </r>
  <r>
    <n v="60000227"/>
    <x v="23"/>
    <x v="1"/>
    <x v="0"/>
    <x v="5"/>
    <x v="0"/>
    <n v="0.32"/>
    <x v="1"/>
    <x v="8"/>
    <x v="11"/>
    <x v="30"/>
    <x v="0"/>
    <x v="2"/>
    <x v="0"/>
    <n v="0"/>
    <n v="64359"/>
    <n v="6.4359E-2"/>
    <n v="43252"/>
    <x v="0"/>
  </r>
  <r>
    <n v="60000228"/>
    <x v="17"/>
    <x v="1"/>
    <x v="0"/>
    <x v="5"/>
    <x v="0"/>
    <n v="0.11"/>
    <x v="4"/>
    <x v="5"/>
    <x v="12"/>
    <x v="44"/>
    <x v="0"/>
    <x v="2"/>
    <x v="0"/>
    <n v="7"/>
    <n v="63840"/>
    <n v="6.3839999999999994E-2"/>
    <n v="43252"/>
    <x v="0"/>
  </r>
  <r>
    <n v="60000229"/>
    <x v="9"/>
    <x v="0"/>
    <x v="0"/>
    <x v="0"/>
    <x v="0"/>
    <n v="0.16"/>
    <x v="2"/>
    <x v="3"/>
    <x v="9"/>
    <x v="46"/>
    <x v="0"/>
    <x v="2"/>
    <x v="0"/>
    <n v="4"/>
    <n v="72038"/>
    <n v="7.2038000000000005E-2"/>
    <n v="43252"/>
    <x v="0"/>
  </r>
  <r>
    <n v="60000230"/>
    <x v="23"/>
    <x v="0"/>
    <x v="0"/>
    <x v="6"/>
    <x v="0"/>
    <n v="0.28999999999999998"/>
    <x v="3"/>
    <x v="1"/>
    <x v="3"/>
    <x v="41"/>
    <x v="0"/>
    <x v="2"/>
    <x v="0"/>
    <n v="4"/>
    <n v="26811"/>
    <n v="2.6811000000000001E-2"/>
    <n v="43252"/>
    <x v="0"/>
  </r>
  <r>
    <n v="60000231"/>
    <x v="5"/>
    <x v="0"/>
    <x v="0"/>
    <x v="0"/>
    <x v="0"/>
    <n v="0.24"/>
    <x v="0"/>
    <x v="15"/>
    <x v="4"/>
    <x v="1"/>
    <x v="0"/>
    <x v="2"/>
    <x v="0"/>
    <n v="0"/>
    <n v="23963"/>
    <n v="2.3963000000000002E-2"/>
    <n v="43252"/>
    <x v="0"/>
  </r>
  <r>
    <n v="60000232"/>
    <x v="30"/>
    <x v="1"/>
    <x v="1"/>
    <x v="6"/>
    <x v="0"/>
    <n v="0.31"/>
    <x v="3"/>
    <x v="5"/>
    <x v="0"/>
    <x v="26"/>
    <x v="0"/>
    <x v="2"/>
    <x v="0"/>
    <n v="0"/>
    <n v="32293"/>
    <n v="3.2293000000000002E-2"/>
    <n v="43252"/>
    <x v="0"/>
  </r>
  <r>
    <n v="60000233"/>
    <x v="20"/>
    <x v="0"/>
    <x v="0"/>
    <x v="2"/>
    <x v="0"/>
    <n v="0.19"/>
    <x v="0"/>
    <x v="6"/>
    <x v="7"/>
    <x v="13"/>
    <x v="0"/>
    <x v="2"/>
    <x v="0"/>
    <n v="1"/>
    <n v="69178"/>
    <n v="6.9178000000000003E-2"/>
    <n v="43252"/>
    <x v="0"/>
  </r>
  <r>
    <n v="60000234"/>
    <x v="29"/>
    <x v="0"/>
    <x v="1"/>
    <x v="1"/>
    <x v="0"/>
    <n v="0.25"/>
    <x v="3"/>
    <x v="12"/>
    <x v="12"/>
    <x v="5"/>
    <x v="0"/>
    <x v="2"/>
    <x v="0"/>
    <n v="1"/>
    <n v="52660"/>
    <n v="5.2659999999999998E-2"/>
    <n v="43252"/>
    <x v="0"/>
  </r>
  <r>
    <n v="60000235"/>
    <x v="22"/>
    <x v="1"/>
    <x v="1"/>
    <x v="3"/>
    <x v="0"/>
    <n v="0.27"/>
    <x v="3"/>
    <x v="9"/>
    <x v="1"/>
    <x v="16"/>
    <x v="0"/>
    <x v="2"/>
    <x v="0"/>
    <n v="0"/>
    <n v="40589"/>
    <n v="4.0589E-2"/>
    <n v="43252"/>
    <x v="0"/>
  </r>
  <r>
    <n v="60000236"/>
    <x v="33"/>
    <x v="1"/>
    <x v="1"/>
    <x v="8"/>
    <x v="0"/>
    <n v="0.1"/>
    <x v="4"/>
    <x v="2"/>
    <x v="4"/>
    <x v="19"/>
    <x v="0"/>
    <x v="2"/>
    <x v="0"/>
    <n v="5"/>
    <n v="35339"/>
    <n v="3.5339000000000002E-2"/>
    <n v="43252"/>
    <x v="0"/>
  </r>
  <r>
    <n v="60000237"/>
    <x v="16"/>
    <x v="1"/>
    <x v="1"/>
    <x v="2"/>
    <x v="0"/>
    <n v="0.15"/>
    <x v="2"/>
    <x v="4"/>
    <x v="3"/>
    <x v="23"/>
    <x v="0"/>
    <x v="2"/>
    <x v="0"/>
    <n v="0"/>
    <n v="31305"/>
    <n v="3.1304999999999999E-2"/>
    <n v="43252"/>
    <x v="0"/>
  </r>
  <r>
    <n v="60000238"/>
    <x v="25"/>
    <x v="0"/>
    <x v="1"/>
    <x v="11"/>
    <x v="0"/>
    <n v="0.38"/>
    <x v="1"/>
    <x v="4"/>
    <x v="3"/>
    <x v="8"/>
    <x v="0"/>
    <x v="2"/>
    <x v="0"/>
    <n v="0"/>
    <n v="42758"/>
    <n v="4.2757999999999997E-2"/>
    <n v="43252"/>
    <x v="0"/>
  </r>
  <r>
    <n v="60000239"/>
    <x v="20"/>
    <x v="0"/>
    <x v="1"/>
    <x v="2"/>
    <x v="0"/>
    <n v="0.12"/>
    <x v="2"/>
    <x v="5"/>
    <x v="3"/>
    <x v="35"/>
    <x v="1"/>
    <x v="2"/>
    <x v="0"/>
    <n v="0"/>
    <n v="52307"/>
    <n v="5.2306999999999999E-2"/>
    <n v="43252"/>
    <x v="0"/>
  </r>
  <r>
    <n v="60000240"/>
    <x v="29"/>
    <x v="0"/>
    <x v="1"/>
    <x v="7"/>
    <x v="0"/>
    <n v="0.36"/>
    <x v="1"/>
    <x v="13"/>
    <x v="5"/>
    <x v="48"/>
    <x v="2"/>
    <x v="2"/>
    <x v="0"/>
    <n v="0"/>
    <n v="27291"/>
    <n v="2.7290999999999999E-2"/>
    <n v="43252"/>
    <x v="0"/>
  </r>
  <r>
    <n v="60000241"/>
    <x v="21"/>
    <x v="0"/>
    <x v="0"/>
    <x v="8"/>
    <x v="0"/>
    <n v="0.14000000000000001"/>
    <x v="2"/>
    <x v="1"/>
    <x v="11"/>
    <x v="4"/>
    <x v="0"/>
    <x v="2"/>
    <x v="0"/>
    <n v="3"/>
    <n v="33519"/>
    <n v="3.3519E-2"/>
    <n v="43252"/>
    <x v="0"/>
  </r>
  <r>
    <n v="60000242"/>
    <x v="31"/>
    <x v="0"/>
    <x v="0"/>
    <x v="5"/>
    <x v="0"/>
    <n v="0.11"/>
    <x v="4"/>
    <x v="8"/>
    <x v="12"/>
    <x v="31"/>
    <x v="2"/>
    <x v="2"/>
    <x v="0"/>
    <n v="0"/>
    <n v="36838"/>
    <n v="3.6838000000000003E-2"/>
    <n v="43252"/>
    <x v="0"/>
  </r>
  <r>
    <n v="60000243"/>
    <x v="28"/>
    <x v="1"/>
    <x v="0"/>
    <x v="5"/>
    <x v="0"/>
    <n v="0.14000000000000001"/>
    <x v="2"/>
    <x v="4"/>
    <x v="4"/>
    <x v="16"/>
    <x v="1"/>
    <x v="2"/>
    <x v="1"/>
    <n v="7"/>
    <n v="71082"/>
    <n v="7.1082000000000006E-2"/>
    <n v="43252"/>
    <x v="0"/>
  </r>
  <r>
    <n v="60000244"/>
    <x v="7"/>
    <x v="0"/>
    <x v="0"/>
    <x v="3"/>
    <x v="0"/>
    <n v="0.27"/>
    <x v="3"/>
    <x v="1"/>
    <x v="9"/>
    <x v="39"/>
    <x v="1"/>
    <x v="2"/>
    <x v="1"/>
    <n v="0"/>
    <n v="50431"/>
    <n v="5.0430999999999997E-2"/>
    <n v="43252"/>
    <x v="0"/>
  </r>
  <r>
    <n v="60000245"/>
    <x v="5"/>
    <x v="1"/>
    <x v="0"/>
    <x v="1"/>
    <x v="0"/>
    <n v="0.1"/>
    <x v="4"/>
    <x v="15"/>
    <x v="3"/>
    <x v="23"/>
    <x v="2"/>
    <x v="2"/>
    <x v="0"/>
    <n v="5"/>
    <n v="27793"/>
    <n v="2.7793000000000002E-2"/>
    <n v="43252"/>
    <x v="0"/>
  </r>
  <r>
    <n v="60000246"/>
    <x v="23"/>
    <x v="0"/>
    <x v="0"/>
    <x v="3"/>
    <x v="0"/>
    <n v="0.11"/>
    <x v="4"/>
    <x v="6"/>
    <x v="4"/>
    <x v="0"/>
    <x v="1"/>
    <x v="2"/>
    <x v="1"/>
    <n v="6"/>
    <n v="53157"/>
    <n v="5.3157000000000003E-2"/>
    <n v="43252"/>
    <x v="0"/>
  </r>
  <r>
    <n v="60000247"/>
    <x v="27"/>
    <x v="1"/>
    <x v="0"/>
    <x v="8"/>
    <x v="0"/>
    <n v="0.35"/>
    <x v="1"/>
    <x v="7"/>
    <x v="2"/>
    <x v="44"/>
    <x v="0"/>
    <x v="2"/>
    <x v="0"/>
    <n v="0"/>
    <n v="62433"/>
    <n v="6.2433000000000002E-2"/>
    <n v="43252"/>
    <x v="0"/>
  </r>
  <r>
    <n v="60000248"/>
    <x v="22"/>
    <x v="0"/>
    <x v="0"/>
    <x v="4"/>
    <x v="0"/>
    <n v="0.3"/>
    <x v="3"/>
    <x v="14"/>
    <x v="4"/>
    <x v="17"/>
    <x v="2"/>
    <x v="2"/>
    <x v="0"/>
    <n v="0"/>
    <n v="25103"/>
    <n v="2.5103E-2"/>
    <n v="43252"/>
    <x v="0"/>
  </r>
  <r>
    <n v="60000249"/>
    <x v="0"/>
    <x v="0"/>
    <x v="0"/>
    <x v="11"/>
    <x v="0"/>
    <n v="0.34"/>
    <x v="1"/>
    <x v="14"/>
    <x v="4"/>
    <x v="1"/>
    <x v="1"/>
    <x v="2"/>
    <x v="1"/>
    <n v="0"/>
    <n v="36428"/>
    <n v="3.6428000000000002E-2"/>
    <n v="43252"/>
    <x v="0"/>
  </r>
  <r>
    <n v="60000250"/>
    <x v="24"/>
    <x v="1"/>
    <x v="0"/>
    <x v="8"/>
    <x v="0"/>
    <n v="0.19"/>
    <x v="0"/>
    <x v="5"/>
    <x v="6"/>
    <x v="20"/>
    <x v="1"/>
    <x v="2"/>
    <x v="0"/>
    <n v="2"/>
    <n v="44679"/>
    <n v="4.4679000000000003E-2"/>
    <n v="43252"/>
    <x v="0"/>
  </r>
  <r>
    <n v="60000251"/>
    <x v="23"/>
    <x v="0"/>
    <x v="1"/>
    <x v="0"/>
    <x v="0"/>
    <n v="0.21"/>
    <x v="0"/>
    <x v="13"/>
    <x v="1"/>
    <x v="11"/>
    <x v="2"/>
    <x v="2"/>
    <x v="0"/>
    <n v="0"/>
    <n v="60136"/>
    <n v="6.0136000000000002E-2"/>
    <n v="43252"/>
    <x v="0"/>
  </r>
  <r>
    <n v="60000252"/>
    <x v="38"/>
    <x v="0"/>
    <x v="1"/>
    <x v="0"/>
    <x v="0"/>
    <n v="0.2"/>
    <x v="0"/>
    <x v="15"/>
    <x v="11"/>
    <x v="1"/>
    <x v="0"/>
    <x v="2"/>
    <x v="1"/>
    <n v="0"/>
    <n v="45590"/>
    <n v="4.5589999999999999E-2"/>
    <n v="43252"/>
    <x v="0"/>
  </r>
  <r>
    <n v="60000253"/>
    <x v="10"/>
    <x v="0"/>
    <x v="0"/>
    <x v="3"/>
    <x v="0"/>
    <n v="0.19"/>
    <x v="0"/>
    <x v="8"/>
    <x v="10"/>
    <x v="23"/>
    <x v="2"/>
    <x v="2"/>
    <x v="1"/>
    <n v="3"/>
    <n v="38361"/>
    <n v="3.8360999999999999E-2"/>
    <n v="43252"/>
    <x v="0"/>
  </r>
  <r>
    <n v="60000254"/>
    <x v="37"/>
    <x v="1"/>
    <x v="0"/>
    <x v="9"/>
    <x v="0"/>
    <n v="0.35"/>
    <x v="1"/>
    <x v="11"/>
    <x v="12"/>
    <x v="16"/>
    <x v="2"/>
    <x v="2"/>
    <x v="0"/>
    <n v="0"/>
    <n v="42979"/>
    <n v="4.2979000000000003E-2"/>
    <n v="43252"/>
    <x v="0"/>
  </r>
  <r>
    <n v="60000255"/>
    <x v="32"/>
    <x v="0"/>
    <x v="1"/>
    <x v="1"/>
    <x v="0"/>
    <n v="0.36"/>
    <x v="1"/>
    <x v="3"/>
    <x v="12"/>
    <x v="26"/>
    <x v="1"/>
    <x v="2"/>
    <x v="1"/>
    <n v="0"/>
    <n v="55189"/>
    <n v="5.5189000000000002E-2"/>
    <n v="43252"/>
    <x v="0"/>
  </r>
  <r>
    <n v="60000256"/>
    <x v="12"/>
    <x v="0"/>
    <x v="0"/>
    <x v="6"/>
    <x v="0"/>
    <n v="0.15"/>
    <x v="2"/>
    <x v="14"/>
    <x v="6"/>
    <x v="1"/>
    <x v="0"/>
    <x v="2"/>
    <x v="0"/>
    <n v="0"/>
    <n v="44547"/>
    <n v="4.4547000000000003E-2"/>
    <n v="43252"/>
    <x v="0"/>
  </r>
  <r>
    <n v="60000257"/>
    <x v="31"/>
    <x v="1"/>
    <x v="1"/>
    <x v="0"/>
    <x v="0"/>
    <n v="0.21"/>
    <x v="0"/>
    <x v="9"/>
    <x v="8"/>
    <x v="21"/>
    <x v="1"/>
    <x v="2"/>
    <x v="0"/>
    <n v="0"/>
    <n v="36625"/>
    <n v="3.6624999999999998E-2"/>
    <n v="43252"/>
    <x v="0"/>
  </r>
  <r>
    <n v="60000258"/>
    <x v="20"/>
    <x v="0"/>
    <x v="0"/>
    <x v="11"/>
    <x v="0"/>
    <n v="0.33"/>
    <x v="1"/>
    <x v="6"/>
    <x v="1"/>
    <x v="21"/>
    <x v="0"/>
    <x v="2"/>
    <x v="0"/>
    <n v="4"/>
    <n v="51401"/>
    <n v="5.1401000000000002E-2"/>
    <n v="43252"/>
    <x v="0"/>
  </r>
  <r>
    <n v="60000259"/>
    <x v="36"/>
    <x v="1"/>
    <x v="0"/>
    <x v="10"/>
    <x v="0"/>
    <n v="0.12"/>
    <x v="2"/>
    <x v="2"/>
    <x v="5"/>
    <x v="17"/>
    <x v="0"/>
    <x v="2"/>
    <x v="1"/>
    <n v="4"/>
    <n v="43733"/>
    <n v="4.3733000000000001E-2"/>
    <n v="43252"/>
    <x v="0"/>
  </r>
  <r>
    <n v="60000260"/>
    <x v="42"/>
    <x v="0"/>
    <x v="0"/>
    <x v="4"/>
    <x v="0"/>
    <n v="0.19"/>
    <x v="0"/>
    <x v="8"/>
    <x v="7"/>
    <x v="39"/>
    <x v="1"/>
    <x v="2"/>
    <x v="0"/>
    <n v="0"/>
    <n v="52142"/>
    <n v="5.2142000000000001E-2"/>
    <n v="43252"/>
    <x v="0"/>
  </r>
  <r>
    <n v="60000261"/>
    <x v="15"/>
    <x v="1"/>
    <x v="0"/>
    <x v="10"/>
    <x v="0"/>
    <n v="0.25"/>
    <x v="3"/>
    <x v="4"/>
    <x v="4"/>
    <x v="48"/>
    <x v="2"/>
    <x v="2"/>
    <x v="0"/>
    <n v="0"/>
    <n v="68355"/>
    <n v="6.8354999999999999E-2"/>
    <n v="43252"/>
    <x v="0"/>
  </r>
  <r>
    <n v="60000262"/>
    <x v="36"/>
    <x v="0"/>
    <x v="0"/>
    <x v="4"/>
    <x v="0"/>
    <n v="0.35"/>
    <x v="1"/>
    <x v="7"/>
    <x v="2"/>
    <x v="5"/>
    <x v="2"/>
    <x v="2"/>
    <x v="1"/>
    <n v="6"/>
    <n v="64273"/>
    <n v="6.4272999999999997E-2"/>
    <n v="43252"/>
    <x v="0"/>
  </r>
  <r>
    <n v="60000263"/>
    <x v="20"/>
    <x v="1"/>
    <x v="0"/>
    <x v="5"/>
    <x v="0"/>
    <n v="0.23"/>
    <x v="0"/>
    <x v="5"/>
    <x v="10"/>
    <x v="36"/>
    <x v="0"/>
    <x v="2"/>
    <x v="1"/>
    <n v="0"/>
    <n v="73415"/>
    <n v="7.3414999999999994E-2"/>
    <n v="43252"/>
    <x v="0"/>
  </r>
  <r>
    <n v="60000264"/>
    <x v="40"/>
    <x v="0"/>
    <x v="1"/>
    <x v="4"/>
    <x v="0"/>
    <n v="0.32"/>
    <x v="1"/>
    <x v="2"/>
    <x v="1"/>
    <x v="14"/>
    <x v="1"/>
    <x v="2"/>
    <x v="0"/>
    <n v="7"/>
    <n v="28009"/>
    <n v="2.8008999999999999E-2"/>
    <n v="43252"/>
    <x v="0"/>
  </r>
  <r>
    <n v="60000265"/>
    <x v="16"/>
    <x v="0"/>
    <x v="0"/>
    <x v="6"/>
    <x v="0"/>
    <n v="0.32"/>
    <x v="1"/>
    <x v="5"/>
    <x v="7"/>
    <x v="11"/>
    <x v="0"/>
    <x v="2"/>
    <x v="0"/>
    <n v="0"/>
    <n v="50117"/>
    <n v="5.0117000000000002E-2"/>
    <n v="43252"/>
    <x v="0"/>
  </r>
  <r>
    <n v="60000266"/>
    <x v="18"/>
    <x v="1"/>
    <x v="1"/>
    <x v="9"/>
    <x v="0"/>
    <n v="0.24"/>
    <x v="0"/>
    <x v="0"/>
    <x v="9"/>
    <x v="46"/>
    <x v="1"/>
    <x v="2"/>
    <x v="1"/>
    <n v="5"/>
    <n v="73685"/>
    <n v="7.3685E-2"/>
    <n v="43252"/>
    <x v="0"/>
  </r>
  <r>
    <n v="60000267"/>
    <x v="26"/>
    <x v="0"/>
    <x v="1"/>
    <x v="9"/>
    <x v="0"/>
    <n v="0.19"/>
    <x v="0"/>
    <x v="0"/>
    <x v="0"/>
    <x v="27"/>
    <x v="1"/>
    <x v="2"/>
    <x v="1"/>
    <n v="3"/>
    <n v="75872"/>
    <n v="7.5871999999999995E-2"/>
    <n v="43252"/>
    <x v="0"/>
  </r>
  <r>
    <n v="60000268"/>
    <x v="35"/>
    <x v="1"/>
    <x v="0"/>
    <x v="7"/>
    <x v="0"/>
    <n v="0.35"/>
    <x v="1"/>
    <x v="0"/>
    <x v="12"/>
    <x v="7"/>
    <x v="0"/>
    <x v="2"/>
    <x v="0"/>
    <n v="0"/>
    <n v="81531"/>
    <n v="8.1531000000000006E-2"/>
    <n v="43252"/>
    <x v="0"/>
  </r>
  <r>
    <n v="60000269"/>
    <x v="15"/>
    <x v="1"/>
    <x v="1"/>
    <x v="2"/>
    <x v="0"/>
    <n v="0.34"/>
    <x v="1"/>
    <x v="8"/>
    <x v="3"/>
    <x v="17"/>
    <x v="2"/>
    <x v="2"/>
    <x v="0"/>
    <n v="5"/>
    <n v="74132"/>
    <n v="7.4132000000000003E-2"/>
    <n v="43252"/>
    <x v="0"/>
  </r>
  <r>
    <n v="60000270"/>
    <x v="5"/>
    <x v="1"/>
    <x v="0"/>
    <x v="3"/>
    <x v="0"/>
    <n v="0.33"/>
    <x v="1"/>
    <x v="13"/>
    <x v="3"/>
    <x v="34"/>
    <x v="2"/>
    <x v="2"/>
    <x v="0"/>
    <n v="1"/>
    <n v="42932"/>
    <n v="4.2931999999999998E-2"/>
    <n v="43252"/>
    <x v="0"/>
  </r>
  <r>
    <n v="60000271"/>
    <x v="24"/>
    <x v="1"/>
    <x v="1"/>
    <x v="7"/>
    <x v="0"/>
    <n v="0.16"/>
    <x v="2"/>
    <x v="15"/>
    <x v="11"/>
    <x v="14"/>
    <x v="1"/>
    <x v="2"/>
    <x v="1"/>
    <n v="0"/>
    <n v="62947"/>
    <n v="6.2947000000000003E-2"/>
    <n v="43252"/>
    <x v="0"/>
  </r>
  <r>
    <n v="60000272"/>
    <x v="41"/>
    <x v="1"/>
    <x v="0"/>
    <x v="3"/>
    <x v="0"/>
    <n v="0.17"/>
    <x v="2"/>
    <x v="5"/>
    <x v="8"/>
    <x v="42"/>
    <x v="0"/>
    <x v="2"/>
    <x v="1"/>
    <n v="0"/>
    <n v="56032"/>
    <n v="5.6031999999999998E-2"/>
    <n v="43252"/>
    <x v="0"/>
  </r>
  <r>
    <n v="60000273"/>
    <x v="25"/>
    <x v="1"/>
    <x v="1"/>
    <x v="3"/>
    <x v="0"/>
    <n v="0.21"/>
    <x v="0"/>
    <x v="7"/>
    <x v="0"/>
    <x v="24"/>
    <x v="1"/>
    <x v="2"/>
    <x v="1"/>
    <n v="0"/>
    <n v="67233"/>
    <n v="6.7233000000000001E-2"/>
    <n v="43252"/>
    <x v="0"/>
  </r>
  <r>
    <n v="60000274"/>
    <x v="37"/>
    <x v="0"/>
    <x v="1"/>
    <x v="10"/>
    <x v="0"/>
    <n v="0.27"/>
    <x v="3"/>
    <x v="5"/>
    <x v="5"/>
    <x v="48"/>
    <x v="0"/>
    <x v="2"/>
    <x v="1"/>
    <n v="6"/>
    <n v="42157"/>
    <n v="4.2157E-2"/>
    <n v="43252"/>
    <x v="0"/>
  </r>
  <r>
    <n v="60000275"/>
    <x v="15"/>
    <x v="1"/>
    <x v="0"/>
    <x v="11"/>
    <x v="0"/>
    <n v="0.35"/>
    <x v="1"/>
    <x v="6"/>
    <x v="1"/>
    <x v="44"/>
    <x v="1"/>
    <x v="2"/>
    <x v="0"/>
    <n v="2"/>
    <n v="80127"/>
    <n v="8.0127000000000004E-2"/>
    <n v="43252"/>
    <x v="0"/>
  </r>
  <r>
    <n v="60000276"/>
    <x v="4"/>
    <x v="1"/>
    <x v="0"/>
    <x v="0"/>
    <x v="0"/>
    <n v="0.22"/>
    <x v="0"/>
    <x v="0"/>
    <x v="9"/>
    <x v="20"/>
    <x v="1"/>
    <x v="2"/>
    <x v="1"/>
    <n v="5"/>
    <n v="63859"/>
    <n v="6.3858999999999999E-2"/>
    <n v="43252"/>
    <x v="0"/>
  </r>
  <r>
    <n v="60000277"/>
    <x v="12"/>
    <x v="1"/>
    <x v="0"/>
    <x v="4"/>
    <x v="0"/>
    <n v="0.19"/>
    <x v="0"/>
    <x v="0"/>
    <x v="2"/>
    <x v="39"/>
    <x v="1"/>
    <x v="2"/>
    <x v="1"/>
    <n v="4"/>
    <n v="56370"/>
    <n v="5.6370000000000003E-2"/>
    <n v="43252"/>
    <x v="0"/>
  </r>
  <r>
    <n v="60000278"/>
    <x v="40"/>
    <x v="0"/>
    <x v="1"/>
    <x v="11"/>
    <x v="0"/>
    <n v="0.35"/>
    <x v="1"/>
    <x v="5"/>
    <x v="2"/>
    <x v="24"/>
    <x v="0"/>
    <x v="2"/>
    <x v="1"/>
    <n v="4"/>
    <n v="45869"/>
    <n v="4.5869E-2"/>
    <n v="43252"/>
    <x v="0"/>
  </r>
  <r>
    <n v="60000279"/>
    <x v="13"/>
    <x v="1"/>
    <x v="0"/>
    <x v="7"/>
    <x v="0"/>
    <n v="0.28000000000000003"/>
    <x v="3"/>
    <x v="14"/>
    <x v="1"/>
    <x v="28"/>
    <x v="0"/>
    <x v="2"/>
    <x v="1"/>
    <n v="0"/>
    <n v="61650"/>
    <n v="6.1650000000000003E-2"/>
    <n v="43252"/>
    <x v="0"/>
  </r>
  <r>
    <n v="60000280"/>
    <x v="7"/>
    <x v="0"/>
    <x v="1"/>
    <x v="8"/>
    <x v="0"/>
    <n v="0.19"/>
    <x v="0"/>
    <x v="9"/>
    <x v="5"/>
    <x v="47"/>
    <x v="0"/>
    <x v="2"/>
    <x v="1"/>
    <n v="0"/>
    <n v="54763"/>
    <n v="5.4762999999999999E-2"/>
    <n v="43252"/>
    <x v="0"/>
  </r>
  <r>
    <n v="60000281"/>
    <x v="39"/>
    <x v="0"/>
    <x v="0"/>
    <x v="6"/>
    <x v="0"/>
    <n v="0.14000000000000001"/>
    <x v="2"/>
    <x v="13"/>
    <x v="0"/>
    <x v="25"/>
    <x v="1"/>
    <x v="2"/>
    <x v="0"/>
    <n v="0"/>
    <n v="84890"/>
    <n v="8.4889999999999993E-2"/>
    <n v="43252"/>
    <x v="0"/>
  </r>
  <r>
    <n v="60000282"/>
    <x v="27"/>
    <x v="1"/>
    <x v="0"/>
    <x v="5"/>
    <x v="0"/>
    <n v="0.11"/>
    <x v="4"/>
    <x v="3"/>
    <x v="4"/>
    <x v="13"/>
    <x v="1"/>
    <x v="2"/>
    <x v="0"/>
    <n v="6"/>
    <n v="62574"/>
    <n v="6.2574000000000005E-2"/>
    <n v="43252"/>
    <x v="0"/>
  </r>
  <r>
    <n v="60000283"/>
    <x v="30"/>
    <x v="0"/>
    <x v="1"/>
    <x v="3"/>
    <x v="0"/>
    <n v="0.37"/>
    <x v="1"/>
    <x v="9"/>
    <x v="4"/>
    <x v="0"/>
    <x v="0"/>
    <x v="2"/>
    <x v="1"/>
    <n v="0"/>
    <n v="25808"/>
    <n v="2.5808000000000001E-2"/>
    <n v="43252"/>
    <x v="0"/>
  </r>
  <r>
    <n v="60000284"/>
    <x v="34"/>
    <x v="0"/>
    <x v="1"/>
    <x v="2"/>
    <x v="0"/>
    <n v="0.16"/>
    <x v="2"/>
    <x v="9"/>
    <x v="5"/>
    <x v="19"/>
    <x v="1"/>
    <x v="2"/>
    <x v="0"/>
    <n v="0"/>
    <n v="40642"/>
    <n v="4.0641999999999998E-2"/>
    <n v="43252"/>
    <x v="0"/>
  </r>
  <r>
    <n v="60000285"/>
    <x v="28"/>
    <x v="1"/>
    <x v="0"/>
    <x v="8"/>
    <x v="0"/>
    <n v="0.19"/>
    <x v="0"/>
    <x v="8"/>
    <x v="9"/>
    <x v="37"/>
    <x v="0"/>
    <x v="2"/>
    <x v="0"/>
    <n v="0"/>
    <n v="79634"/>
    <n v="7.9633999999999996E-2"/>
    <n v="43252"/>
    <x v="0"/>
  </r>
  <r>
    <n v="60000286"/>
    <x v="27"/>
    <x v="1"/>
    <x v="0"/>
    <x v="1"/>
    <x v="0"/>
    <n v="0.25"/>
    <x v="3"/>
    <x v="3"/>
    <x v="10"/>
    <x v="39"/>
    <x v="0"/>
    <x v="2"/>
    <x v="1"/>
    <n v="7"/>
    <n v="45068"/>
    <n v="4.5067999999999997E-2"/>
    <n v="43252"/>
    <x v="0"/>
  </r>
  <r>
    <n v="60000287"/>
    <x v="31"/>
    <x v="1"/>
    <x v="0"/>
    <x v="8"/>
    <x v="0"/>
    <n v="0.21"/>
    <x v="0"/>
    <x v="12"/>
    <x v="0"/>
    <x v="49"/>
    <x v="0"/>
    <x v="2"/>
    <x v="1"/>
    <n v="0"/>
    <n v="71844"/>
    <n v="7.1844000000000005E-2"/>
    <n v="43252"/>
    <x v="0"/>
  </r>
  <r>
    <n v="60000288"/>
    <x v="5"/>
    <x v="0"/>
    <x v="1"/>
    <x v="9"/>
    <x v="0"/>
    <n v="0.27"/>
    <x v="3"/>
    <x v="12"/>
    <x v="7"/>
    <x v="19"/>
    <x v="1"/>
    <x v="2"/>
    <x v="1"/>
    <n v="0"/>
    <n v="23846"/>
    <n v="2.3845999999999999E-2"/>
    <n v="43252"/>
    <x v="0"/>
  </r>
  <r>
    <n v="60000289"/>
    <x v="6"/>
    <x v="0"/>
    <x v="0"/>
    <x v="9"/>
    <x v="0"/>
    <n v="0.28000000000000003"/>
    <x v="3"/>
    <x v="0"/>
    <x v="8"/>
    <x v="26"/>
    <x v="1"/>
    <x v="2"/>
    <x v="1"/>
    <n v="0"/>
    <n v="68805"/>
    <n v="6.8805000000000005E-2"/>
    <n v="43252"/>
    <x v="0"/>
  </r>
  <r>
    <n v="60000290"/>
    <x v="30"/>
    <x v="1"/>
    <x v="1"/>
    <x v="5"/>
    <x v="0"/>
    <n v="0.3"/>
    <x v="3"/>
    <x v="1"/>
    <x v="11"/>
    <x v="0"/>
    <x v="2"/>
    <x v="2"/>
    <x v="1"/>
    <n v="6"/>
    <n v="79400"/>
    <n v="7.9399999999999998E-2"/>
    <n v="43252"/>
    <x v="0"/>
  </r>
  <r>
    <n v="60000291"/>
    <x v="6"/>
    <x v="0"/>
    <x v="0"/>
    <x v="7"/>
    <x v="0"/>
    <n v="0.36"/>
    <x v="1"/>
    <x v="1"/>
    <x v="1"/>
    <x v="40"/>
    <x v="1"/>
    <x v="2"/>
    <x v="0"/>
    <n v="3"/>
    <n v="65258"/>
    <n v="6.5257999999999997E-2"/>
    <n v="43252"/>
    <x v="0"/>
  </r>
  <r>
    <n v="60000292"/>
    <x v="13"/>
    <x v="0"/>
    <x v="0"/>
    <x v="10"/>
    <x v="0"/>
    <n v="0.13"/>
    <x v="2"/>
    <x v="3"/>
    <x v="10"/>
    <x v="39"/>
    <x v="2"/>
    <x v="2"/>
    <x v="0"/>
    <n v="7"/>
    <n v="79127"/>
    <n v="7.9127000000000003E-2"/>
    <n v="43252"/>
    <x v="0"/>
  </r>
  <r>
    <n v="60000293"/>
    <x v="3"/>
    <x v="0"/>
    <x v="1"/>
    <x v="6"/>
    <x v="0"/>
    <n v="0.27"/>
    <x v="3"/>
    <x v="12"/>
    <x v="3"/>
    <x v="41"/>
    <x v="0"/>
    <x v="2"/>
    <x v="1"/>
    <n v="0"/>
    <n v="54971"/>
    <n v="5.4970999999999999E-2"/>
    <n v="43252"/>
    <x v="0"/>
  </r>
  <r>
    <n v="60000294"/>
    <x v="24"/>
    <x v="1"/>
    <x v="0"/>
    <x v="10"/>
    <x v="0"/>
    <n v="0.27"/>
    <x v="3"/>
    <x v="11"/>
    <x v="3"/>
    <x v="42"/>
    <x v="2"/>
    <x v="2"/>
    <x v="1"/>
    <n v="0"/>
    <n v="35141"/>
    <n v="3.5140999999999999E-2"/>
    <n v="43252"/>
    <x v="0"/>
  </r>
  <r>
    <n v="60000295"/>
    <x v="32"/>
    <x v="1"/>
    <x v="1"/>
    <x v="6"/>
    <x v="0"/>
    <n v="0.27"/>
    <x v="3"/>
    <x v="15"/>
    <x v="5"/>
    <x v="34"/>
    <x v="2"/>
    <x v="2"/>
    <x v="1"/>
    <n v="0"/>
    <n v="31060"/>
    <n v="3.1060000000000001E-2"/>
    <n v="43252"/>
    <x v="0"/>
  </r>
  <r>
    <n v="60000296"/>
    <x v="43"/>
    <x v="0"/>
    <x v="1"/>
    <x v="9"/>
    <x v="0"/>
    <n v="0.13"/>
    <x v="2"/>
    <x v="11"/>
    <x v="1"/>
    <x v="7"/>
    <x v="1"/>
    <x v="2"/>
    <x v="1"/>
    <n v="0"/>
    <n v="66888"/>
    <n v="6.6888000000000003E-2"/>
    <n v="43252"/>
    <x v="0"/>
  </r>
  <r>
    <n v="60000297"/>
    <x v="3"/>
    <x v="1"/>
    <x v="1"/>
    <x v="9"/>
    <x v="0"/>
    <n v="0.16"/>
    <x v="2"/>
    <x v="10"/>
    <x v="2"/>
    <x v="36"/>
    <x v="1"/>
    <x v="2"/>
    <x v="0"/>
    <n v="0"/>
    <n v="31251"/>
    <n v="3.1251000000000001E-2"/>
    <n v="43252"/>
    <x v="0"/>
  </r>
  <r>
    <n v="60000298"/>
    <x v="9"/>
    <x v="0"/>
    <x v="0"/>
    <x v="11"/>
    <x v="0"/>
    <n v="0.32"/>
    <x v="1"/>
    <x v="15"/>
    <x v="9"/>
    <x v="15"/>
    <x v="1"/>
    <x v="2"/>
    <x v="0"/>
    <n v="5"/>
    <n v="71949"/>
    <n v="7.1948999999999999E-2"/>
    <n v="43252"/>
    <x v="0"/>
  </r>
  <r>
    <n v="60000299"/>
    <x v="20"/>
    <x v="0"/>
    <x v="0"/>
    <x v="6"/>
    <x v="0"/>
    <n v="0.1"/>
    <x v="4"/>
    <x v="9"/>
    <x v="10"/>
    <x v="33"/>
    <x v="2"/>
    <x v="2"/>
    <x v="1"/>
    <n v="3"/>
    <n v="78768"/>
    <n v="7.8768000000000005E-2"/>
    <n v="43252"/>
    <x v="0"/>
  </r>
  <r>
    <n v="60000300"/>
    <x v="5"/>
    <x v="1"/>
    <x v="1"/>
    <x v="3"/>
    <x v="0"/>
    <n v="0.28999999999999998"/>
    <x v="3"/>
    <x v="14"/>
    <x v="7"/>
    <x v="43"/>
    <x v="1"/>
    <x v="2"/>
    <x v="0"/>
    <n v="0"/>
    <n v="66516"/>
    <n v="6.6516000000000006E-2"/>
    <n v="43252"/>
    <x v="0"/>
  </r>
  <r>
    <n v="60000301"/>
    <x v="15"/>
    <x v="0"/>
    <x v="0"/>
    <x v="6"/>
    <x v="0"/>
    <n v="0.25"/>
    <x v="3"/>
    <x v="8"/>
    <x v="10"/>
    <x v="20"/>
    <x v="0"/>
    <x v="2"/>
    <x v="0"/>
    <n v="0"/>
    <n v="80286"/>
    <n v="8.0285999999999996E-2"/>
    <n v="43252"/>
    <x v="0"/>
  </r>
  <r>
    <n v="60000302"/>
    <x v="9"/>
    <x v="1"/>
    <x v="0"/>
    <x v="5"/>
    <x v="0"/>
    <n v="0.36"/>
    <x v="1"/>
    <x v="8"/>
    <x v="3"/>
    <x v="17"/>
    <x v="2"/>
    <x v="2"/>
    <x v="0"/>
    <n v="7"/>
    <n v="27132"/>
    <n v="2.7132E-2"/>
    <n v="43252"/>
    <x v="0"/>
  </r>
  <r>
    <n v="60000303"/>
    <x v="30"/>
    <x v="0"/>
    <x v="1"/>
    <x v="4"/>
    <x v="0"/>
    <n v="0.31"/>
    <x v="3"/>
    <x v="9"/>
    <x v="5"/>
    <x v="45"/>
    <x v="1"/>
    <x v="2"/>
    <x v="1"/>
    <n v="5"/>
    <n v="47731"/>
    <n v="4.7731000000000003E-2"/>
    <n v="43252"/>
    <x v="0"/>
  </r>
  <r>
    <n v="60000304"/>
    <x v="44"/>
    <x v="0"/>
    <x v="0"/>
    <x v="4"/>
    <x v="0"/>
    <n v="0.33"/>
    <x v="1"/>
    <x v="2"/>
    <x v="10"/>
    <x v="37"/>
    <x v="1"/>
    <x v="2"/>
    <x v="1"/>
    <n v="0"/>
    <n v="36561"/>
    <n v="3.6561000000000003E-2"/>
    <n v="43252"/>
    <x v="0"/>
  </r>
  <r>
    <n v="60000305"/>
    <x v="18"/>
    <x v="1"/>
    <x v="0"/>
    <x v="1"/>
    <x v="0"/>
    <n v="0.26"/>
    <x v="3"/>
    <x v="3"/>
    <x v="0"/>
    <x v="12"/>
    <x v="2"/>
    <x v="2"/>
    <x v="0"/>
    <n v="0"/>
    <n v="67604"/>
    <n v="6.7603999999999997E-2"/>
    <n v="43252"/>
    <x v="0"/>
  </r>
  <r>
    <n v="60000306"/>
    <x v="7"/>
    <x v="1"/>
    <x v="1"/>
    <x v="8"/>
    <x v="0"/>
    <n v="0.13"/>
    <x v="2"/>
    <x v="4"/>
    <x v="7"/>
    <x v="14"/>
    <x v="0"/>
    <x v="2"/>
    <x v="0"/>
    <n v="3"/>
    <n v="65598"/>
    <n v="6.5598000000000004E-2"/>
    <n v="43252"/>
    <x v="0"/>
  </r>
  <r>
    <n v="60000307"/>
    <x v="17"/>
    <x v="0"/>
    <x v="0"/>
    <x v="7"/>
    <x v="0"/>
    <n v="0.17"/>
    <x v="2"/>
    <x v="13"/>
    <x v="11"/>
    <x v="44"/>
    <x v="0"/>
    <x v="2"/>
    <x v="1"/>
    <n v="0"/>
    <n v="34810"/>
    <n v="3.4810000000000001E-2"/>
    <n v="43252"/>
    <x v="0"/>
  </r>
  <r>
    <n v="60000308"/>
    <x v="29"/>
    <x v="0"/>
    <x v="1"/>
    <x v="7"/>
    <x v="0"/>
    <n v="0.32"/>
    <x v="1"/>
    <x v="15"/>
    <x v="1"/>
    <x v="37"/>
    <x v="1"/>
    <x v="2"/>
    <x v="1"/>
    <n v="0"/>
    <n v="71181"/>
    <n v="7.1180999999999994E-2"/>
    <n v="43252"/>
    <x v="0"/>
  </r>
  <r>
    <n v="60000309"/>
    <x v="17"/>
    <x v="0"/>
    <x v="1"/>
    <x v="11"/>
    <x v="0"/>
    <n v="0.13"/>
    <x v="2"/>
    <x v="5"/>
    <x v="3"/>
    <x v="23"/>
    <x v="2"/>
    <x v="2"/>
    <x v="1"/>
    <n v="0"/>
    <n v="27743"/>
    <n v="2.7743E-2"/>
    <n v="43252"/>
    <x v="0"/>
  </r>
  <r>
    <n v="60000310"/>
    <x v="22"/>
    <x v="1"/>
    <x v="1"/>
    <x v="9"/>
    <x v="0"/>
    <n v="0.26"/>
    <x v="3"/>
    <x v="4"/>
    <x v="11"/>
    <x v="0"/>
    <x v="0"/>
    <x v="2"/>
    <x v="0"/>
    <n v="7"/>
    <n v="33018"/>
    <n v="3.3017999999999999E-2"/>
    <n v="43252"/>
    <x v="0"/>
  </r>
  <r>
    <n v="60000311"/>
    <x v="35"/>
    <x v="1"/>
    <x v="0"/>
    <x v="0"/>
    <x v="0"/>
    <n v="0.36"/>
    <x v="1"/>
    <x v="0"/>
    <x v="2"/>
    <x v="45"/>
    <x v="2"/>
    <x v="2"/>
    <x v="0"/>
    <n v="4"/>
    <n v="81977"/>
    <n v="8.1976999999999994E-2"/>
    <n v="43252"/>
    <x v="0"/>
  </r>
  <r>
    <n v="60000312"/>
    <x v="12"/>
    <x v="0"/>
    <x v="0"/>
    <x v="11"/>
    <x v="0"/>
    <n v="0.17"/>
    <x v="2"/>
    <x v="10"/>
    <x v="8"/>
    <x v="41"/>
    <x v="2"/>
    <x v="2"/>
    <x v="0"/>
    <n v="3"/>
    <n v="40365"/>
    <n v="4.0364999999999998E-2"/>
    <n v="43252"/>
    <x v="0"/>
  </r>
  <r>
    <n v="60000313"/>
    <x v="27"/>
    <x v="1"/>
    <x v="0"/>
    <x v="10"/>
    <x v="0"/>
    <n v="0.35"/>
    <x v="1"/>
    <x v="7"/>
    <x v="10"/>
    <x v="36"/>
    <x v="1"/>
    <x v="2"/>
    <x v="1"/>
    <n v="0"/>
    <n v="24396"/>
    <n v="2.4396000000000001E-2"/>
    <n v="43252"/>
    <x v="0"/>
  </r>
  <r>
    <n v="60000314"/>
    <x v="43"/>
    <x v="0"/>
    <x v="1"/>
    <x v="7"/>
    <x v="0"/>
    <n v="0.34"/>
    <x v="1"/>
    <x v="15"/>
    <x v="11"/>
    <x v="20"/>
    <x v="1"/>
    <x v="2"/>
    <x v="0"/>
    <n v="0"/>
    <n v="60089"/>
    <n v="6.0088999999999997E-2"/>
    <n v="43252"/>
    <x v="0"/>
  </r>
  <r>
    <n v="60000315"/>
    <x v="29"/>
    <x v="1"/>
    <x v="1"/>
    <x v="7"/>
    <x v="0"/>
    <n v="0.37"/>
    <x v="1"/>
    <x v="5"/>
    <x v="4"/>
    <x v="12"/>
    <x v="1"/>
    <x v="2"/>
    <x v="0"/>
    <n v="0"/>
    <n v="80153"/>
    <n v="8.0153000000000002E-2"/>
    <n v="43252"/>
    <x v="0"/>
  </r>
  <r>
    <n v="60000316"/>
    <x v="42"/>
    <x v="1"/>
    <x v="1"/>
    <x v="4"/>
    <x v="0"/>
    <n v="0.17"/>
    <x v="2"/>
    <x v="6"/>
    <x v="10"/>
    <x v="43"/>
    <x v="0"/>
    <x v="2"/>
    <x v="1"/>
    <n v="0"/>
    <n v="30014"/>
    <n v="3.0013999999999999E-2"/>
    <n v="43252"/>
    <x v="0"/>
  </r>
  <r>
    <n v="60000317"/>
    <x v="38"/>
    <x v="1"/>
    <x v="0"/>
    <x v="3"/>
    <x v="0"/>
    <n v="0.3"/>
    <x v="3"/>
    <x v="8"/>
    <x v="12"/>
    <x v="17"/>
    <x v="0"/>
    <x v="2"/>
    <x v="0"/>
    <n v="3"/>
    <n v="59887"/>
    <n v="5.9887000000000003E-2"/>
    <n v="43252"/>
    <x v="0"/>
  </r>
  <r>
    <n v="60000318"/>
    <x v="18"/>
    <x v="1"/>
    <x v="1"/>
    <x v="3"/>
    <x v="0"/>
    <n v="0.19"/>
    <x v="0"/>
    <x v="8"/>
    <x v="11"/>
    <x v="39"/>
    <x v="2"/>
    <x v="2"/>
    <x v="1"/>
    <n v="0"/>
    <n v="54530"/>
    <n v="5.4530000000000002E-2"/>
    <n v="43252"/>
    <x v="0"/>
  </r>
  <r>
    <n v="60000319"/>
    <x v="16"/>
    <x v="0"/>
    <x v="0"/>
    <x v="11"/>
    <x v="0"/>
    <n v="0.34"/>
    <x v="1"/>
    <x v="7"/>
    <x v="3"/>
    <x v="34"/>
    <x v="1"/>
    <x v="2"/>
    <x v="1"/>
    <n v="0"/>
    <n v="69493"/>
    <n v="6.9492999999999999E-2"/>
    <n v="43252"/>
    <x v="0"/>
  </r>
  <r>
    <n v="60000320"/>
    <x v="24"/>
    <x v="0"/>
    <x v="0"/>
    <x v="1"/>
    <x v="0"/>
    <n v="0.25"/>
    <x v="3"/>
    <x v="13"/>
    <x v="3"/>
    <x v="45"/>
    <x v="1"/>
    <x v="2"/>
    <x v="0"/>
    <n v="0"/>
    <n v="59545"/>
    <n v="5.9545000000000001E-2"/>
    <n v="43252"/>
    <x v="0"/>
  </r>
  <r>
    <n v="60000321"/>
    <x v="42"/>
    <x v="0"/>
    <x v="0"/>
    <x v="6"/>
    <x v="0"/>
    <n v="0.23"/>
    <x v="0"/>
    <x v="7"/>
    <x v="9"/>
    <x v="28"/>
    <x v="1"/>
    <x v="2"/>
    <x v="0"/>
    <n v="0"/>
    <n v="44617"/>
    <n v="4.4616999999999997E-2"/>
    <n v="43252"/>
    <x v="0"/>
  </r>
  <r>
    <n v="60000322"/>
    <x v="41"/>
    <x v="1"/>
    <x v="0"/>
    <x v="10"/>
    <x v="0"/>
    <n v="0.16"/>
    <x v="2"/>
    <x v="4"/>
    <x v="12"/>
    <x v="34"/>
    <x v="1"/>
    <x v="2"/>
    <x v="1"/>
    <n v="4"/>
    <n v="73689"/>
    <n v="7.3689000000000004E-2"/>
    <n v="43252"/>
    <x v="0"/>
  </r>
  <r>
    <n v="60000323"/>
    <x v="17"/>
    <x v="0"/>
    <x v="1"/>
    <x v="10"/>
    <x v="0"/>
    <n v="0.16"/>
    <x v="2"/>
    <x v="14"/>
    <x v="1"/>
    <x v="2"/>
    <x v="0"/>
    <x v="2"/>
    <x v="0"/>
    <n v="6"/>
    <n v="40223"/>
    <n v="4.0223000000000002E-2"/>
    <n v="43252"/>
    <x v="0"/>
  </r>
  <r>
    <n v="60000324"/>
    <x v="44"/>
    <x v="1"/>
    <x v="0"/>
    <x v="7"/>
    <x v="0"/>
    <n v="0.18"/>
    <x v="2"/>
    <x v="1"/>
    <x v="7"/>
    <x v="3"/>
    <x v="0"/>
    <x v="2"/>
    <x v="1"/>
    <n v="0"/>
    <n v="57482"/>
    <n v="5.7481999999999998E-2"/>
    <n v="43252"/>
    <x v="0"/>
  </r>
  <r>
    <n v="60000325"/>
    <x v="38"/>
    <x v="1"/>
    <x v="0"/>
    <x v="0"/>
    <x v="0"/>
    <n v="0.27"/>
    <x v="3"/>
    <x v="1"/>
    <x v="7"/>
    <x v="12"/>
    <x v="2"/>
    <x v="2"/>
    <x v="1"/>
    <n v="7"/>
    <n v="64281"/>
    <n v="6.4281000000000005E-2"/>
    <n v="43252"/>
    <x v="0"/>
  </r>
  <r>
    <n v="60000326"/>
    <x v="40"/>
    <x v="1"/>
    <x v="0"/>
    <x v="0"/>
    <x v="0"/>
    <n v="0.12"/>
    <x v="2"/>
    <x v="9"/>
    <x v="4"/>
    <x v="3"/>
    <x v="0"/>
    <x v="2"/>
    <x v="0"/>
    <n v="2"/>
    <n v="71618"/>
    <n v="7.1618000000000001E-2"/>
    <n v="43252"/>
    <x v="0"/>
  </r>
  <r>
    <n v="60000327"/>
    <x v="5"/>
    <x v="1"/>
    <x v="0"/>
    <x v="8"/>
    <x v="0"/>
    <n v="0.15"/>
    <x v="2"/>
    <x v="13"/>
    <x v="12"/>
    <x v="17"/>
    <x v="2"/>
    <x v="2"/>
    <x v="0"/>
    <n v="0"/>
    <n v="26318"/>
    <n v="2.6318000000000001E-2"/>
    <n v="43252"/>
    <x v="0"/>
  </r>
  <r>
    <n v="60000328"/>
    <x v="17"/>
    <x v="0"/>
    <x v="1"/>
    <x v="0"/>
    <x v="0"/>
    <n v="0.1"/>
    <x v="4"/>
    <x v="2"/>
    <x v="12"/>
    <x v="18"/>
    <x v="0"/>
    <x v="2"/>
    <x v="0"/>
    <n v="4"/>
    <n v="46356"/>
    <n v="4.6356000000000001E-2"/>
    <n v="43252"/>
    <x v="0"/>
  </r>
  <r>
    <n v="60000329"/>
    <x v="11"/>
    <x v="1"/>
    <x v="1"/>
    <x v="9"/>
    <x v="0"/>
    <n v="0.28000000000000003"/>
    <x v="3"/>
    <x v="6"/>
    <x v="7"/>
    <x v="18"/>
    <x v="0"/>
    <x v="2"/>
    <x v="1"/>
    <n v="0"/>
    <n v="81647"/>
    <n v="8.1646999999999997E-2"/>
    <n v="43252"/>
    <x v="0"/>
  </r>
  <r>
    <n v="60000330"/>
    <x v="24"/>
    <x v="1"/>
    <x v="0"/>
    <x v="8"/>
    <x v="0"/>
    <n v="0.14000000000000001"/>
    <x v="2"/>
    <x v="9"/>
    <x v="8"/>
    <x v="21"/>
    <x v="1"/>
    <x v="2"/>
    <x v="1"/>
    <n v="3"/>
    <n v="54648"/>
    <n v="5.4648000000000002E-2"/>
    <n v="43252"/>
    <x v="0"/>
  </r>
  <r>
    <n v="60000331"/>
    <x v="12"/>
    <x v="1"/>
    <x v="0"/>
    <x v="2"/>
    <x v="0"/>
    <n v="0.24"/>
    <x v="0"/>
    <x v="5"/>
    <x v="11"/>
    <x v="10"/>
    <x v="0"/>
    <x v="2"/>
    <x v="1"/>
    <n v="7"/>
    <n v="81653"/>
    <n v="8.1653000000000003E-2"/>
    <n v="43252"/>
    <x v="0"/>
  </r>
  <r>
    <n v="60000332"/>
    <x v="43"/>
    <x v="1"/>
    <x v="0"/>
    <x v="1"/>
    <x v="0"/>
    <n v="0.38"/>
    <x v="1"/>
    <x v="0"/>
    <x v="12"/>
    <x v="25"/>
    <x v="1"/>
    <x v="2"/>
    <x v="1"/>
    <n v="7"/>
    <n v="77875"/>
    <n v="7.7875E-2"/>
    <n v="43252"/>
    <x v="0"/>
  </r>
  <r>
    <n v="60000333"/>
    <x v="45"/>
    <x v="0"/>
    <x v="0"/>
    <x v="2"/>
    <x v="0"/>
    <n v="0.11"/>
    <x v="4"/>
    <x v="0"/>
    <x v="7"/>
    <x v="47"/>
    <x v="2"/>
    <x v="2"/>
    <x v="0"/>
    <n v="0"/>
    <n v="45273"/>
    <n v="4.5273000000000001E-2"/>
    <n v="43252"/>
    <x v="0"/>
  </r>
  <r>
    <n v="60000334"/>
    <x v="12"/>
    <x v="0"/>
    <x v="1"/>
    <x v="6"/>
    <x v="0"/>
    <n v="0.25"/>
    <x v="3"/>
    <x v="13"/>
    <x v="2"/>
    <x v="32"/>
    <x v="1"/>
    <x v="2"/>
    <x v="0"/>
    <n v="3"/>
    <n v="61595"/>
    <n v="6.1594999999999997E-2"/>
    <n v="43252"/>
    <x v="0"/>
  </r>
  <r>
    <n v="60000335"/>
    <x v="6"/>
    <x v="0"/>
    <x v="0"/>
    <x v="7"/>
    <x v="0"/>
    <n v="0.14000000000000001"/>
    <x v="2"/>
    <x v="3"/>
    <x v="1"/>
    <x v="38"/>
    <x v="1"/>
    <x v="2"/>
    <x v="1"/>
    <n v="0"/>
    <n v="63891"/>
    <n v="6.3891000000000003E-2"/>
    <n v="43252"/>
    <x v="0"/>
  </r>
  <r>
    <n v="60000336"/>
    <x v="27"/>
    <x v="1"/>
    <x v="1"/>
    <x v="7"/>
    <x v="0"/>
    <n v="0.35"/>
    <x v="1"/>
    <x v="6"/>
    <x v="10"/>
    <x v="22"/>
    <x v="2"/>
    <x v="2"/>
    <x v="1"/>
    <n v="3"/>
    <n v="82738"/>
    <n v="8.2738000000000006E-2"/>
    <n v="43252"/>
    <x v="0"/>
  </r>
  <r>
    <n v="60000337"/>
    <x v="16"/>
    <x v="0"/>
    <x v="1"/>
    <x v="8"/>
    <x v="0"/>
    <n v="0.2"/>
    <x v="0"/>
    <x v="1"/>
    <x v="6"/>
    <x v="11"/>
    <x v="2"/>
    <x v="2"/>
    <x v="0"/>
    <n v="0"/>
    <n v="70406"/>
    <n v="7.0405999999999996E-2"/>
    <n v="43252"/>
    <x v="0"/>
  </r>
  <r>
    <n v="60000338"/>
    <x v="1"/>
    <x v="1"/>
    <x v="1"/>
    <x v="6"/>
    <x v="0"/>
    <n v="0.24"/>
    <x v="0"/>
    <x v="7"/>
    <x v="2"/>
    <x v="2"/>
    <x v="0"/>
    <x v="2"/>
    <x v="1"/>
    <n v="0"/>
    <n v="32704"/>
    <n v="3.2703999999999997E-2"/>
    <n v="43252"/>
    <x v="0"/>
  </r>
  <r>
    <n v="60000339"/>
    <x v="41"/>
    <x v="0"/>
    <x v="0"/>
    <x v="4"/>
    <x v="0"/>
    <n v="0.18"/>
    <x v="2"/>
    <x v="4"/>
    <x v="1"/>
    <x v="42"/>
    <x v="2"/>
    <x v="2"/>
    <x v="1"/>
    <n v="5"/>
    <n v="55853"/>
    <n v="5.5853E-2"/>
    <n v="43252"/>
    <x v="0"/>
  </r>
  <r>
    <n v="60000340"/>
    <x v="38"/>
    <x v="1"/>
    <x v="0"/>
    <x v="10"/>
    <x v="0"/>
    <n v="0.21"/>
    <x v="0"/>
    <x v="2"/>
    <x v="10"/>
    <x v="22"/>
    <x v="2"/>
    <x v="2"/>
    <x v="0"/>
    <n v="1"/>
    <n v="68248"/>
    <n v="6.8248000000000003E-2"/>
    <n v="43252"/>
    <x v="0"/>
  </r>
  <r>
    <n v="60000341"/>
    <x v="35"/>
    <x v="0"/>
    <x v="1"/>
    <x v="1"/>
    <x v="0"/>
    <n v="0.21"/>
    <x v="0"/>
    <x v="3"/>
    <x v="5"/>
    <x v="47"/>
    <x v="2"/>
    <x v="2"/>
    <x v="1"/>
    <n v="7"/>
    <n v="66416"/>
    <n v="6.6416000000000003E-2"/>
    <n v="43252"/>
    <x v="0"/>
  </r>
  <r>
    <n v="60000342"/>
    <x v="13"/>
    <x v="0"/>
    <x v="0"/>
    <x v="9"/>
    <x v="0"/>
    <n v="0.31"/>
    <x v="3"/>
    <x v="7"/>
    <x v="0"/>
    <x v="7"/>
    <x v="1"/>
    <x v="2"/>
    <x v="0"/>
    <n v="0"/>
    <n v="30843"/>
    <n v="3.0842999999999999E-2"/>
    <n v="43252"/>
    <x v="0"/>
  </r>
  <r>
    <n v="60000343"/>
    <x v="20"/>
    <x v="0"/>
    <x v="0"/>
    <x v="7"/>
    <x v="0"/>
    <n v="0.33"/>
    <x v="1"/>
    <x v="2"/>
    <x v="12"/>
    <x v="35"/>
    <x v="1"/>
    <x v="2"/>
    <x v="1"/>
    <n v="1"/>
    <n v="75103"/>
    <n v="7.5103000000000003E-2"/>
    <n v="43252"/>
    <x v="0"/>
  </r>
  <r>
    <n v="60000344"/>
    <x v="32"/>
    <x v="0"/>
    <x v="1"/>
    <x v="9"/>
    <x v="0"/>
    <n v="0.3"/>
    <x v="3"/>
    <x v="13"/>
    <x v="0"/>
    <x v="42"/>
    <x v="1"/>
    <x v="2"/>
    <x v="1"/>
    <n v="0"/>
    <n v="25142"/>
    <n v="2.5142000000000001E-2"/>
    <n v="43252"/>
    <x v="0"/>
  </r>
  <r>
    <n v="60000345"/>
    <x v="30"/>
    <x v="1"/>
    <x v="0"/>
    <x v="8"/>
    <x v="0"/>
    <n v="0.25"/>
    <x v="3"/>
    <x v="11"/>
    <x v="5"/>
    <x v="32"/>
    <x v="2"/>
    <x v="2"/>
    <x v="1"/>
    <n v="0"/>
    <n v="66513"/>
    <n v="6.6513000000000003E-2"/>
    <n v="43252"/>
    <x v="0"/>
  </r>
  <r>
    <n v="60000346"/>
    <x v="4"/>
    <x v="0"/>
    <x v="1"/>
    <x v="6"/>
    <x v="0"/>
    <n v="0.24"/>
    <x v="0"/>
    <x v="9"/>
    <x v="12"/>
    <x v="4"/>
    <x v="1"/>
    <x v="2"/>
    <x v="1"/>
    <n v="0"/>
    <n v="27384"/>
    <n v="2.7383999999999999E-2"/>
    <n v="43252"/>
    <x v="0"/>
  </r>
  <r>
    <n v="60000347"/>
    <x v="25"/>
    <x v="0"/>
    <x v="0"/>
    <x v="1"/>
    <x v="0"/>
    <n v="0.23"/>
    <x v="0"/>
    <x v="5"/>
    <x v="11"/>
    <x v="25"/>
    <x v="1"/>
    <x v="2"/>
    <x v="1"/>
    <n v="6"/>
    <n v="38490"/>
    <n v="3.8490000000000003E-2"/>
    <n v="43252"/>
    <x v="0"/>
  </r>
  <r>
    <n v="60000348"/>
    <x v="13"/>
    <x v="0"/>
    <x v="0"/>
    <x v="5"/>
    <x v="0"/>
    <n v="0.11"/>
    <x v="4"/>
    <x v="10"/>
    <x v="2"/>
    <x v="17"/>
    <x v="2"/>
    <x v="2"/>
    <x v="0"/>
    <n v="7"/>
    <n v="82763"/>
    <n v="8.2763000000000003E-2"/>
    <n v="43252"/>
    <x v="0"/>
  </r>
  <r>
    <n v="60000349"/>
    <x v="4"/>
    <x v="0"/>
    <x v="0"/>
    <x v="6"/>
    <x v="0"/>
    <n v="0.36"/>
    <x v="1"/>
    <x v="8"/>
    <x v="12"/>
    <x v="40"/>
    <x v="0"/>
    <x v="2"/>
    <x v="1"/>
    <n v="3"/>
    <n v="43345"/>
    <n v="4.3345000000000002E-2"/>
    <n v="43252"/>
    <x v="0"/>
  </r>
  <r>
    <n v="60000350"/>
    <x v="14"/>
    <x v="1"/>
    <x v="0"/>
    <x v="5"/>
    <x v="0"/>
    <n v="0.32"/>
    <x v="1"/>
    <x v="1"/>
    <x v="5"/>
    <x v="26"/>
    <x v="2"/>
    <x v="2"/>
    <x v="1"/>
    <n v="0"/>
    <n v="24990"/>
    <n v="2.4989999999999998E-2"/>
    <n v="43252"/>
    <x v="0"/>
  </r>
  <r>
    <n v="60000351"/>
    <x v="36"/>
    <x v="0"/>
    <x v="0"/>
    <x v="0"/>
    <x v="0"/>
    <n v="0.18"/>
    <x v="2"/>
    <x v="0"/>
    <x v="12"/>
    <x v="48"/>
    <x v="2"/>
    <x v="2"/>
    <x v="0"/>
    <n v="0"/>
    <n v="25961"/>
    <n v="2.5961000000000001E-2"/>
    <n v="43252"/>
    <x v="0"/>
  </r>
  <r>
    <n v="60000352"/>
    <x v="8"/>
    <x v="0"/>
    <x v="0"/>
    <x v="3"/>
    <x v="0"/>
    <n v="0.38"/>
    <x v="1"/>
    <x v="11"/>
    <x v="3"/>
    <x v="29"/>
    <x v="0"/>
    <x v="2"/>
    <x v="1"/>
    <n v="4"/>
    <n v="37228"/>
    <n v="3.7227999999999997E-2"/>
    <n v="43252"/>
    <x v="0"/>
  </r>
  <r>
    <n v="60000353"/>
    <x v="24"/>
    <x v="1"/>
    <x v="0"/>
    <x v="8"/>
    <x v="0"/>
    <n v="0.28999999999999998"/>
    <x v="3"/>
    <x v="1"/>
    <x v="6"/>
    <x v="44"/>
    <x v="1"/>
    <x v="2"/>
    <x v="1"/>
    <n v="0"/>
    <n v="26244"/>
    <n v="2.6244E-2"/>
    <n v="43252"/>
    <x v="0"/>
  </r>
  <r>
    <n v="60000354"/>
    <x v="42"/>
    <x v="0"/>
    <x v="0"/>
    <x v="6"/>
    <x v="0"/>
    <n v="0.35"/>
    <x v="1"/>
    <x v="12"/>
    <x v="10"/>
    <x v="42"/>
    <x v="2"/>
    <x v="2"/>
    <x v="0"/>
    <n v="6"/>
    <n v="69760"/>
    <n v="6.9760000000000003E-2"/>
    <n v="43252"/>
    <x v="0"/>
  </r>
  <r>
    <n v="60000355"/>
    <x v="33"/>
    <x v="0"/>
    <x v="1"/>
    <x v="8"/>
    <x v="0"/>
    <n v="0.36"/>
    <x v="1"/>
    <x v="13"/>
    <x v="10"/>
    <x v="0"/>
    <x v="0"/>
    <x v="2"/>
    <x v="0"/>
    <n v="2"/>
    <n v="49433"/>
    <n v="4.9432999999999998E-2"/>
    <n v="43252"/>
    <x v="0"/>
  </r>
  <r>
    <n v="60000356"/>
    <x v="38"/>
    <x v="1"/>
    <x v="0"/>
    <x v="0"/>
    <x v="0"/>
    <n v="0.37"/>
    <x v="1"/>
    <x v="6"/>
    <x v="8"/>
    <x v="22"/>
    <x v="0"/>
    <x v="2"/>
    <x v="1"/>
    <n v="0"/>
    <n v="32841"/>
    <n v="3.2841000000000002E-2"/>
    <n v="43252"/>
    <x v="0"/>
  </r>
  <r>
    <n v="60000357"/>
    <x v="18"/>
    <x v="0"/>
    <x v="1"/>
    <x v="7"/>
    <x v="0"/>
    <n v="0.35"/>
    <x v="1"/>
    <x v="5"/>
    <x v="9"/>
    <x v="25"/>
    <x v="0"/>
    <x v="2"/>
    <x v="1"/>
    <n v="0"/>
    <n v="26497"/>
    <n v="2.6497E-2"/>
    <n v="43252"/>
    <x v="0"/>
  </r>
  <r>
    <n v="60000358"/>
    <x v="14"/>
    <x v="0"/>
    <x v="0"/>
    <x v="3"/>
    <x v="0"/>
    <n v="0.37"/>
    <x v="1"/>
    <x v="11"/>
    <x v="6"/>
    <x v="8"/>
    <x v="0"/>
    <x v="2"/>
    <x v="0"/>
    <n v="3"/>
    <n v="24475"/>
    <n v="2.4475E-2"/>
    <n v="43252"/>
    <x v="0"/>
  </r>
  <r>
    <n v="60000359"/>
    <x v="31"/>
    <x v="0"/>
    <x v="0"/>
    <x v="3"/>
    <x v="0"/>
    <n v="0.35"/>
    <x v="1"/>
    <x v="9"/>
    <x v="0"/>
    <x v="32"/>
    <x v="2"/>
    <x v="2"/>
    <x v="0"/>
    <n v="0"/>
    <n v="61193"/>
    <n v="6.1192999999999997E-2"/>
    <n v="43252"/>
    <x v="0"/>
  </r>
  <r>
    <n v="60000360"/>
    <x v="43"/>
    <x v="1"/>
    <x v="1"/>
    <x v="1"/>
    <x v="0"/>
    <n v="0.14000000000000001"/>
    <x v="2"/>
    <x v="10"/>
    <x v="5"/>
    <x v="6"/>
    <x v="0"/>
    <x v="2"/>
    <x v="0"/>
    <n v="6"/>
    <n v="55051"/>
    <n v="5.5051000000000003E-2"/>
    <n v="43252"/>
    <x v="0"/>
  </r>
  <r>
    <n v="60000361"/>
    <x v="14"/>
    <x v="0"/>
    <x v="0"/>
    <x v="0"/>
    <x v="0"/>
    <n v="0.28000000000000003"/>
    <x v="3"/>
    <x v="2"/>
    <x v="0"/>
    <x v="27"/>
    <x v="1"/>
    <x v="2"/>
    <x v="0"/>
    <n v="0"/>
    <n v="36268"/>
    <n v="3.6268000000000002E-2"/>
    <n v="43252"/>
    <x v="0"/>
  </r>
  <r>
    <n v="60000362"/>
    <x v="23"/>
    <x v="0"/>
    <x v="1"/>
    <x v="0"/>
    <x v="0"/>
    <n v="0.21"/>
    <x v="0"/>
    <x v="7"/>
    <x v="10"/>
    <x v="1"/>
    <x v="2"/>
    <x v="2"/>
    <x v="1"/>
    <n v="5"/>
    <n v="62522"/>
    <n v="6.2521999999999994E-2"/>
    <n v="43252"/>
    <x v="0"/>
  </r>
  <r>
    <n v="60000363"/>
    <x v="32"/>
    <x v="0"/>
    <x v="1"/>
    <x v="10"/>
    <x v="0"/>
    <n v="0.16"/>
    <x v="2"/>
    <x v="8"/>
    <x v="6"/>
    <x v="22"/>
    <x v="0"/>
    <x v="2"/>
    <x v="1"/>
    <n v="0"/>
    <n v="74630"/>
    <n v="7.4630000000000002E-2"/>
    <n v="43252"/>
    <x v="0"/>
  </r>
  <r>
    <n v="60000364"/>
    <x v="22"/>
    <x v="0"/>
    <x v="1"/>
    <x v="9"/>
    <x v="0"/>
    <n v="0.14000000000000001"/>
    <x v="2"/>
    <x v="13"/>
    <x v="10"/>
    <x v="2"/>
    <x v="2"/>
    <x v="2"/>
    <x v="1"/>
    <n v="0"/>
    <n v="39889"/>
    <n v="3.9889000000000001E-2"/>
    <n v="43252"/>
    <x v="0"/>
  </r>
  <r>
    <n v="60000365"/>
    <x v="28"/>
    <x v="1"/>
    <x v="1"/>
    <x v="7"/>
    <x v="0"/>
    <n v="0.28999999999999998"/>
    <x v="3"/>
    <x v="2"/>
    <x v="8"/>
    <x v="5"/>
    <x v="1"/>
    <x v="2"/>
    <x v="1"/>
    <n v="5"/>
    <n v="27928"/>
    <n v="2.7928000000000001E-2"/>
    <n v="43252"/>
    <x v="0"/>
  </r>
  <r>
    <n v="60000366"/>
    <x v="31"/>
    <x v="0"/>
    <x v="1"/>
    <x v="4"/>
    <x v="0"/>
    <n v="0.25"/>
    <x v="3"/>
    <x v="5"/>
    <x v="10"/>
    <x v="16"/>
    <x v="0"/>
    <x v="2"/>
    <x v="1"/>
    <n v="1"/>
    <n v="49493"/>
    <n v="4.9493000000000002E-2"/>
    <n v="43252"/>
    <x v="0"/>
  </r>
  <r>
    <n v="60000367"/>
    <x v="34"/>
    <x v="0"/>
    <x v="1"/>
    <x v="3"/>
    <x v="0"/>
    <n v="0.16"/>
    <x v="2"/>
    <x v="0"/>
    <x v="7"/>
    <x v="43"/>
    <x v="0"/>
    <x v="2"/>
    <x v="0"/>
    <n v="0"/>
    <n v="64826"/>
    <n v="6.4825999999999995E-2"/>
    <n v="43252"/>
    <x v="0"/>
  </r>
  <r>
    <n v="60000368"/>
    <x v="43"/>
    <x v="0"/>
    <x v="0"/>
    <x v="2"/>
    <x v="0"/>
    <n v="0.14000000000000001"/>
    <x v="2"/>
    <x v="2"/>
    <x v="11"/>
    <x v="14"/>
    <x v="2"/>
    <x v="2"/>
    <x v="0"/>
    <n v="3"/>
    <n v="54304"/>
    <n v="5.4303999999999998E-2"/>
    <n v="43252"/>
    <x v="0"/>
  </r>
  <r>
    <n v="60000369"/>
    <x v="32"/>
    <x v="1"/>
    <x v="1"/>
    <x v="2"/>
    <x v="0"/>
    <n v="0.28999999999999998"/>
    <x v="3"/>
    <x v="2"/>
    <x v="10"/>
    <x v="27"/>
    <x v="2"/>
    <x v="2"/>
    <x v="1"/>
    <n v="0"/>
    <n v="80617"/>
    <n v="8.0616999999999994E-2"/>
    <n v="43252"/>
    <x v="0"/>
  </r>
  <r>
    <n v="60000370"/>
    <x v="23"/>
    <x v="0"/>
    <x v="0"/>
    <x v="5"/>
    <x v="0"/>
    <n v="0.19"/>
    <x v="0"/>
    <x v="8"/>
    <x v="0"/>
    <x v="23"/>
    <x v="2"/>
    <x v="2"/>
    <x v="0"/>
    <n v="0"/>
    <n v="74854"/>
    <n v="7.4854000000000004E-2"/>
    <n v="43252"/>
    <x v="0"/>
  </r>
  <r>
    <n v="60000371"/>
    <x v="44"/>
    <x v="1"/>
    <x v="1"/>
    <x v="7"/>
    <x v="0"/>
    <n v="0.16"/>
    <x v="2"/>
    <x v="12"/>
    <x v="11"/>
    <x v="4"/>
    <x v="1"/>
    <x v="2"/>
    <x v="0"/>
    <n v="0"/>
    <n v="49343"/>
    <n v="4.9342999999999998E-2"/>
    <n v="43252"/>
    <x v="0"/>
  </r>
  <r>
    <n v="60000372"/>
    <x v="10"/>
    <x v="1"/>
    <x v="1"/>
    <x v="3"/>
    <x v="0"/>
    <n v="0.16"/>
    <x v="2"/>
    <x v="10"/>
    <x v="7"/>
    <x v="25"/>
    <x v="2"/>
    <x v="2"/>
    <x v="1"/>
    <n v="4"/>
    <n v="80425"/>
    <n v="8.0424999999999996E-2"/>
    <n v="43252"/>
    <x v="0"/>
  </r>
  <r>
    <n v="60000373"/>
    <x v="12"/>
    <x v="1"/>
    <x v="0"/>
    <x v="9"/>
    <x v="0"/>
    <n v="0.19"/>
    <x v="0"/>
    <x v="15"/>
    <x v="3"/>
    <x v="31"/>
    <x v="0"/>
    <x v="2"/>
    <x v="0"/>
    <n v="0"/>
    <n v="28635"/>
    <n v="2.8635000000000001E-2"/>
    <n v="43252"/>
    <x v="0"/>
  </r>
  <r>
    <n v="60000374"/>
    <x v="37"/>
    <x v="0"/>
    <x v="0"/>
    <x v="10"/>
    <x v="0"/>
    <n v="0.26"/>
    <x v="3"/>
    <x v="13"/>
    <x v="11"/>
    <x v="34"/>
    <x v="2"/>
    <x v="2"/>
    <x v="1"/>
    <n v="0"/>
    <n v="28074"/>
    <n v="2.8074000000000002E-2"/>
    <n v="43252"/>
    <x v="0"/>
  </r>
  <r>
    <n v="60000375"/>
    <x v="15"/>
    <x v="1"/>
    <x v="0"/>
    <x v="9"/>
    <x v="0"/>
    <n v="0.34"/>
    <x v="1"/>
    <x v="13"/>
    <x v="8"/>
    <x v="20"/>
    <x v="1"/>
    <x v="2"/>
    <x v="0"/>
    <n v="3"/>
    <n v="68445"/>
    <n v="6.8445000000000006E-2"/>
    <n v="43252"/>
    <x v="0"/>
  </r>
  <r>
    <n v="60000376"/>
    <x v="12"/>
    <x v="1"/>
    <x v="1"/>
    <x v="8"/>
    <x v="0"/>
    <n v="0.25"/>
    <x v="3"/>
    <x v="5"/>
    <x v="11"/>
    <x v="38"/>
    <x v="1"/>
    <x v="2"/>
    <x v="0"/>
    <n v="0"/>
    <n v="84067"/>
    <n v="8.4067000000000003E-2"/>
    <n v="43252"/>
    <x v="0"/>
  </r>
  <r>
    <n v="60000377"/>
    <x v="19"/>
    <x v="0"/>
    <x v="1"/>
    <x v="5"/>
    <x v="0"/>
    <n v="0.11"/>
    <x v="4"/>
    <x v="3"/>
    <x v="2"/>
    <x v="36"/>
    <x v="0"/>
    <x v="2"/>
    <x v="0"/>
    <n v="0"/>
    <n v="83731"/>
    <n v="8.3731E-2"/>
    <n v="43252"/>
    <x v="0"/>
  </r>
  <r>
    <n v="60000378"/>
    <x v="25"/>
    <x v="1"/>
    <x v="1"/>
    <x v="6"/>
    <x v="0"/>
    <n v="0.27"/>
    <x v="3"/>
    <x v="10"/>
    <x v="8"/>
    <x v="11"/>
    <x v="0"/>
    <x v="2"/>
    <x v="0"/>
    <n v="1"/>
    <n v="28557"/>
    <n v="2.8556999999999999E-2"/>
    <n v="43252"/>
    <x v="0"/>
  </r>
  <r>
    <n v="60000379"/>
    <x v="2"/>
    <x v="1"/>
    <x v="0"/>
    <x v="5"/>
    <x v="0"/>
    <n v="0.35"/>
    <x v="1"/>
    <x v="6"/>
    <x v="11"/>
    <x v="3"/>
    <x v="2"/>
    <x v="2"/>
    <x v="0"/>
    <n v="5"/>
    <n v="79614"/>
    <n v="7.9614000000000004E-2"/>
    <n v="43252"/>
    <x v="0"/>
  </r>
  <r>
    <n v="60000380"/>
    <x v="8"/>
    <x v="0"/>
    <x v="0"/>
    <x v="6"/>
    <x v="0"/>
    <n v="0.3"/>
    <x v="3"/>
    <x v="3"/>
    <x v="10"/>
    <x v="20"/>
    <x v="1"/>
    <x v="2"/>
    <x v="0"/>
    <n v="0"/>
    <n v="54684"/>
    <n v="5.4684000000000003E-2"/>
    <n v="43252"/>
    <x v="0"/>
  </r>
  <r>
    <n v="60000381"/>
    <x v="21"/>
    <x v="1"/>
    <x v="0"/>
    <x v="6"/>
    <x v="0"/>
    <n v="0.31"/>
    <x v="3"/>
    <x v="3"/>
    <x v="6"/>
    <x v="45"/>
    <x v="2"/>
    <x v="2"/>
    <x v="1"/>
    <n v="7"/>
    <n v="27227"/>
    <n v="2.7227000000000001E-2"/>
    <n v="43252"/>
    <x v="0"/>
  </r>
  <r>
    <n v="60000382"/>
    <x v="20"/>
    <x v="1"/>
    <x v="0"/>
    <x v="4"/>
    <x v="0"/>
    <n v="0.13"/>
    <x v="2"/>
    <x v="5"/>
    <x v="7"/>
    <x v="10"/>
    <x v="1"/>
    <x v="2"/>
    <x v="1"/>
    <n v="0"/>
    <n v="32045"/>
    <n v="3.2044999999999997E-2"/>
    <n v="43252"/>
    <x v="0"/>
  </r>
  <r>
    <n v="60000383"/>
    <x v="43"/>
    <x v="0"/>
    <x v="1"/>
    <x v="3"/>
    <x v="0"/>
    <n v="0.28000000000000003"/>
    <x v="3"/>
    <x v="1"/>
    <x v="8"/>
    <x v="48"/>
    <x v="2"/>
    <x v="2"/>
    <x v="1"/>
    <n v="0"/>
    <n v="25551"/>
    <n v="2.5551000000000001E-2"/>
    <n v="43252"/>
    <x v="0"/>
  </r>
  <r>
    <n v="60000384"/>
    <x v="12"/>
    <x v="0"/>
    <x v="1"/>
    <x v="6"/>
    <x v="0"/>
    <n v="0.2"/>
    <x v="0"/>
    <x v="13"/>
    <x v="7"/>
    <x v="42"/>
    <x v="0"/>
    <x v="2"/>
    <x v="0"/>
    <n v="0"/>
    <n v="43464"/>
    <n v="4.3464000000000003E-2"/>
    <n v="43252"/>
    <x v="0"/>
  </r>
  <r>
    <n v="60000385"/>
    <x v="12"/>
    <x v="1"/>
    <x v="1"/>
    <x v="3"/>
    <x v="0"/>
    <n v="0.3"/>
    <x v="3"/>
    <x v="14"/>
    <x v="4"/>
    <x v="10"/>
    <x v="2"/>
    <x v="2"/>
    <x v="0"/>
    <n v="5"/>
    <n v="41890"/>
    <n v="4.1889999999999997E-2"/>
    <n v="43252"/>
    <x v="0"/>
  </r>
  <r>
    <n v="60000386"/>
    <x v="43"/>
    <x v="1"/>
    <x v="0"/>
    <x v="6"/>
    <x v="0"/>
    <n v="0.17"/>
    <x v="2"/>
    <x v="6"/>
    <x v="0"/>
    <x v="18"/>
    <x v="1"/>
    <x v="2"/>
    <x v="1"/>
    <n v="7"/>
    <n v="36063"/>
    <n v="3.6062999999999998E-2"/>
    <n v="43252"/>
    <x v="0"/>
  </r>
  <r>
    <n v="60000387"/>
    <x v="33"/>
    <x v="0"/>
    <x v="0"/>
    <x v="3"/>
    <x v="0"/>
    <n v="0.24"/>
    <x v="0"/>
    <x v="3"/>
    <x v="2"/>
    <x v="32"/>
    <x v="0"/>
    <x v="2"/>
    <x v="1"/>
    <n v="0"/>
    <n v="80040"/>
    <n v="8.004E-2"/>
    <n v="43252"/>
    <x v="0"/>
  </r>
  <r>
    <n v="60000388"/>
    <x v="20"/>
    <x v="1"/>
    <x v="1"/>
    <x v="0"/>
    <x v="0"/>
    <n v="0.32"/>
    <x v="1"/>
    <x v="10"/>
    <x v="5"/>
    <x v="0"/>
    <x v="2"/>
    <x v="2"/>
    <x v="1"/>
    <n v="1"/>
    <n v="72998"/>
    <n v="7.2997999999999993E-2"/>
    <n v="43252"/>
    <x v="0"/>
  </r>
  <r>
    <n v="60000389"/>
    <x v="34"/>
    <x v="1"/>
    <x v="0"/>
    <x v="8"/>
    <x v="0"/>
    <n v="0.12"/>
    <x v="2"/>
    <x v="9"/>
    <x v="10"/>
    <x v="18"/>
    <x v="2"/>
    <x v="2"/>
    <x v="1"/>
    <n v="0"/>
    <n v="66477"/>
    <n v="6.6476999999999994E-2"/>
    <n v="43252"/>
    <x v="0"/>
  </r>
  <r>
    <n v="60000390"/>
    <x v="26"/>
    <x v="1"/>
    <x v="1"/>
    <x v="6"/>
    <x v="0"/>
    <n v="0.13"/>
    <x v="2"/>
    <x v="6"/>
    <x v="8"/>
    <x v="19"/>
    <x v="2"/>
    <x v="2"/>
    <x v="0"/>
    <n v="7"/>
    <n v="48518"/>
    <n v="4.8517999999999999E-2"/>
    <n v="43252"/>
    <x v="0"/>
  </r>
  <r>
    <n v="60000391"/>
    <x v="28"/>
    <x v="0"/>
    <x v="0"/>
    <x v="9"/>
    <x v="0"/>
    <n v="0.14000000000000001"/>
    <x v="2"/>
    <x v="13"/>
    <x v="12"/>
    <x v="5"/>
    <x v="1"/>
    <x v="2"/>
    <x v="0"/>
    <n v="4"/>
    <n v="34127"/>
    <n v="3.4126999999999998E-2"/>
    <n v="43252"/>
    <x v="0"/>
  </r>
  <r>
    <n v="60000392"/>
    <x v="20"/>
    <x v="0"/>
    <x v="0"/>
    <x v="5"/>
    <x v="0"/>
    <n v="0.21"/>
    <x v="0"/>
    <x v="1"/>
    <x v="8"/>
    <x v="1"/>
    <x v="0"/>
    <x v="2"/>
    <x v="0"/>
    <n v="0"/>
    <n v="64482"/>
    <n v="6.4481999999999998E-2"/>
    <n v="43252"/>
    <x v="0"/>
  </r>
  <r>
    <n v="60000393"/>
    <x v="34"/>
    <x v="1"/>
    <x v="1"/>
    <x v="7"/>
    <x v="0"/>
    <n v="0.21"/>
    <x v="0"/>
    <x v="9"/>
    <x v="2"/>
    <x v="29"/>
    <x v="1"/>
    <x v="2"/>
    <x v="1"/>
    <n v="6"/>
    <n v="54672"/>
    <n v="5.4671999999999998E-2"/>
    <n v="43252"/>
    <x v="0"/>
  </r>
  <r>
    <n v="60000394"/>
    <x v="30"/>
    <x v="1"/>
    <x v="1"/>
    <x v="3"/>
    <x v="0"/>
    <n v="0.17"/>
    <x v="2"/>
    <x v="5"/>
    <x v="8"/>
    <x v="0"/>
    <x v="2"/>
    <x v="2"/>
    <x v="1"/>
    <n v="4"/>
    <n v="51554"/>
    <n v="5.1554000000000003E-2"/>
    <n v="43252"/>
    <x v="0"/>
  </r>
  <r>
    <n v="60000395"/>
    <x v="45"/>
    <x v="1"/>
    <x v="0"/>
    <x v="8"/>
    <x v="0"/>
    <n v="0.37"/>
    <x v="1"/>
    <x v="7"/>
    <x v="1"/>
    <x v="11"/>
    <x v="0"/>
    <x v="2"/>
    <x v="1"/>
    <n v="0"/>
    <n v="44090"/>
    <n v="4.4089999999999997E-2"/>
    <n v="43252"/>
    <x v="0"/>
  </r>
  <r>
    <n v="60000396"/>
    <x v="10"/>
    <x v="0"/>
    <x v="1"/>
    <x v="6"/>
    <x v="0"/>
    <n v="0.23"/>
    <x v="0"/>
    <x v="7"/>
    <x v="0"/>
    <x v="11"/>
    <x v="0"/>
    <x v="2"/>
    <x v="1"/>
    <n v="0"/>
    <n v="81393"/>
    <n v="8.1392999999999993E-2"/>
    <n v="43252"/>
    <x v="0"/>
  </r>
  <r>
    <n v="60000397"/>
    <x v="34"/>
    <x v="1"/>
    <x v="1"/>
    <x v="2"/>
    <x v="0"/>
    <n v="0.33"/>
    <x v="1"/>
    <x v="10"/>
    <x v="0"/>
    <x v="14"/>
    <x v="0"/>
    <x v="2"/>
    <x v="1"/>
    <n v="1"/>
    <n v="35847"/>
    <n v="3.5846999999999997E-2"/>
    <n v="43252"/>
    <x v="0"/>
  </r>
  <r>
    <n v="60000398"/>
    <x v="10"/>
    <x v="1"/>
    <x v="1"/>
    <x v="9"/>
    <x v="0"/>
    <n v="0.27"/>
    <x v="3"/>
    <x v="10"/>
    <x v="5"/>
    <x v="38"/>
    <x v="0"/>
    <x v="2"/>
    <x v="1"/>
    <n v="3"/>
    <n v="73014"/>
    <n v="7.3013999999999996E-2"/>
    <n v="43252"/>
    <x v="0"/>
  </r>
  <r>
    <n v="60000399"/>
    <x v="3"/>
    <x v="0"/>
    <x v="0"/>
    <x v="11"/>
    <x v="0"/>
    <n v="0.16"/>
    <x v="2"/>
    <x v="11"/>
    <x v="6"/>
    <x v="18"/>
    <x v="0"/>
    <x v="2"/>
    <x v="0"/>
    <n v="2"/>
    <n v="48965"/>
    <n v="4.8965000000000002E-2"/>
    <n v="43252"/>
    <x v="0"/>
  </r>
  <r>
    <n v="60000400"/>
    <x v="35"/>
    <x v="0"/>
    <x v="0"/>
    <x v="10"/>
    <x v="0"/>
    <n v="0.15"/>
    <x v="2"/>
    <x v="11"/>
    <x v="8"/>
    <x v="10"/>
    <x v="1"/>
    <x v="2"/>
    <x v="1"/>
    <n v="0"/>
    <n v="23504"/>
    <n v="2.3504000000000001E-2"/>
    <n v="43252"/>
    <x v="0"/>
  </r>
  <r>
    <n v="60000401"/>
    <x v="5"/>
    <x v="0"/>
    <x v="0"/>
    <x v="3"/>
    <x v="0"/>
    <n v="0.12"/>
    <x v="2"/>
    <x v="4"/>
    <x v="3"/>
    <x v="37"/>
    <x v="0"/>
    <x v="2"/>
    <x v="0"/>
    <n v="0"/>
    <n v="28997"/>
    <n v="2.8996999999999998E-2"/>
    <n v="43252"/>
    <x v="0"/>
  </r>
  <r>
    <n v="60000402"/>
    <x v="35"/>
    <x v="1"/>
    <x v="1"/>
    <x v="6"/>
    <x v="0"/>
    <n v="0.37"/>
    <x v="1"/>
    <x v="3"/>
    <x v="2"/>
    <x v="7"/>
    <x v="0"/>
    <x v="2"/>
    <x v="1"/>
    <n v="0"/>
    <n v="29285"/>
    <n v="2.9284999999999999E-2"/>
    <n v="43252"/>
    <x v="0"/>
  </r>
  <r>
    <n v="60000403"/>
    <x v="6"/>
    <x v="0"/>
    <x v="0"/>
    <x v="11"/>
    <x v="0"/>
    <n v="0.14000000000000001"/>
    <x v="2"/>
    <x v="3"/>
    <x v="2"/>
    <x v="16"/>
    <x v="2"/>
    <x v="2"/>
    <x v="0"/>
    <n v="0"/>
    <n v="47552"/>
    <n v="4.7551999999999997E-2"/>
    <n v="43252"/>
    <x v="0"/>
  </r>
  <r>
    <n v="60000404"/>
    <x v="9"/>
    <x v="1"/>
    <x v="0"/>
    <x v="7"/>
    <x v="0"/>
    <n v="0.36"/>
    <x v="1"/>
    <x v="10"/>
    <x v="5"/>
    <x v="43"/>
    <x v="2"/>
    <x v="2"/>
    <x v="1"/>
    <n v="7"/>
    <n v="69505"/>
    <n v="6.9504999999999997E-2"/>
    <n v="43252"/>
    <x v="0"/>
  </r>
  <r>
    <n v="60000405"/>
    <x v="17"/>
    <x v="0"/>
    <x v="1"/>
    <x v="6"/>
    <x v="0"/>
    <n v="0.12"/>
    <x v="2"/>
    <x v="10"/>
    <x v="0"/>
    <x v="19"/>
    <x v="2"/>
    <x v="2"/>
    <x v="1"/>
    <n v="0"/>
    <n v="67632"/>
    <n v="6.7631999999999998E-2"/>
    <n v="43252"/>
    <x v="0"/>
  </r>
  <r>
    <n v="60000406"/>
    <x v="35"/>
    <x v="1"/>
    <x v="0"/>
    <x v="0"/>
    <x v="0"/>
    <n v="0.21"/>
    <x v="0"/>
    <x v="8"/>
    <x v="11"/>
    <x v="40"/>
    <x v="1"/>
    <x v="2"/>
    <x v="0"/>
    <n v="0"/>
    <n v="60132"/>
    <n v="6.0131999999999998E-2"/>
    <n v="43252"/>
    <x v="0"/>
  </r>
  <r>
    <n v="60000407"/>
    <x v="43"/>
    <x v="1"/>
    <x v="1"/>
    <x v="8"/>
    <x v="0"/>
    <n v="0.38"/>
    <x v="1"/>
    <x v="1"/>
    <x v="4"/>
    <x v="48"/>
    <x v="0"/>
    <x v="2"/>
    <x v="1"/>
    <n v="6"/>
    <n v="81351"/>
    <n v="8.1351000000000007E-2"/>
    <n v="43252"/>
    <x v="0"/>
  </r>
  <r>
    <n v="60000408"/>
    <x v="40"/>
    <x v="0"/>
    <x v="0"/>
    <x v="7"/>
    <x v="0"/>
    <n v="0.32"/>
    <x v="1"/>
    <x v="1"/>
    <x v="12"/>
    <x v="10"/>
    <x v="0"/>
    <x v="2"/>
    <x v="1"/>
    <n v="1"/>
    <n v="56880"/>
    <n v="5.688E-2"/>
    <n v="43252"/>
    <x v="0"/>
  </r>
  <r>
    <n v="60000409"/>
    <x v="28"/>
    <x v="1"/>
    <x v="1"/>
    <x v="0"/>
    <x v="0"/>
    <n v="0.3"/>
    <x v="3"/>
    <x v="3"/>
    <x v="7"/>
    <x v="18"/>
    <x v="1"/>
    <x v="2"/>
    <x v="0"/>
    <n v="1"/>
    <n v="58453"/>
    <n v="5.8452999999999998E-2"/>
    <n v="43252"/>
    <x v="0"/>
  </r>
  <r>
    <n v="60000410"/>
    <x v="27"/>
    <x v="1"/>
    <x v="1"/>
    <x v="5"/>
    <x v="0"/>
    <n v="0.2"/>
    <x v="0"/>
    <x v="6"/>
    <x v="10"/>
    <x v="39"/>
    <x v="1"/>
    <x v="2"/>
    <x v="1"/>
    <n v="5"/>
    <n v="67984"/>
    <n v="6.7984000000000003E-2"/>
    <n v="43252"/>
    <x v="0"/>
  </r>
  <r>
    <n v="60000411"/>
    <x v="18"/>
    <x v="0"/>
    <x v="0"/>
    <x v="10"/>
    <x v="0"/>
    <n v="0.32"/>
    <x v="1"/>
    <x v="11"/>
    <x v="10"/>
    <x v="42"/>
    <x v="0"/>
    <x v="2"/>
    <x v="0"/>
    <n v="1"/>
    <n v="72612"/>
    <n v="7.2611999999999996E-2"/>
    <n v="43252"/>
    <x v="0"/>
  </r>
  <r>
    <n v="60000412"/>
    <x v="38"/>
    <x v="1"/>
    <x v="1"/>
    <x v="1"/>
    <x v="0"/>
    <n v="0.33"/>
    <x v="1"/>
    <x v="9"/>
    <x v="7"/>
    <x v="13"/>
    <x v="2"/>
    <x v="2"/>
    <x v="1"/>
    <n v="0"/>
    <n v="27132"/>
    <n v="2.7132E-2"/>
    <n v="43252"/>
    <x v="0"/>
  </r>
  <r>
    <n v="60000413"/>
    <x v="24"/>
    <x v="0"/>
    <x v="1"/>
    <x v="3"/>
    <x v="0"/>
    <n v="0.36"/>
    <x v="1"/>
    <x v="7"/>
    <x v="12"/>
    <x v="31"/>
    <x v="0"/>
    <x v="2"/>
    <x v="0"/>
    <n v="0"/>
    <n v="42131"/>
    <n v="4.2131000000000002E-2"/>
    <n v="43252"/>
    <x v="0"/>
  </r>
  <r>
    <n v="60000414"/>
    <x v="21"/>
    <x v="1"/>
    <x v="0"/>
    <x v="4"/>
    <x v="0"/>
    <n v="0.21"/>
    <x v="0"/>
    <x v="3"/>
    <x v="4"/>
    <x v="33"/>
    <x v="1"/>
    <x v="2"/>
    <x v="0"/>
    <n v="4"/>
    <n v="31293"/>
    <n v="3.1293000000000001E-2"/>
    <n v="43252"/>
    <x v="0"/>
  </r>
  <r>
    <n v="60000415"/>
    <x v="43"/>
    <x v="0"/>
    <x v="0"/>
    <x v="8"/>
    <x v="0"/>
    <n v="0.28000000000000003"/>
    <x v="3"/>
    <x v="14"/>
    <x v="10"/>
    <x v="13"/>
    <x v="0"/>
    <x v="2"/>
    <x v="0"/>
    <n v="4"/>
    <n v="50744"/>
    <n v="5.0743999999999997E-2"/>
    <n v="43252"/>
    <x v="0"/>
  </r>
  <r>
    <n v="60000416"/>
    <x v="27"/>
    <x v="0"/>
    <x v="1"/>
    <x v="7"/>
    <x v="0"/>
    <n v="0.3"/>
    <x v="3"/>
    <x v="5"/>
    <x v="10"/>
    <x v="1"/>
    <x v="2"/>
    <x v="2"/>
    <x v="1"/>
    <n v="0"/>
    <n v="27824"/>
    <n v="2.7824000000000002E-2"/>
    <n v="43252"/>
    <x v="0"/>
  </r>
  <r>
    <n v="60000417"/>
    <x v="3"/>
    <x v="0"/>
    <x v="1"/>
    <x v="3"/>
    <x v="0"/>
    <n v="0.19"/>
    <x v="0"/>
    <x v="8"/>
    <x v="7"/>
    <x v="48"/>
    <x v="0"/>
    <x v="2"/>
    <x v="1"/>
    <n v="3"/>
    <n v="37576"/>
    <n v="3.7575999999999998E-2"/>
    <n v="43252"/>
    <x v="0"/>
  </r>
  <r>
    <n v="60000418"/>
    <x v="8"/>
    <x v="0"/>
    <x v="0"/>
    <x v="7"/>
    <x v="0"/>
    <n v="0.2"/>
    <x v="0"/>
    <x v="11"/>
    <x v="11"/>
    <x v="21"/>
    <x v="0"/>
    <x v="2"/>
    <x v="0"/>
    <n v="0"/>
    <n v="28458"/>
    <n v="2.8458000000000001E-2"/>
    <n v="43252"/>
    <x v="0"/>
  </r>
  <r>
    <n v="60000419"/>
    <x v="38"/>
    <x v="0"/>
    <x v="1"/>
    <x v="10"/>
    <x v="0"/>
    <n v="0.18"/>
    <x v="2"/>
    <x v="6"/>
    <x v="10"/>
    <x v="11"/>
    <x v="1"/>
    <x v="2"/>
    <x v="0"/>
    <n v="0"/>
    <n v="23995"/>
    <n v="2.3994999999999999E-2"/>
    <n v="43252"/>
    <x v="0"/>
  </r>
  <r>
    <n v="60000420"/>
    <x v="19"/>
    <x v="1"/>
    <x v="0"/>
    <x v="3"/>
    <x v="0"/>
    <n v="0.26"/>
    <x v="3"/>
    <x v="11"/>
    <x v="4"/>
    <x v="2"/>
    <x v="1"/>
    <x v="2"/>
    <x v="1"/>
    <n v="5"/>
    <n v="23626"/>
    <n v="2.3626000000000001E-2"/>
    <n v="43252"/>
    <x v="0"/>
  </r>
  <r>
    <n v="60000421"/>
    <x v="4"/>
    <x v="1"/>
    <x v="1"/>
    <x v="5"/>
    <x v="0"/>
    <n v="0.1"/>
    <x v="4"/>
    <x v="5"/>
    <x v="0"/>
    <x v="43"/>
    <x v="2"/>
    <x v="2"/>
    <x v="1"/>
    <n v="5"/>
    <n v="24556"/>
    <n v="2.4556000000000001E-2"/>
    <n v="43252"/>
    <x v="0"/>
  </r>
  <r>
    <n v="60000422"/>
    <x v="26"/>
    <x v="0"/>
    <x v="0"/>
    <x v="8"/>
    <x v="0"/>
    <n v="0.12"/>
    <x v="2"/>
    <x v="13"/>
    <x v="1"/>
    <x v="30"/>
    <x v="2"/>
    <x v="2"/>
    <x v="1"/>
    <n v="7"/>
    <n v="36555"/>
    <n v="3.6554999999999997E-2"/>
    <n v="43252"/>
    <x v="0"/>
  </r>
  <r>
    <n v="60000423"/>
    <x v="7"/>
    <x v="1"/>
    <x v="0"/>
    <x v="10"/>
    <x v="0"/>
    <n v="0.3"/>
    <x v="3"/>
    <x v="11"/>
    <x v="6"/>
    <x v="36"/>
    <x v="1"/>
    <x v="2"/>
    <x v="0"/>
    <n v="0"/>
    <n v="61440"/>
    <n v="6.1440000000000002E-2"/>
    <n v="43252"/>
    <x v="0"/>
  </r>
  <r>
    <n v="60000424"/>
    <x v="16"/>
    <x v="1"/>
    <x v="1"/>
    <x v="0"/>
    <x v="0"/>
    <n v="0.16"/>
    <x v="2"/>
    <x v="5"/>
    <x v="12"/>
    <x v="4"/>
    <x v="1"/>
    <x v="2"/>
    <x v="1"/>
    <n v="7"/>
    <n v="38307"/>
    <n v="3.8307000000000001E-2"/>
    <n v="43252"/>
    <x v="0"/>
  </r>
  <r>
    <n v="60000425"/>
    <x v="18"/>
    <x v="1"/>
    <x v="0"/>
    <x v="7"/>
    <x v="0"/>
    <n v="0.24"/>
    <x v="0"/>
    <x v="9"/>
    <x v="4"/>
    <x v="10"/>
    <x v="0"/>
    <x v="2"/>
    <x v="0"/>
    <n v="0"/>
    <n v="49359"/>
    <n v="4.9359E-2"/>
    <n v="43252"/>
    <x v="0"/>
  </r>
  <r>
    <n v="60000426"/>
    <x v="8"/>
    <x v="1"/>
    <x v="1"/>
    <x v="0"/>
    <x v="0"/>
    <n v="0.1"/>
    <x v="4"/>
    <x v="6"/>
    <x v="10"/>
    <x v="44"/>
    <x v="2"/>
    <x v="2"/>
    <x v="0"/>
    <n v="4"/>
    <n v="73142"/>
    <n v="7.3141999999999999E-2"/>
    <n v="43252"/>
    <x v="0"/>
  </r>
  <r>
    <n v="60000427"/>
    <x v="9"/>
    <x v="1"/>
    <x v="1"/>
    <x v="11"/>
    <x v="0"/>
    <n v="0.22"/>
    <x v="0"/>
    <x v="15"/>
    <x v="6"/>
    <x v="2"/>
    <x v="0"/>
    <x v="2"/>
    <x v="0"/>
    <n v="4"/>
    <n v="36101"/>
    <n v="3.6101000000000001E-2"/>
    <n v="43252"/>
    <x v="0"/>
  </r>
  <r>
    <n v="60000428"/>
    <x v="20"/>
    <x v="1"/>
    <x v="1"/>
    <x v="1"/>
    <x v="0"/>
    <n v="0.35"/>
    <x v="1"/>
    <x v="0"/>
    <x v="11"/>
    <x v="8"/>
    <x v="1"/>
    <x v="2"/>
    <x v="1"/>
    <n v="5"/>
    <n v="25090"/>
    <n v="2.5090000000000001E-2"/>
    <n v="43252"/>
    <x v="0"/>
  </r>
  <r>
    <n v="60000429"/>
    <x v="43"/>
    <x v="0"/>
    <x v="1"/>
    <x v="7"/>
    <x v="0"/>
    <n v="0.33"/>
    <x v="1"/>
    <x v="12"/>
    <x v="5"/>
    <x v="1"/>
    <x v="1"/>
    <x v="2"/>
    <x v="1"/>
    <n v="0"/>
    <n v="41042"/>
    <n v="4.1042000000000002E-2"/>
    <n v="43252"/>
    <x v="0"/>
  </r>
  <r>
    <n v="60000430"/>
    <x v="11"/>
    <x v="0"/>
    <x v="1"/>
    <x v="11"/>
    <x v="0"/>
    <n v="0.21"/>
    <x v="0"/>
    <x v="12"/>
    <x v="1"/>
    <x v="23"/>
    <x v="0"/>
    <x v="2"/>
    <x v="0"/>
    <n v="0"/>
    <n v="60451"/>
    <n v="6.0450999999999998E-2"/>
    <n v="43252"/>
    <x v="0"/>
  </r>
  <r>
    <n v="60000431"/>
    <x v="27"/>
    <x v="0"/>
    <x v="1"/>
    <x v="0"/>
    <x v="0"/>
    <n v="0.12"/>
    <x v="2"/>
    <x v="9"/>
    <x v="9"/>
    <x v="47"/>
    <x v="0"/>
    <x v="2"/>
    <x v="1"/>
    <n v="6"/>
    <n v="26178"/>
    <n v="2.6178E-2"/>
    <n v="43252"/>
    <x v="0"/>
  </r>
  <r>
    <n v="60000432"/>
    <x v="10"/>
    <x v="1"/>
    <x v="0"/>
    <x v="2"/>
    <x v="0"/>
    <n v="0.22"/>
    <x v="0"/>
    <x v="13"/>
    <x v="5"/>
    <x v="8"/>
    <x v="0"/>
    <x v="2"/>
    <x v="1"/>
    <n v="1"/>
    <n v="57367"/>
    <n v="5.7367000000000001E-2"/>
    <n v="43252"/>
    <x v="0"/>
  </r>
  <r>
    <n v="60000433"/>
    <x v="11"/>
    <x v="0"/>
    <x v="1"/>
    <x v="10"/>
    <x v="0"/>
    <n v="0.33"/>
    <x v="1"/>
    <x v="3"/>
    <x v="11"/>
    <x v="15"/>
    <x v="2"/>
    <x v="2"/>
    <x v="1"/>
    <n v="0"/>
    <n v="70761"/>
    <n v="7.0761000000000004E-2"/>
    <n v="43252"/>
    <x v="0"/>
  </r>
  <r>
    <n v="60000434"/>
    <x v="37"/>
    <x v="0"/>
    <x v="0"/>
    <x v="9"/>
    <x v="0"/>
    <n v="0.13"/>
    <x v="2"/>
    <x v="6"/>
    <x v="8"/>
    <x v="17"/>
    <x v="0"/>
    <x v="2"/>
    <x v="1"/>
    <n v="2"/>
    <n v="26855"/>
    <n v="2.6855E-2"/>
    <n v="43252"/>
    <x v="0"/>
  </r>
  <r>
    <n v="60000435"/>
    <x v="19"/>
    <x v="1"/>
    <x v="0"/>
    <x v="7"/>
    <x v="0"/>
    <n v="0.33"/>
    <x v="1"/>
    <x v="0"/>
    <x v="6"/>
    <x v="8"/>
    <x v="2"/>
    <x v="2"/>
    <x v="1"/>
    <n v="0"/>
    <n v="78889"/>
    <n v="7.8889000000000001E-2"/>
    <n v="43252"/>
    <x v="0"/>
  </r>
  <r>
    <n v="60000436"/>
    <x v="29"/>
    <x v="1"/>
    <x v="0"/>
    <x v="0"/>
    <x v="0"/>
    <n v="0.38"/>
    <x v="1"/>
    <x v="5"/>
    <x v="11"/>
    <x v="19"/>
    <x v="1"/>
    <x v="2"/>
    <x v="0"/>
    <n v="3"/>
    <n v="34581"/>
    <n v="3.4581000000000001E-2"/>
    <n v="43252"/>
    <x v="0"/>
  </r>
  <r>
    <n v="60000437"/>
    <x v="18"/>
    <x v="0"/>
    <x v="1"/>
    <x v="10"/>
    <x v="0"/>
    <n v="0.37"/>
    <x v="1"/>
    <x v="7"/>
    <x v="9"/>
    <x v="26"/>
    <x v="0"/>
    <x v="2"/>
    <x v="0"/>
    <n v="0"/>
    <n v="38750"/>
    <n v="3.875E-2"/>
    <n v="43252"/>
    <x v="0"/>
  </r>
  <r>
    <n v="60000438"/>
    <x v="23"/>
    <x v="0"/>
    <x v="1"/>
    <x v="6"/>
    <x v="0"/>
    <n v="0.15"/>
    <x v="2"/>
    <x v="1"/>
    <x v="8"/>
    <x v="31"/>
    <x v="0"/>
    <x v="2"/>
    <x v="1"/>
    <n v="3"/>
    <n v="27003"/>
    <n v="2.7002999999999999E-2"/>
    <n v="43252"/>
    <x v="0"/>
  </r>
  <r>
    <n v="60000439"/>
    <x v="12"/>
    <x v="1"/>
    <x v="0"/>
    <x v="5"/>
    <x v="0"/>
    <n v="0.1"/>
    <x v="4"/>
    <x v="1"/>
    <x v="6"/>
    <x v="33"/>
    <x v="1"/>
    <x v="2"/>
    <x v="1"/>
    <n v="7"/>
    <n v="35593"/>
    <n v="3.5593E-2"/>
    <n v="43252"/>
    <x v="0"/>
  </r>
  <r>
    <n v="60000440"/>
    <x v="9"/>
    <x v="0"/>
    <x v="0"/>
    <x v="10"/>
    <x v="1"/>
    <n v="0.18"/>
    <x v="2"/>
    <x v="6"/>
    <x v="0"/>
    <x v="18"/>
    <x v="2"/>
    <x v="2"/>
    <x v="0"/>
    <n v="4"/>
    <n v="54011"/>
    <n v="5.4011000000000003E-2"/>
    <n v="43252"/>
    <x v="0"/>
  </r>
  <r>
    <n v="60000441"/>
    <x v="12"/>
    <x v="0"/>
    <x v="0"/>
    <x v="11"/>
    <x v="1"/>
    <n v="0.1"/>
    <x v="4"/>
    <x v="5"/>
    <x v="8"/>
    <x v="3"/>
    <x v="2"/>
    <x v="2"/>
    <x v="0"/>
    <n v="0"/>
    <n v="39860"/>
    <n v="3.986E-2"/>
    <n v="43252"/>
    <x v="0"/>
  </r>
  <r>
    <n v="60000442"/>
    <x v="35"/>
    <x v="1"/>
    <x v="1"/>
    <x v="11"/>
    <x v="0"/>
    <n v="0.35"/>
    <x v="1"/>
    <x v="7"/>
    <x v="1"/>
    <x v="20"/>
    <x v="0"/>
    <x v="2"/>
    <x v="0"/>
    <n v="0"/>
    <n v="78921"/>
    <n v="7.8921000000000005E-2"/>
    <n v="43252"/>
    <x v="0"/>
  </r>
  <r>
    <n v="60000443"/>
    <x v="36"/>
    <x v="1"/>
    <x v="1"/>
    <x v="0"/>
    <x v="0"/>
    <n v="0.37"/>
    <x v="1"/>
    <x v="14"/>
    <x v="4"/>
    <x v="17"/>
    <x v="0"/>
    <x v="2"/>
    <x v="1"/>
    <n v="3"/>
    <n v="49834"/>
    <n v="4.9834000000000003E-2"/>
    <n v="43252"/>
    <x v="0"/>
  </r>
  <r>
    <n v="60000444"/>
    <x v="28"/>
    <x v="1"/>
    <x v="0"/>
    <x v="7"/>
    <x v="2"/>
    <n v="0.19"/>
    <x v="0"/>
    <x v="8"/>
    <x v="10"/>
    <x v="20"/>
    <x v="2"/>
    <x v="2"/>
    <x v="1"/>
    <n v="0"/>
    <n v="37822"/>
    <n v="3.7822000000000001E-2"/>
    <n v="43252"/>
    <x v="0"/>
  </r>
  <r>
    <n v="60000445"/>
    <x v="32"/>
    <x v="0"/>
    <x v="1"/>
    <x v="5"/>
    <x v="0"/>
    <n v="0.3"/>
    <x v="3"/>
    <x v="7"/>
    <x v="3"/>
    <x v="24"/>
    <x v="2"/>
    <x v="2"/>
    <x v="1"/>
    <n v="0"/>
    <n v="38296"/>
    <n v="3.8295999999999997E-2"/>
    <n v="43252"/>
    <x v="0"/>
  </r>
  <r>
    <n v="60000446"/>
    <x v="34"/>
    <x v="1"/>
    <x v="1"/>
    <x v="3"/>
    <x v="0"/>
    <n v="0.14000000000000001"/>
    <x v="2"/>
    <x v="2"/>
    <x v="4"/>
    <x v="20"/>
    <x v="1"/>
    <x v="2"/>
    <x v="1"/>
    <n v="0"/>
    <n v="78541"/>
    <n v="7.8541E-2"/>
    <n v="43252"/>
    <x v="0"/>
  </r>
  <r>
    <n v="60000447"/>
    <x v="11"/>
    <x v="0"/>
    <x v="1"/>
    <x v="6"/>
    <x v="2"/>
    <n v="0.3"/>
    <x v="3"/>
    <x v="1"/>
    <x v="10"/>
    <x v="32"/>
    <x v="0"/>
    <x v="2"/>
    <x v="0"/>
    <n v="0"/>
    <n v="79092"/>
    <n v="7.9091999999999996E-2"/>
    <n v="43252"/>
    <x v="0"/>
  </r>
  <r>
    <n v="60000448"/>
    <x v="15"/>
    <x v="0"/>
    <x v="1"/>
    <x v="2"/>
    <x v="1"/>
    <n v="0.18"/>
    <x v="2"/>
    <x v="5"/>
    <x v="9"/>
    <x v="31"/>
    <x v="0"/>
    <x v="2"/>
    <x v="0"/>
    <n v="7"/>
    <n v="76003"/>
    <n v="7.6003000000000001E-2"/>
    <n v="43252"/>
    <x v="0"/>
  </r>
  <r>
    <n v="60000449"/>
    <x v="34"/>
    <x v="1"/>
    <x v="0"/>
    <x v="10"/>
    <x v="0"/>
    <n v="0.34"/>
    <x v="1"/>
    <x v="12"/>
    <x v="6"/>
    <x v="7"/>
    <x v="2"/>
    <x v="2"/>
    <x v="1"/>
    <n v="6"/>
    <n v="46543"/>
    <n v="4.6543000000000001E-2"/>
    <n v="43252"/>
    <x v="0"/>
  </r>
  <r>
    <n v="60000450"/>
    <x v="11"/>
    <x v="1"/>
    <x v="1"/>
    <x v="10"/>
    <x v="0"/>
    <n v="0.18"/>
    <x v="2"/>
    <x v="0"/>
    <x v="7"/>
    <x v="37"/>
    <x v="1"/>
    <x v="2"/>
    <x v="1"/>
    <n v="0"/>
    <n v="81088"/>
    <n v="8.1087999999999993E-2"/>
    <n v="43252"/>
    <x v="0"/>
  </r>
  <r>
    <n v="60000451"/>
    <x v="24"/>
    <x v="1"/>
    <x v="1"/>
    <x v="4"/>
    <x v="0"/>
    <n v="0.32"/>
    <x v="1"/>
    <x v="11"/>
    <x v="1"/>
    <x v="20"/>
    <x v="1"/>
    <x v="2"/>
    <x v="1"/>
    <n v="1"/>
    <n v="69209"/>
    <n v="6.9209000000000007E-2"/>
    <n v="43252"/>
    <x v="0"/>
  </r>
  <r>
    <n v="60000452"/>
    <x v="26"/>
    <x v="0"/>
    <x v="1"/>
    <x v="4"/>
    <x v="2"/>
    <n v="0.31"/>
    <x v="3"/>
    <x v="4"/>
    <x v="0"/>
    <x v="9"/>
    <x v="2"/>
    <x v="2"/>
    <x v="0"/>
    <n v="2"/>
    <n v="33431"/>
    <n v="3.3431000000000002E-2"/>
    <n v="43252"/>
    <x v="0"/>
  </r>
  <r>
    <n v="60000453"/>
    <x v="2"/>
    <x v="0"/>
    <x v="0"/>
    <x v="9"/>
    <x v="2"/>
    <n v="0.17"/>
    <x v="2"/>
    <x v="10"/>
    <x v="12"/>
    <x v="20"/>
    <x v="1"/>
    <x v="2"/>
    <x v="1"/>
    <n v="0"/>
    <n v="59716"/>
    <n v="5.9715999999999998E-2"/>
    <n v="43252"/>
    <x v="0"/>
  </r>
  <r>
    <n v="60000454"/>
    <x v="5"/>
    <x v="0"/>
    <x v="0"/>
    <x v="9"/>
    <x v="2"/>
    <n v="0.32"/>
    <x v="1"/>
    <x v="2"/>
    <x v="5"/>
    <x v="19"/>
    <x v="1"/>
    <x v="2"/>
    <x v="0"/>
    <n v="4"/>
    <n v="84839"/>
    <n v="8.4838999999999998E-2"/>
    <n v="43252"/>
    <x v="0"/>
  </r>
  <r>
    <n v="60000455"/>
    <x v="21"/>
    <x v="1"/>
    <x v="1"/>
    <x v="1"/>
    <x v="1"/>
    <n v="0.35"/>
    <x v="1"/>
    <x v="7"/>
    <x v="0"/>
    <x v="15"/>
    <x v="0"/>
    <x v="2"/>
    <x v="1"/>
    <n v="0"/>
    <n v="52981"/>
    <n v="5.2981E-2"/>
    <n v="43252"/>
    <x v="0"/>
  </r>
  <r>
    <n v="60000456"/>
    <x v="5"/>
    <x v="0"/>
    <x v="0"/>
    <x v="9"/>
    <x v="0"/>
    <n v="0.25"/>
    <x v="3"/>
    <x v="5"/>
    <x v="7"/>
    <x v="49"/>
    <x v="0"/>
    <x v="2"/>
    <x v="0"/>
    <n v="0"/>
    <n v="75264"/>
    <n v="7.5263999999999998E-2"/>
    <n v="43252"/>
    <x v="0"/>
  </r>
  <r>
    <n v="60000457"/>
    <x v="27"/>
    <x v="0"/>
    <x v="1"/>
    <x v="9"/>
    <x v="2"/>
    <n v="0.17"/>
    <x v="2"/>
    <x v="10"/>
    <x v="7"/>
    <x v="22"/>
    <x v="2"/>
    <x v="2"/>
    <x v="1"/>
    <n v="0"/>
    <n v="40112"/>
    <n v="4.0112000000000002E-2"/>
    <n v="43252"/>
    <x v="0"/>
  </r>
  <r>
    <n v="60000458"/>
    <x v="10"/>
    <x v="0"/>
    <x v="1"/>
    <x v="1"/>
    <x v="1"/>
    <n v="0.32"/>
    <x v="1"/>
    <x v="4"/>
    <x v="3"/>
    <x v="6"/>
    <x v="2"/>
    <x v="2"/>
    <x v="0"/>
    <n v="1"/>
    <n v="35550"/>
    <n v="3.5549999999999998E-2"/>
    <n v="43252"/>
    <x v="0"/>
  </r>
  <r>
    <n v="60000459"/>
    <x v="12"/>
    <x v="1"/>
    <x v="1"/>
    <x v="11"/>
    <x v="1"/>
    <n v="0.13"/>
    <x v="2"/>
    <x v="3"/>
    <x v="5"/>
    <x v="33"/>
    <x v="0"/>
    <x v="2"/>
    <x v="0"/>
    <n v="0"/>
    <n v="31234"/>
    <n v="3.1234000000000001E-2"/>
    <n v="43252"/>
    <x v="0"/>
  </r>
  <r>
    <n v="60000460"/>
    <x v="0"/>
    <x v="0"/>
    <x v="0"/>
    <x v="11"/>
    <x v="0"/>
    <n v="0.15"/>
    <x v="2"/>
    <x v="11"/>
    <x v="4"/>
    <x v="15"/>
    <x v="0"/>
    <x v="2"/>
    <x v="1"/>
    <n v="5"/>
    <n v="47650"/>
    <n v="4.7649999999999998E-2"/>
    <n v="43252"/>
    <x v="0"/>
  </r>
  <r>
    <n v="60000461"/>
    <x v="4"/>
    <x v="0"/>
    <x v="0"/>
    <x v="8"/>
    <x v="1"/>
    <n v="0.28999999999999998"/>
    <x v="3"/>
    <x v="5"/>
    <x v="0"/>
    <x v="6"/>
    <x v="1"/>
    <x v="2"/>
    <x v="0"/>
    <n v="0"/>
    <n v="74390"/>
    <n v="7.4389999999999998E-2"/>
    <n v="43252"/>
    <x v="0"/>
  </r>
  <r>
    <n v="60000462"/>
    <x v="33"/>
    <x v="1"/>
    <x v="1"/>
    <x v="4"/>
    <x v="2"/>
    <n v="0.27"/>
    <x v="3"/>
    <x v="9"/>
    <x v="7"/>
    <x v="21"/>
    <x v="2"/>
    <x v="2"/>
    <x v="0"/>
    <n v="1"/>
    <n v="31964"/>
    <n v="3.1963999999999999E-2"/>
    <n v="43252"/>
    <x v="0"/>
  </r>
  <r>
    <n v="60000463"/>
    <x v="40"/>
    <x v="1"/>
    <x v="1"/>
    <x v="5"/>
    <x v="2"/>
    <n v="0.18"/>
    <x v="2"/>
    <x v="3"/>
    <x v="11"/>
    <x v="29"/>
    <x v="2"/>
    <x v="2"/>
    <x v="0"/>
    <n v="0"/>
    <n v="36758"/>
    <n v="3.6757999999999999E-2"/>
    <n v="43252"/>
    <x v="0"/>
  </r>
  <r>
    <n v="60000464"/>
    <x v="11"/>
    <x v="0"/>
    <x v="1"/>
    <x v="10"/>
    <x v="0"/>
    <n v="0.2"/>
    <x v="0"/>
    <x v="3"/>
    <x v="8"/>
    <x v="11"/>
    <x v="1"/>
    <x v="2"/>
    <x v="1"/>
    <n v="3"/>
    <n v="74360"/>
    <n v="7.4359999999999996E-2"/>
    <n v="43252"/>
    <x v="0"/>
  </r>
  <r>
    <n v="60000465"/>
    <x v="42"/>
    <x v="1"/>
    <x v="1"/>
    <x v="6"/>
    <x v="2"/>
    <n v="0.15"/>
    <x v="2"/>
    <x v="2"/>
    <x v="7"/>
    <x v="36"/>
    <x v="2"/>
    <x v="2"/>
    <x v="1"/>
    <n v="6"/>
    <n v="38342"/>
    <n v="3.8342000000000001E-2"/>
    <n v="43252"/>
    <x v="0"/>
  </r>
  <r>
    <n v="60000466"/>
    <x v="8"/>
    <x v="1"/>
    <x v="0"/>
    <x v="5"/>
    <x v="2"/>
    <n v="0.25"/>
    <x v="3"/>
    <x v="5"/>
    <x v="3"/>
    <x v="7"/>
    <x v="2"/>
    <x v="2"/>
    <x v="0"/>
    <n v="0"/>
    <n v="23348"/>
    <n v="2.3348000000000001E-2"/>
    <n v="43252"/>
    <x v="0"/>
  </r>
  <r>
    <n v="60000467"/>
    <x v="26"/>
    <x v="1"/>
    <x v="0"/>
    <x v="4"/>
    <x v="2"/>
    <n v="0.1"/>
    <x v="4"/>
    <x v="1"/>
    <x v="9"/>
    <x v="27"/>
    <x v="2"/>
    <x v="2"/>
    <x v="1"/>
    <n v="0"/>
    <n v="59192"/>
    <n v="5.9192000000000002E-2"/>
    <n v="43252"/>
    <x v="0"/>
  </r>
  <r>
    <n v="60000468"/>
    <x v="44"/>
    <x v="0"/>
    <x v="0"/>
    <x v="9"/>
    <x v="0"/>
    <n v="0.13"/>
    <x v="2"/>
    <x v="6"/>
    <x v="1"/>
    <x v="6"/>
    <x v="1"/>
    <x v="2"/>
    <x v="0"/>
    <n v="6"/>
    <n v="84233"/>
    <n v="8.4233000000000002E-2"/>
    <n v="43252"/>
    <x v="0"/>
  </r>
  <r>
    <n v="60000469"/>
    <x v="42"/>
    <x v="0"/>
    <x v="1"/>
    <x v="3"/>
    <x v="0"/>
    <n v="0.28000000000000003"/>
    <x v="3"/>
    <x v="2"/>
    <x v="2"/>
    <x v="19"/>
    <x v="0"/>
    <x v="2"/>
    <x v="0"/>
    <n v="6"/>
    <n v="68066"/>
    <n v="6.8066000000000002E-2"/>
    <n v="43252"/>
    <x v="0"/>
  </r>
  <r>
    <n v="60000470"/>
    <x v="6"/>
    <x v="1"/>
    <x v="0"/>
    <x v="0"/>
    <x v="0"/>
    <n v="0.23"/>
    <x v="0"/>
    <x v="12"/>
    <x v="2"/>
    <x v="18"/>
    <x v="2"/>
    <x v="2"/>
    <x v="1"/>
    <n v="6"/>
    <n v="76494"/>
    <n v="7.6494000000000006E-2"/>
    <n v="43252"/>
    <x v="0"/>
  </r>
  <r>
    <n v="60000471"/>
    <x v="9"/>
    <x v="1"/>
    <x v="0"/>
    <x v="6"/>
    <x v="1"/>
    <n v="0.13"/>
    <x v="2"/>
    <x v="5"/>
    <x v="12"/>
    <x v="31"/>
    <x v="2"/>
    <x v="2"/>
    <x v="0"/>
    <n v="6"/>
    <n v="34053"/>
    <n v="3.4053E-2"/>
    <n v="43252"/>
    <x v="0"/>
  </r>
  <r>
    <n v="60000472"/>
    <x v="30"/>
    <x v="1"/>
    <x v="0"/>
    <x v="3"/>
    <x v="2"/>
    <n v="0.32"/>
    <x v="1"/>
    <x v="2"/>
    <x v="1"/>
    <x v="40"/>
    <x v="2"/>
    <x v="2"/>
    <x v="1"/>
    <n v="0"/>
    <n v="79293"/>
    <n v="7.9293000000000002E-2"/>
    <n v="43252"/>
    <x v="0"/>
  </r>
  <r>
    <n v="60000473"/>
    <x v="28"/>
    <x v="1"/>
    <x v="1"/>
    <x v="3"/>
    <x v="2"/>
    <n v="0.23"/>
    <x v="0"/>
    <x v="10"/>
    <x v="1"/>
    <x v="48"/>
    <x v="1"/>
    <x v="2"/>
    <x v="0"/>
    <n v="0"/>
    <n v="25683"/>
    <n v="2.5683000000000001E-2"/>
    <n v="43252"/>
    <x v="0"/>
  </r>
  <r>
    <n v="60000474"/>
    <x v="22"/>
    <x v="1"/>
    <x v="0"/>
    <x v="3"/>
    <x v="0"/>
    <n v="0.15"/>
    <x v="2"/>
    <x v="15"/>
    <x v="12"/>
    <x v="35"/>
    <x v="2"/>
    <x v="2"/>
    <x v="0"/>
    <n v="0"/>
    <n v="57179"/>
    <n v="5.7179000000000001E-2"/>
    <n v="43252"/>
    <x v="0"/>
  </r>
  <r>
    <n v="60000475"/>
    <x v="30"/>
    <x v="1"/>
    <x v="1"/>
    <x v="10"/>
    <x v="2"/>
    <n v="0.2"/>
    <x v="0"/>
    <x v="7"/>
    <x v="2"/>
    <x v="46"/>
    <x v="2"/>
    <x v="2"/>
    <x v="1"/>
    <n v="3"/>
    <n v="75455"/>
    <n v="7.5454999999999994E-2"/>
    <n v="43252"/>
    <x v="0"/>
  </r>
  <r>
    <n v="60000476"/>
    <x v="44"/>
    <x v="1"/>
    <x v="0"/>
    <x v="8"/>
    <x v="1"/>
    <n v="0.31"/>
    <x v="3"/>
    <x v="7"/>
    <x v="0"/>
    <x v="35"/>
    <x v="1"/>
    <x v="2"/>
    <x v="0"/>
    <n v="3"/>
    <n v="84609"/>
    <n v="8.4609000000000004E-2"/>
    <n v="43252"/>
    <x v="0"/>
  </r>
  <r>
    <n v="60000477"/>
    <x v="19"/>
    <x v="0"/>
    <x v="1"/>
    <x v="1"/>
    <x v="2"/>
    <n v="0.11"/>
    <x v="4"/>
    <x v="5"/>
    <x v="2"/>
    <x v="43"/>
    <x v="0"/>
    <x v="2"/>
    <x v="0"/>
    <n v="5"/>
    <n v="55080"/>
    <n v="5.5079999999999997E-2"/>
    <n v="43252"/>
    <x v="0"/>
  </r>
  <r>
    <n v="60000478"/>
    <x v="45"/>
    <x v="1"/>
    <x v="0"/>
    <x v="6"/>
    <x v="0"/>
    <n v="0.35"/>
    <x v="1"/>
    <x v="14"/>
    <x v="3"/>
    <x v="19"/>
    <x v="0"/>
    <x v="2"/>
    <x v="0"/>
    <n v="3"/>
    <n v="56686"/>
    <n v="5.6686E-2"/>
    <n v="43252"/>
    <x v="0"/>
  </r>
  <r>
    <n v="60000479"/>
    <x v="2"/>
    <x v="1"/>
    <x v="0"/>
    <x v="5"/>
    <x v="0"/>
    <n v="0.35"/>
    <x v="1"/>
    <x v="9"/>
    <x v="2"/>
    <x v="19"/>
    <x v="0"/>
    <x v="2"/>
    <x v="1"/>
    <n v="5"/>
    <n v="61577"/>
    <n v="6.1577E-2"/>
    <n v="43252"/>
    <x v="0"/>
  </r>
  <r>
    <n v="60000480"/>
    <x v="2"/>
    <x v="1"/>
    <x v="0"/>
    <x v="3"/>
    <x v="2"/>
    <n v="0.2"/>
    <x v="0"/>
    <x v="10"/>
    <x v="1"/>
    <x v="31"/>
    <x v="0"/>
    <x v="2"/>
    <x v="0"/>
    <n v="0"/>
    <n v="56751"/>
    <n v="5.6751000000000003E-2"/>
    <n v="43252"/>
    <x v="0"/>
  </r>
  <r>
    <n v="60000481"/>
    <x v="30"/>
    <x v="0"/>
    <x v="0"/>
    <x v="7"/>
    <x v="0"/>
    <n v="0.32"/>
    <x v="1"/>
    <x v="4"/>
    <x v="6"/>
    <x v="41"/>
    <x v="1"/>
    <x v="2"/>
    <x v="0"/>
    <n v="3"/>
    <n v="68563"/>
    <n v="6.8562999999999999E-2"/>
    <n v="43252"/>
    <x v="0"/>
  </r>
  <r>
    <n v="60000482"/>
    <x v="24"/>
    <x v="0"/>
    <x v="0"/>
    <x v="5"/>
    <x v="0"/>
    <n v="0.31"/>
    <x v="3"/>
    <x v="7"/>
    <x v="1"/>
    <x v="22"/>
    <x v="0"/>
    <x v="2"/>
    <x v="1"/>
    <n v="3"/>
    <n v="71105"/>
    <n v="7.1105000000000002E-2"/>
    <n v="43252"/>
    <x v="0"/>
  </r>
  <r>
    <n v="60000483"/>
    <x v="21"/>
    <x v="1"/>
    <x v="1"/>
    <x v="8"/>
    <x v="2"/>
    <n v="0.35"/>
    <x v="1"/>
    <x v="14"/>
    <x v="1"/>
    <x v="4"/>
    <x v="1"/>
    <x v="2"/>
    <x v="1"/>
    <n v="1"/>
    <n v="60253"/>
    <n v="6.0253000000000001E-2"/>
    <n v="43252"/>
    <x v="0"/>
  </r>
  <r>
    <n v="60000484"/>
    <x v="31"/>
    <x v="1"/>
    <x v="0"/>
    <x v="3"/>
    <x v="0"/>
    <n v="0.3"/>
    <x v="3"/>
    <x v="1"/>
    <x v="12"/>
    <x v="37"/>
    <x v="1"/>
    <x v="2"/>
    <x v="0"/>
    <n v="1"/>
    <n v="80860"/>
    <n v="8.0860000000000001E-2"/>
    <n v="43252"/>
    <x v="0"/>
  </r>
  <r>
    <n v="60000485"/>
    <x v="7"/>
    <x v="0"/>
    <x v="1"/>
    <x v="11"/>
    <x v="0"/>
    <n v="0.11"/>
    <x v="4"/>
    <x v="0"/>
    <x v="12"/>
    <x v="48"/>
    <x v="1"/>
    <x v="2"/>
    <x v="0"/>
    <n v="0"/>
    <n v="48374"/>
    <n v="4.8374E-2"/>
    <n v="43252"/>
    <x v="0"/>
  </r>
  <r>
    <n v="60000486"/>
    <x v="4"/>
    <x v="0"/>
    <x v="0"/>
    <x v="9"/>
    <x v="0"/>
    <n v="0.14000000000000001"/>
    <x v="2"/>
    <x v="10"/>
    <x v="7"/>
    <x v="12"/>
    <x v="2"/>
    <x v="2"/>
    <x v="1"/>
    <n v="0"/>
    <n v="51538"/>
    <n v="5.1538E-2"/>
    <n v="43252"/>
    <x v="0"/>
  </r>
  <r>
    <n v="60000487"/>
    <x v="3"/>
    <x v="1"/>
    <x v="1"/>
    <x v="4"/>
    <x v="2"/>
    <n v="0.18"/>
    <x v="2"/>
    <x v="11"/>
    <x v="8"/>
    <x v="45"/>
    <x v="1"/>
    <x v="2"/>
    <x v="0"/>
    <n v="1"/>
    <n v="39944"/>
    <n v="3.9944E-2"/>
    <n v="43252"/>
    <x v="0"/>
  </r>
  <r>
    <n v="60000488"/>
    <x v="36"/>
    <x v="0"/>
    <x v="0"/>
    <x v="9"/>
    <x v="2"/>
    <n v="0.11"/>
    <x v="4"/>
    <x v="15"/>
    <x v="1"/>
    <x v="31"/>
    <x v="0"/>
    <x v="2"/>
    <x v="0"/>
    <n v="2"/>
    <n v="84587"/>
    <n v="8.4586999999999996E-2"/>
    <n v="43252"/>
    <x v="0"/>
  </r>
  <r>
    <n v="60000489"/>
    <x v="14"/>
    <x v="1"/>
    <x v="1"/>
    <x v="5"/>
    <x v="1"/>
    <n v="0.36"/>
    <x v="1"/>
    <x v="13"/>
    <x v="6"/>
    <x v="0"/>
    <x v="1"/>
    <x v="2"/>
    <x v="1"/>
    <n v="0"/>
    <n v="30344"/>
    <n v="3.0343999999999999E-2"/>
    <n v="43252"/>
    <x v="0"/>
  </r>
  <r>
    <n v="60000490"/>
    <x v="25"/>
    <x v="0"/>
    <x v="0"/>
    <x v="9"/>
    <x v="1"/>
    <n v="0.24"/>
    <x v="0"/>
    <x v="3"/>
    <x v="10"/>
    <x v="17"/>
    <x v="1"/>
    <x v="2"/>
    <x v="0"/>
    <n v="2"/>
    <n v="37773"/>
    <n v="3.7773000000000001E-2"/>
    <n v="43252"/>
    <x v="0"/>
  </r>
  <r>
    <n v="60000491"/>
    <x v="19"/>
    <x v="1"/>
    <x v="0"/>
    <x v="5"/>
    <x v="0"/>
    <n v="0.32"/>
    <x v="1"/>
    <x v="13"/>
    <x v="3"/>
    <x v="42"/>
    <x v="1"/>
    <x v="2"/>
    <x v="0"/>
    <n v="7"/>
    <n v="54503"/>
    <n v="5.4503000000000003E-2"/>
    <n v="43252"/>
    <x v="0"/>
  </r>
  <r>
    <n v="60000492"/>
    <x v="7"/>
    <x v="0"/>
    <x v="0"/>
    <x v="6"/>
    <x v="1"/>
    <n v="0.17"/>
    <x v="2"/>
    <x v="7"/>
    <x v="7"/>
    <x v="3"/>
    <x v="1"/>
    <x v="2"/>
    <x v="1"/>
    <n v="2"/>
    <n v="69843"/>
    <n v="6.9843000000000002E-2"/>
    <n v="43252"/>
    <x v="0"/>
  </r>
  <r>
    <n v="60000493"/>
    <x v="6"/>
    <x v="0"/>
    <x v="1"/>
    <x v="10"/>
    <x v="2"/>
    <n v="0.26"/>
    <x v="3"/>
    <x v="1"/>
    <x v="3"/>
    <x v="32"/>
    <x v="1"/>
    <x v="2"/>
    <x v="1"/>
    <n v="2"/>
    <n v="52179"/>
    <n v="5.2179000000000003E-2"/>
    <n v="43252"/>
    <x v="0"/>
  </r>
  <r>
    <n v="60000494"/>
    <x v="37"/>
    <x v="0"/>
    <x v="0"/>
    <x v="4"/>
    <x v="1"/>
    <n v="0.28999999999999998"/>
    <x v="3"/>
    <x v="8"/>
    <x v="4"/>
    <x v="47"/>
    <x v="0"/>
    <x v="2"/>
    <x v="1"/>
    <n v="0"/>
    <n v="74828"/>
    <n v="7.4828000000000006E-2"/>
    <n v="43252"/>
    <x v="0"/>
  </r>
  <r>
    <n v="60000495"/>
    <x v="18"/>
    <x v="0"/>
    <x v="1"/>
    <x v="7"/>
    <x v="2"/>
    <n v="0.1"/>
    <x v="4"/>
    <x v="15"/>
    <x v="9"/>
    <x v="24"/>
    <x v="1"/>
    <x v="2"/>
    <x v="0"/>
    <n v="0"/>
    <n v="33616"/>
    <n v="3.3616E-2"/>
    <n v="43252"/>
    <x v="0"/>
  </r>
  <r>
    <n v="60000496"/>
    <x v="35"/>
    <x v="0"/>
    <x v="1"/>
    <x v="10"/>
    <x v="0"/>
    <n v="0.18"/>
    <x v="2"/>
    <x v="4"/>
    <x v="8"/>
    <x v="23"/>
    <x v="2"/>
    <x v="2"/>
    <x v="0"/>
    <n v="0"/>
    <n v="26557"/>
    <n v="2.6557000000000001E-2"/>
    <n v="43252"/>
    <x v="0"/>
  </r>
  <r>
    <n v="60000497"/>
    <x v="10"/>
    <x v="0"/>
    <x v="1"/>
    <x v="4"/>
    <x v="0"/>
    <n v="0.3"/>
    <x v="3"/>
    <x v="9"/>
    <x v="12"/>
    <x v="14"/>
    <x v="0"/>
    <x v="2"/>
    <x v="0"/>
    <n v="0"/>
    <n v="62858"/>
    <n v="6.2857999999999997E-2"/>
    <n v="43252"/>
    <x v="0"/>
  </r>
  <r>
    <n v="60000498"/>
    <x v="16"/>
    <x v="1"/>
    <x v="1"/>
    <x v="0"/>
    <x v="0"/>
    <n v="0.33"/>
    <x v="1"/>
    <x v="5"/>
    <x v="2"/>
    <x v="18"/>
    <x v="1"/>
    <x v="2"/>
    <x v="0"/>
    <n v="1"/>
    <n v="61560"/>
    <n v="6.1559999999999997E-2"/>
    <n v="43252"/>
    <x v="0"/>
  </r>
  <r>
    <n v="60000499"/>
    <x v="9"/>
    <x v="1"/>
    <x v="0"/>
    <x v="0"/>
    <x v="0"/>
    <n v="0.18"/>
    <x v="2"/>
    <x v="7"/>
    <x v="12"/>
    <x v="30"/>
    <x v="2"/>
    <x v="2"/>
    <x v="0"/>
    <n v="0"/>
    <n v="79005"/>
    <n v="7.9005000000000006E-2"/>
    <n v="43252"/>
    <x v="0"/>
  </r>
  <r>
    <n v="60000500"/>
    <x v="14"/>
    <x v="1"/>
    <x v="1"/>
    <x v="0"/>
    <x v="2"/>
    <n v="0.28000000000000003"/>
    <x v="3"/>
    <x v="7"/>
    <x v="4"/>
    <x v="22"/>
    <x v="1"/>
    <x v="2"/>
    <x v="0"/>
    <n v="0"/>
    <n v="28323"/>
    <n v="2.8323000000000001E-2"/>
    <n v="43252"/>
    <x v="0"/>
  </r>
  <r>
    <n v="60000501"/>
    <x v="28"/>
    <x v="1"/>
    <x v="0"/>
    <x v="4"/>
    <x v="1"/>
    <n v="0.18"/>
    <x v="2"/>
    <x v="14"/>
    <x v="1"/>
    <x v="46"/>
    <x v="2"/>
    <x v="2"/>
    <x v="1"/>
    <n v="4"/>
    <n v="52056"/>
    <n v="5.2055999999999998E-2"/>
    <n v="43252"/>
    <x v="0"/>
  </r>
  <r>
    <n v="60000502"/>
    <x v="40"/>
    <x v="0"/>
    <x v="1"/>
    <x v="4"/>
    <x v="2"/>
    <n v="0.31"/>
    <x v="3"/>
    <x v="12"/>
    <x v="3"/>
    <x v="38"/>
    <x v="1"/>
    <x v="2"/>
    <x v="0"/>
    <n v="0"/>
    <n v="39339"/>
    <n v="3.9338999999999999E-2"/>
    <n v="43252"/>
    <x v="0"/>
  </r>
  <r>
    <n v="60000503"/>
    <x v="0"/>
    <x v="1"/>
    <x v="1"/>
    <x v="10"/>
    <x v="2"/>
    <n v="0.27"/>
    <x v="3"/>
    <x v="9"/>
    <x v="1"/>
    <x v="12"/>
    <x v="1"/>
    <x v="2"/>
    <x v="1"/>
    <n v="0"/>
    <n v="41199"/>
    <n v="4.1199E-2"/>
    <n v="43252"/>
    <x v="0"/>
  </r>
  <r>
    <n v="60000504"/>
    <x v="0"/>
    <x v="1"/>
    <x v="1"/>
    <x v="11"/>
    <x v="1"/>
    <n v="0.17"/>
    <x v="2"/>
    <x v="10"/>
    <x v="10"/>
    <x v="24"/>
    <x v="0"/>
    <x v="2"/>
    <x v="1"/>
    <n v="0"/>
    <n v="49602"/>
    <n v="4.9602E-2"/>
    <n v="43252"/>
    <x v="0"/>
  </r>
  <r>
    <n v="60000505"/>
    <x v="33"/>
    <x v="0"/>
    <x v="1"/>
    <x v="3"/>
    <x v="2"/>
    <n v="0.2"/>
    <x v="0"/>
    <x v="15"/>
    <x v="4"/>
    <x v="6"/>
    <x v="0"/>
    <x v="2"/>
    <x v="1"/>
    <n v="0"/>
    <n v="36760"/>
    <n v="3.6760000000000001E-2"/>
    <n v="43252"/>
    <x v="0"/>
  </r>
  <r>
    <n v="60000506"/>
    <x v="27"/>
    <x v="0"/>
    <x v="0"/>
    <x v="2"/>
    <x v="2"/>
    <n v="0.34"/>
    <x v="1"/>
    <x v="5"/>
    <x v="9"/>
    <x v="12"/>
    <x v="1"/>
    <x v="2"/>
    <x v="0"/>
    <n v="0"/>
    <n v="79375"/>
    <n v="7.9375000000000001E-2"/>
    <n v="43252"/>
    <x v="0"/>
  </r>
  <r>
    <n v="60000507"/>
    <x v="26"/>
    <x v="0"/>
    <x v="0"/>
    <x v="5"/>
    <x v="2"/>
    <n v="0.28000000000000003"/>
    <x v="3"/>
    <x v="10"/>
    <x v="5"/>
    <x v="38"/>
    <x v="2"/>
    <x v="2"/>
    <x v="1"/>
    <n v="7"/>
    <n v="77696"/>
    <n v="7.7696000000000001E-2"/>
    <n v="43252"/>
    <x v="0"/>
  </r>
  <r>
    <n v="60000508"/>
    <x v="28"/>
    <x v="1"/>
    <x v="0"/>
    <x v="6"/>
    <x v="1"/>
    <n v="0.35"/>
    <x v="1"/>
    <x v="3"/>
    <x v="2"/>
    <x v="37"/>
    <x v="2"/>
    <x v="2"/>
    <x v="0"/>
    <n v="0"/>
    <n v="81384"/>
    <n v="8.1383999999999998E-2"/>
    <n v="43252"/>
    <x v="0"/>
  </r>
  <r>
    <n v="60000509"/>
    <x v="16"/>
    <x v="0"/>
    <x v="0"/>
    <x v="11"/>
    <x v="1"/>
    <n v="0.36"/>
    <x v="1"/>
    <x v="2"/>
    <x v="4"/>
    <x v="12"/>
    <x v="0"/>
    <x v="2"/>
    <x v="1"/>
    <n v="0"/>
    <n v="64585"/>
    <n v="6.4585000000000004E-2"/>
    <n v="43252"/>
    <x v="0"/>
  </r>
  <r>
    <n v="60000510"/>
    <x v="16"/>
    <x v="1"/>
    <x v="0"/>
    <x v="8"/>
    <x v="2"/>
    <n v="0.38"/>
    <x v="1"/>
    <x v="6"/>
    <x v="3"/>
    <x v="49"/>
    <x v="1"/>
    <x v="2"/>
    <x v="1"/>
    <n v="6"/>
    <n v="26416"/>
    <n v="2.6415999999999999E-2"/>
    <n v="43252"/>
    <x v="0"/>
  </r>
  <r>
    <n v="60000511"/>
    <x v="11"/>
    <x v="1"/>
    <x v="1"/>
    <x v="1"/>
    <x v="1"/>
    <n v="0.27"/>
    <x v="3"/>
    <x v="6"/>
    <x v="5"/>
    <x v="27"/>
    <x v="1"/>
    <x v="2"/>
    <x v="1"/>
    <n v="2"/>
    <n v="64046"/>
    <n v="6.4046000000000006E-2"/>
    <n v="43252"/>
    <x v="0"/>
  </r>
  <r>
    <n v="60000512"/>
    <x v="2"/>
    <x v="0"/>
    <x v="1"/>
    <x v="10"/>
    <x v="2"/>
    <n v="0.35"/>
    <x v="1"/>
    <x v="2"/>
    <x v="4"/>
    <x v="14"/>
    <x v="2"/>
    <x v="2"/>
    <x v="1"/>
    <n v="7"/>
    <n v="24939"/>
    <n v="2.4938999999999999E-2"/>
    <n v="43252"/>
    <x v="0"/>
  </r>
  <r>
    <n v="60000513"/>
    <x v="15"/>
    <x v="0"/>
    <x v="0"/>
    <x v="1"/>
    <x v="2"/>
    <n v="0.35"/>
    <x v="1"/>
    <x v="5"/>
    <x v="1"/>
    <x v="19"/>
    <x v="0"/>
    <x v="2"/>
    <x v="1"/>
    <n v="0"/>
    <n v="79838"/>
    <n v="7.9838000000000006E-2"/>
    <n v="43252"/>
    <x v="0"/>
  </r>
  <r>
    <n v="60000514"/>
    <x v="17"/>
    <x v="0"/>
    <x v="1"/>
    <x v="4"/>
    <x v="0"/>
    <n v="0.19"/>
    <x v="0"/>
    <x v="15"/>
    <x v="1"/>
    <x v="41"/>
    <x v="0"/>
    <x v="2"/>
    <x v="0"/>
    <n v="7"/>
    <n v="28883"/>
    <n v="2.8882999999999999E-2"/>
    <n v="43252"/>
    <x v="0"/>
  </r>
  <r>
    <n v="60000515"/>
    <x v="6"/>
    <x v="0"/>
    <x v="1"/>
    <x v="4"/>
    <x v="2"/>
    <n v="0.25"/>
    <x v="3"/>
    <x v="9"/>
    <x v="6"/>
    <x v="37"/>
    <x v="1"/>
    <x v="2"/>
    <x v="1"/>
    <n v="0"/>
    <n v="82172"/>
    <n v="8.2171999999999995E-2"/>
    <n v="43252"/>
    <x v="0"/>
  </r>
  <r>
    <n v="60000516"/>
    <x v="16"/>
    <x v="0"/>
    <x v="0"/>
    <x v="8"/>
    <x v="0"/>
    <n v="0.18"/>
    <x v="2"/>
    <x v="13"/>
    <x v="0"/>
    <x v="7"/>
    <x v="1"/>
    <x v="2"/>
    <x v="1"/>
    <n v="0"/>
    <n v="49849"/>
    <n v="4.9848999999999997E-2"/>
    <n v="43252"/>
    <x v="0"/>
  </r>
  <r>
    <n v="60000517"/>
    <x v="16"/>
    <x v="0"/>
    <x v="1"/>
    <x v="9"/>
    <x v="1"/>
    <n v="0.16"/>
    <x v="2"/>
    <x v="5"/>
    <x v="3"/>
    <x v="18"/>
    <x v="1"/>
    <x v="2"/>
    <x v="0"/>
    <n v="0"/>
    <n v="55350"/>
    <n v="5.5350000000000003E-2"/>
    <n v="43252"/>
    <x v="0"/>
  </r>
  <r>
    <n v="60000518"/>
    <x v="30"/>
    <x v="0"/>
    <x v="0"/>
    <x v="2"/>
    <x v="0"/>
    <n v="0.28000000000000003"/>
    <x v="3"/>
    <x v="9"/>
    <x v="10"/>
    <x v="33"/>
    <x v="2"/>
    <x v="2"/>
    <x v="1"/>
    <n v="3"/>
    <n v="78750"/>
    <n v="7.8750000000000001E-2"/>
    <n v="43252"/>
    <x v="0"/>
  </r>
  <r>
    <n v="60000519"/>
    <x v="23"/>
    <x v="1"/>
    <x v="0"/>
    <x v="10"/>
    <x v="0"/>
    <n v="0.17"/>
    <x v="2"/>
    <x v="7"/>
    <x v="5"/>
    <x v="49"/>
    <x v="1"/>
    <x v="2"/>
    <x v="1"/>
    <n v="3"/>
    <n v="76139"/>
    <n v="7.6138999999999998E-2"/>
    <n v="43252"/>
    <x v="0"/>
  </r>
  <r>
    <n v="60000520"/>
    <x v="27"/>
    <x v="1"/>
    <x v="0"/>
    <x v="10"/>
    <x v="1"/>
    <n v="0.32"/>
    <x v="1"/>
    <x v="8"/>
    <x v="1"/>
    <x v="33"/>
    <x v="0"/>
    <x v="2"/>
    <x v="0"/>
    <n v="7"/>
    <n v="44697"/>
    <n v="4.4697000000000001E-2"/>
    <n v="43252"/>
    <x v="0"/>
  </r>
  <r>
    <n v="60000521"/>
    <x v="39"/>
    <x v="1"/>
    <x v="0"/>
    <x v="7"/>
    <x v="0"/>
    <n v="0.32"/>
    <x v="1"/>
    <x v="14"/>
    <x v="2"/>
    <x v="17"/>
    <x v="0"/>
    <x v="2"/>
    <x v="1"/>
    <n v="3"/>
    <n v="29148"/>
    <n v="2.9148E-2"/>
    <n v="43252"/>
    <x v="0"/>
  </r>
  <r>
    <n v="60000522"/>
    <x v="23"/>
    <x v="1"/>
    <x v="1"/>
    <x v="9"/>
    <x v="2"/>
    <n v="0.3"/>
    <x v="3"/>
    <x v="12"/>
    <x v="5"/>
    <x v="43"/>
    <x v="1"/>
    <x v="2"/>
    <x v="0"/>
    <n v="7"/>
    <n v="46375"/>
    <n v="4.6375E-2"/>
    <n v="43252"/>
    <x v="0"/>
  </r>
  <r>
    <n v="60000523"/>
    <x v="39"/>
    <x v="0"/>
    <x v="1"/>
    <x v="3"/>
    <x v="0"/>
    <n v="0.1"/>
    <x v="4"/>
    <x v="13"/>
    <x v="2"/>
    <x v="27"/>
    <x v="0"/>
    <x v="2"/>
    <x v="1"/>
    <n v="6"/>
    <n v="46883"/>
    <n v="4.6883000000000001E-2"/>
    <n v="43252"/>
    <x v="0"/>
  </r>
  <r>
    <n v="60000524"/>
    <x v="20"/>
    <x v="1"/>
    <x v="0"/>
    <x v="10"/>
    <x v="2"/>
    <n v="0.22"/>
    <x v="0"/>
    <x v="10"/>
    <x v="7"/>
    <x v="0"/>
    <x v="2"/>
    <x v="2"/>
    <x v="1"/>
    <n v="0"/>
    <n v="35596"/>
    <n v="3.5596000000000003E-2"/>
    <n v="43252"/>
    <x v="0"/>
  </r>
  <r>
    <n v="60000525"/>
    <x v="22"/>
    <x v="1"/>
    <x v="1"/>
    <x v="2"/>
    <x v="2"/>
    <n v="0.37"/>
    <x v="1"/>
    <x v="8"/>
    <x v="2"/>
    <x v="37"/>
    <x v="0"/>
    <x v="2"/>
    <x v="1"/>
    <n v="4"/>
    <n v="47797"/>
    <n v="4.7796999999999999E-2"/>
    <n v="43252"/>
    <x v="0"/>
  </r>
  <r>
    <n v="60000526"/>
    <x v="9"/>
    <x v="0"/>
    <x v="1"/>
    <x v="2"/>
    <x v="2"/>
    <n v="0.13"/>
    <x v="2"/>
    <x v="12"/>
    <x v="4"/>
    <x v="2"/>
    <x v="1"/>
    <x v="2"/>
    <x v="0"/>
    <n v="7"/>
    <n v="84205"/>
    <n v="8.4205000000000002E-2"/>
    <n v="43252"/>
    <x v="0"/>
  </r>
  <r>
    <n v="60000527"/>
    <x v="5"/>
    <x v="1"/>
    <x v="1"/>
    <x v="1"/>
    <x v="2"/>
    <n v="0.31"/>
    <x v="3"/>
    <x v="6"/>
    <x v="9"/>
    <x v="8"/>
    <x v="2"/>
    <x v="2"/>
    <x v="1"/>
    <n v="0"/>
    <n v="40117"/>
    <n v="4.0117E-2"/>
    <n v="43252"/>
    <x v="0"/>
  </r>
  <r>
    <n v="60000528"/>
    <x v="18"/>
    <x v="0"/>
    <x v="0"/>
    <x v="5"/>
    <x v="2"/>
    <n v="0.24"/>
    <x v="0"/>
    <x v="12"/>
    <x v="4"/>
    <x v="42"/>
    <x v="1"/>
    <x v="2"/>
    <x v="0"/>
    <n v="0"/>
    <n v="41802"/>
    <n v="4.1801999999999999E-2"/>
    <n v="43252"/>
    <x v="0"/>
  </r>
  <r>
    <n v="60000529"/>
    <x v="5"/>
    <x v="0"/>
    <x v="0"/>
    <x v="4"/>
    <x v="2"/>
    <n v="0.34"/>
    <x v="1"/>
    <x v="9"/>
    <x v="9"/>
    <x v="29"/>
    <x v="0"/>
    <x v="2"/>
    <x v="1"/>
    <n v="0"/>
    <n v="69085"/>
    <n v="6.9084999999999994E-2"/>
    <n v="43252"/>
    <x v="0"/>
  </r>
  <r>
    <n v="60000530"/>
    <x v="5"/>
    <x v="0"/>
    <x v="1"/>
    <x v="9"/>
    <x v="2"/>
    <n v="0.38"/>
    <x v="1"/>
    <x v="6"/>
    <x v="7"/>
    <x v="40"/>
    <x v="1"/>
    <x v="2"/>
    <x v="1"/>
    <n v="6"/>
    <n v="51061"/>
    <n v="5.1061000000000002E-2"/>
    <n v="43252"/>
    <x v="0"/>
  </r>
  <r>
    <n v="60000531"/>
    <x v="5"/>
    <x v="0"/>
    <x v="1"/>
    <x v="4"/>
    <x v="2"/>
    <n v="0.14000000000000001"/>
    <x v="2"/>
    <x v="5"/>
    <x v="4"/>
    <x v="34"/>
    <x v="0"/>
    <x v="2"/>
    <x v="0"/>
    <n v="2"/>
    <n v="83923"/>
    <n v="8.3922999999999998E-2"/>
    <n v="43252"/>
    <x v="0"/>
  </r>
  <r>
    <n v="60000532"/>
    <x v="35"/>
    <x v="1"/>
    <x v="0"/>
    <x v="5"/>
    <x v="0"/>
    <n v="0.35"/>
    <x v="1"/>
    <x v="15"/>
    <x v="2"/>
    <x v="8"/>
    <x v="1"/>
    <x v="2"/>
    <x v="1"/>
    <n v="0"/>
    <n v="58922"/>
    <n v="5.8922000000000002E-2"/>
    <n v="43252"/>
    <x v="0"/>
  </r>
  <r>
    <n v="60000533"/>
    <x v="23"/>
    <x v="1"/>
    <x v="1"/>
    <x v="2"/>
    <x v="0"/>
    <n v="0.24"/>
    <x v="0"/>
    <x v="5"/>
    <x v="5"/>
    <x v="15"/>
    <x v="0"/>
    <x v="2"/>
    <x v="0"/>
    <n v="0"/>
    <n v="51571"/>
    <n v="5.1570999999999999E-2"/>
    <n v="43252"/>
    <x v="0"/>
  </r>
  <r>
    <n v="60000534"/>
    <x v="37"/>
    <x v="0"/>
    <x v="0"/>
    <x v="5"/>
    <x v="2"/>
    <n v="0.25"/>
    <x v="3"/>
    <x v="15"/>
    <x v="1"/>
    <x v="35"/>
    <x v="2"/>
    <x v="2"/>
    <x v="1"/>
    <n v="5"/>
    <n v="71370"/>
    <n v="7.1370000000000003E-2"/>
    <n v="43252"/>
    <x v="0"/>
  </r>
  <r>
    <n v="60000535"/>
    <x v="30"/>
    <x v="0"/>
    <x v="0"/>
    <x v="9"/>
    <x v="2"/>
    <n v="0.15"/>
    <x v="2"/>
    <x v="0"/>
    <x v="4"/>
    <x v="43"/>
    <x v="1"/>
    <x v="2"/>
    <x v="0"/>
    <n v="0"/>
    <n v="82397"/>
    <n v="8.2396999999999998E-2"/>
    <n v="43252"/>
    <x v="0"/>
  </r>
  <r>
    <n v="60000536"/>
    <x v="45"/>
    <x v="1"/>
    <x v="1"/>
    <x v="8"/>
    <x v="1"/>
    <n v="0.23"/>
    <x v="0"/>
    <x v="15"/>
    <x v="12"/>
    <x v="39"/>
    <x v="0"/>
    <x v="2"/>
    <x v="1"/>
    <n v="1"/>
    <n v="27825"/>
    <n v="2.7824999999999999E-2"/>
    <n v="43252"/>
    <x v="0"/>
  </r>
  <r>
    <n v="60000537"/>
    <x v="11"/>
    <x v="1"/>
    <x v="0"/>
    <x v="7"/>
    <x v="0"/>
    <n v="0.24"/>
    <x v="0"/>
    <x v="5"/>
    <x v="1"/>
    <x v="22"/>
    <x v="1"/>
    <x v="2"/>
    <x v="1"/>
    <n v="0"/>
    <n v="58041"/>
    <n v="5.8041000000000002E-2"/>
    <n v="43252"/>
    <x v="0"/>
  </r>
  <r>
    <n v="60000538"/>
    <x v="3"/>
    <x v="1"/>
    <x v="0"/>
    <x v="6"/>
    <x v="2"/>
    <n v="0.12"/>
    <x v="2"/>
    <x v="3"/>
    <x v="5"/>
    <x v="41"/>
    <x v="0"/>
    <x v="2"/>
    <x v="1"/>
    <n v="6"/>
    <n v="80139"/>
    <n v="8.0139000000000002E-2"/>
    <n v="43252"/>
    <x v="0"/>
  </r>
  <r>
    <n v="60000539"/>
    <x v="42"/>
    <x v="1"/>
    <x v="1"/>
    <x v="1"/>
    <x v="0"/>
    <n v="0.14000000000000001"/>
    <x v="2"/>
    <x v="6"/>
    <x v="1"/>
    <x v="14"/>
    <x v="2"/>
    <x v="2"/>
    <x v="0"/>
    <n v="2"/>
    <n v="70328"/>
    <n v="7.0328000000000002E-2"/>
    <n v="43252"/>
    <x v="0"/>
  </r>
  <r>
    <n v="60000540"/>
    <x v="19"/>
    <x v="1"/>
    <x v="1"/>
    <x v="5"/>
    <x v="1"/>
    <n v="0.2"/>
    <x v="0"/>
    <x v="3"/>
    <x v="3"/>
    <x v="46"/>
    <x v="0"/>
    <x v="2"/>
    <x v="1"/>
    <n v="0"/>
    <n v="39091"/>
    <n v="3.9091000000000001E-2"/>
    <n v="43252"/>
    <x v="0"/>
  </r>
  <r>
    <n v="60000541"/>
    <x v="12"/>
    <x v="0"/>
    <x v="0"/>
    <x v="10"/>
    <x v="2"/>
    <n v="0.31"/>
    <x v="3"/>
    <x v="11"/>
    <x v="5"/>
    <x v="3"/>
    <x v="2"/>
    <x v="2"/>
    <x v="0"/>
    <n v="0"/>
    <n v="57443"/>
    <n v="5.7443000000000001E-2"/>
    <n v="43252"/>
    <x v="0"/>
  </r>
  <r>
    <n v="60000542"/>
    <x v="33"/>
    <x v="0"/>
    <x v="1"/>
    <x v="1"/>
    <x v="2"/>
    <n v="0.37"/>
    <x v="1"/>
    <x v="5"/>
    <x v="5"/>
    <x v="38"/>
    <x v="1"/>
    <x v="2"/>
    <x v="1"/>
    <n v="0"/>
    <n v="37654"/>
    <n v="3.7654E-2"/>
    <n v="43252"/>
    <x v="0"/>
  </r>
  <r>
    <n v="60000543"/>
    <x v="32"/>
    <x v="0"/>
    <x v="1"/>
    <x v="11"/>
    <x v="2"/>
    <n v="0.31"/>
    <x v="3"/>
    <x v="8"/>
    <x v="11"/>
    <x v="13"/>
    <x v="1"/>
    <x v="2"/>
    <x v="0"/>
    <n v="0"/>
    <n v="76747"/>
    <n v="7.6746999999999996E-2"/>
    <n v="43252"/>
    <x v="0"/>
  </r>
  <r>
    <n v="60000544"/>
    <x v="21"/>
    <x v="1"/>
    <x v="0"/>
    <x v="5"/>
    <x v="2"/>
    <n v="0.22"/>
    <x v="0"/>
    <x v="5"/>
    <x v="8"/>
    <x v="1"/>
    <x v="2"/>
    <x v="2"/>
    <x v="1"/>
    <n v="7"/>
    <n v="79615"/>
    <n v="7.9615000000000005E-2"/>
    <n v="43252"/>
    <x v="0"/>
  </r>
  <r>
    <n v="60000545"/>
    <x v="43"/>
    <x v="0"/>
    <x v="1"/>
    <x v="3"/>
    <x v="0"/>
    <n v="0.18"/>
    <x v="2"/>
    <x v="15"/>
    <x v="8"/>
    <x v="2"/>
    <x v="1"/>
    <x v="2"/>
    <x v="0"/>
    <n v="0"/>
    <n v="51669"/>
    <n v="5.1669E-2"/>
    <n v="43252"/>
    <x v="0"/>
  </r>
  <r>
    <n v="60000546"/>
    <x v="4"/>
    <x v="1"/>
    <x v="1"/>
    <x v="11"/>
    <x v="1"/>
    <n v="0.21"/>
    <x v="0"/>
    <x v="11"/>
    <x v="12"/>
    <x v="32"/>
    <x v="0"/>
    <x v="2"/>
    <x v="0"/>
    <n v="0"/>
    <n v="45235"/>
    <n v="4.5234999999999997E-2"/>
    <n v="43252"/>
    <x v="0"/>
  </r>
  <r>
    <n v="60000547"/>
    <x v="15"/>
    <x v="1"/>
    <x v="0"/>
    <x v="2"/>
    <x v="1"/>
    <n v="0.33"/>
    <x v="1"/>
    <x v="8"/>
    <x v="12"/>
    <x v="14"/>
    <x v="2"/>
    <x v="2"/>
    <x v="1"/>
    <n v="0"/>
    <n v="69731"/>
    <n v="6.9731000000000001E-2"/>
    <n v="43252"/>
    <x v="0"/>
  </r>
  <r>
    <n v="60000548"/>
    <x v="37"/>
    <x v="1"/>
    <x v="0"/>
    <x v="11"/>
    <x v="2"/>
    <n v="0.17"/>
    <x v="2"/>
    <x v="15"/>
    <x v="5"/>
    <x v="40"/>
    <x v="1"/>
    <x v="2"/>
    <x v="1"/>
    <n v="0"/>
    <n v="40946"/>
    <n v="4.0946000000000003E-2"/>
    <n v="43252"/>
    <x v="0"/>
  </r>
  <r>
    <n v="60000549"/>
    <x v="27"/>
    <x v="0"/>
    <x v="0"/>
    <x v="7"/>
    <x v="0"/>
    <n v="0.33"/>
    <x v="1"/>
    <x v="5"/>
    <x v="1"/>
    <x v="26"/>
    <x v="2"/>
    <x v="2"/>
    <x v="1"/>
    <n v="0"/>
    <n v="69945"/>
    <n v="6.9944999999999993E-2"/>
    <n v="43252"/>
    <x v="0"/>
  </r>
  <r>
    <n v="60000550"/>
    <x v="26"/>
    <x v="0"/>
    <x v="1"/>
    <x v="2"/>
    <x v="0"/>
    <n v="0.33"/>
    <x v="1"/>
    <x v="14"/>
    <x v="4"/>
    <x v="8"/>
    <x v="0"/>
    <x v="2"/>
    <x v="1"/>
    <n v="0"/>
    <n v="67008"/>
    <n v="6.7007999999999998E-2"/>
    <n v="43252"/>
    <x v="0"/>
  </r>
  <r>
    <n v="60000551"/>
    <x v="12"/>
    <x v="1"/>
    <x v="0"/>
    <x v="2"/>
    <x v="1"/>
    <n v="0.21"/>
    <x v="0"/>
    <x v="11"/>
    <x v="12"/>
    <x v="10"/>
    <x v="0"/>
    <x v="2"/>
    <x v="1"/>
    <n v="4"/>
    <n v="56667"/>
    <n v="5.6667000000000002E-2"/>
    <n v="43252"/>
    <x v="0"/>
  </r>
  <r>
    <n v="60000552"/>
    <x v="4"/>
    <x v="0"/>
    <x v="1"/>
    <x v="2"/>
    <x v="1"/>
    <n v="0.28000000000000003"/>
    <x v="3"/>
    <x v="12"/>
    <x v="5"/>
    <x v="23"/>
    <x v="2"/>
    <x v="2"/>
    <x v="0"/>
    <n v="0"/>
    <n v="32042"/>
    <n v="3.2042000000000001E-2"/>
    <n v="43252"/>
    <x v="0"/>
  </r>
  <r>
    <n v="60000553"/>
    <x v="22"/>
    <x v="1"/>
    <x v="0"/>
    <x v="1"/>
    <x v="2"/>
    <n v="0.35"/>
    <x v="1"/>
    <x v="8"/>
    <x v="7"/>
    <x v="17"/>
    <x v="0"/>
    <x v="2"/>
    <x v="0"/>
    <n v="7"/>
    <n v="57373"/>
    <n v="5.7373E-2"/>
    <n v="43252"/>
    <x v="0"/>
  </r>
  <r>
    <n v="60000554"/>
    <x v="8"/>
    <x v="0"/>
    <x v="0"/>
    <x v="1"/>
    <x v="2"/>
    <n v="0.11"/>
    <x v="4"/>
    <x v="15"/>
    <x v="6"/>
    <x v="1"/>
    <x v="2"/>
    <x v="2"/>
    <x v="1"/>
    <n v="0"/>
    <n v="34399"/>
    <n v="3.4398999999999999E-2"/>
    <n v="43252"/>
    <x v="0"/>
  </r>
  <r>
    <n v="60000555"/>
    <x v="11"/>
    <x v="0"/>
    <x v="1"/>
    <x v="9"/>
    <x v="0"/>
    <n v="0.38"/>
    <x v="1"/>
    <x v="1"/>
    <x v="8"/>
    <x v="42"/>
    <x v="1"/>
    <x v="2"/>
    <x v="1"/>
    <n v="0"/>
    <n v="65066"/>
    <n v="6.5065999999999999E-2"/>
    <n v="43252"/>
    <x v="0"/>
  </r>
  <r>
    <n v="60000556"/>
    <x v="7"/>
    <x v="0"/>
    <x v="1"/>
    <x v="2"/>
    <x v="0"/>
    <n v="0.15"/>
    <x v="2"/>
    <x v="7"/>
    <x v="3"/>
    <x v="22"/>
    <x v="1"/>
    <x v="2"/>
    <x v="0"/>
    <n v="0"/>
    <n v="25621"/>
    <n v="2.5621000000000001E-2"/>
    <n v="43252"/>
    <x v="0"/>
  </r>
  <r>
    <n v="60000557"/>
    <x v="22"/>
    <x v="1"/>
    <x v="1"/>
    <x v="1"/>
    <x v="1"/>
    <n v="0.23"/>
    <x v="0"/>
    <x v="14"/>
    <x v="3"/>
    <x v="28"/>
    <x v="0"/>
    <x v="2"/>
    <x v="1"/>
    <n v="7"/>
    <n v="81039"/>
    <n v="8.1039E-2"/>
    <n v="43252"/>
    <x v="0"/>
  </r>
  <r>
    <n v="60000558"/>
    <x v="26"/>
    <x v="0"/>
    <x v="0"/>
    <x v="2"/>
    <x v="1"/>
    <n v="0.23"/>
    <x v="0"/>
    <x v="14"/>
    <x v="11"/>
    <x v="0"/>
    <x v="2"/>
    <x v="2"/>
    <x v="0"/>
    <n v="0"/>
    <n v="60055"/>
    <n v="6.0054999999999997E-2"/>
    <n v="43252"/>
    <x v="0"/>
  </r>
  <r>
    <n v="60000559"/>
    <x v="0"/>
    <x v="0"/>
    <x v="0"/>
    <x v="10"/>
    <x v="2"/>
    <n v="0.31"/>
    <x v="3"/>
    <x v="10"/>
    <x v="2"/>
    <x v="45"/>
    <x v="1"/>
    <x v="2"/>
    <x v="1"/>
    <n v="4"/>
    <n v="59665"/>
    <n v="5.9665000000000003E-2"/>
    <n v="43252"/>
    <x v="0"/>
  </r>
  <r>
    <n v="60000560"/>
    <x v="9"/>
    <x v="1"/>
    <x v="1"/>
    <x v="5"/>
    <x v="0"/>
    <n v="0.18"/>
    <x v="2"/>
    <x v="8"/>
    <x v="4"/>
    <x v="33"/>
    <x v="2"/>
    <x v="2"/>
    <x v="1"/>
    <n v="2"/>
    <n v="79766"/>
    <n v="7.9766000000000004E-2"/>
    <n v="43252"/>
    <x v="0"/>
  </r>
  <r>
    <n v="60000561"/>
    <x v="34"/>
    <x v="1"/>
    <x v="0"/>
    <x v="0"/>
    <x v="0"/>
    <n v="0.26"/>
    <x v="3"/>
    <x v="0"/>
    <x v="10"/>
    <x v="28"/>
    <x v="0"/>
    <x v="2"/>
    <x v="0"/>
    <n v="0"/>
    <n v="72085"/>
    <n v="7.2084999999999996E-2"/>
    <n v="43252"/>
    <x v="0"/>
  </r>
  <r>
    <n v="60000562"/>
    <x v="24"/>
    <x v="1"/>
    <x v="0"/>
    <x v="6"/>
    <x v="2"/>
    <n v="0.2"/>
    <x v="0"/>
    <x v="14"/>
    <x v="5"/>
    <x v="36"/>
    <x v="0"/>
    <x v="2"/>
    <x v="1"/>
    <n v="0"/>
    <n v="30210"/>
    <n v="3.0210000000000001E-2"/>
    <n v="43252"/>
    <x v="0"/>
  </r>
  <r>
    <n v="60000563"/>
    <x v="36"/>
    <x v="1"/>
    <x v="0"/>
    <x v="1"/>
    <x v="0"/>
    <n v="0.34"/>
    <x v="1"/>
    <x v="5"/>
    <x v="7"/>
    <x v="48"/>
    <x v="1"/>
    <x v="2"/>
    <x v="0"/>
    <n v="2"/>
    <n v="71522"/>
    <n v="7.1522000000000002E-2"/>
    <n v="43252"/>
    <x v="0"/>
  </r>
  <r>
    <n v="60000564"/>
    <x v="42"/>
    <x v="1"/>
    <x v="0"/>
    <x v="3"/>
    <x v="2"/>
    <n v="0.19"/>
    <x v="0"/>
    <x v="6"/>
    <x v="8"/>
    <x v="32"/>
    <x v="2"/>
    <x v="2"/>
    <x v="0"/>
    <n v="0"/>
    <n v="72112"/>
    <n v="7.2111999999999996E-2"/>
    <n v="43252"/>
    <x v="0"/>
  </r>
  <r>
    <n v="60000565"/>
    <x v="7"/>
    <x v="1"/>
    <x v="0"/>
    <x v="7"/>
    <x v="0"/>
    <n v="0.1"/>
    <x v="4"/>
    <x v="3"/>
    <x v="9"/>
    <x v="31"/>
    <x v="0"/>
    <x v="2"/>
    <x v="0"/>
    <n v="2"/>
    <n v="23879"/>
    <n v="2.3879000000000001E-2"/>
    <n v="43252"/>
    <x v="0"/>
  </r>
  <r>
    <n v="60000566"/>
    <x v="17"/>
    <x v="1"/>
    <x v="1"/>
    <x v="8"/>
    <x v="0"/>
    <n v="0.37"/>
    <x v="1"/>
    <x v="5"/>
    <x v="5"/>
    <x v="8"/>
    <x v="0"/>
    <x v="2"/>
    <x v="0"/>
    <n v="0"/>
    <n v="51537"/>
    <n v="5.1536999999999999E-2"/>
    <n v="43252"/>
    <x v="0"/>
  </r>
  <r>
    <n v="60000567"/>
    <x v="41"/>
    <x v="0"/>
    <x v="1"/>
    <x v="8"/>
    <x v="0"/>
    <n v="0.36"/>
    <x v="1"/>
    <x v="10"/>
    <x v="11"/>
    <x v="34"/>
    <x v="2"/>
    <x v="2"/>
    <x v="1"/>
    <n v="0"/>
    <n v="73829"/>
    <n v="7.3829000000000006E-2"/>
    <n v="43252"/>
    <x v="0"/>
  </r>
  <r>
    <n v="60000568"/>
    <x v="41"/>
    <x v="0"/>
    <x v="0"/>
    <x v="2"/>
    <x v="2"/>
    <n v="0.12"/>
    <x v="2"/>
    <x v="5"/>
    <x v="5"/>
    <x v="35"/>
    <x v="2"/>
    <x v="2"/>
    <x v="0"/>
    <n v="6"/>
    <n v="55684"/>
    <n v="5.5683999999999997E-2"/>
    <n v="43252"/>
    <x v="0"/>
  </r>
  <r>
    <n v="60000569"/>
    <x v="33"/>
    <x v="1"/>
    <x v="0"/>
    <x v="6"/>
    <x v="2"/>
    <n v="0.34"/>
    <x v="1"/>
    <x v="3"/>
    <x v="9"/>
    <x v="47"/>
    <x v="2"/>
    <x v="2"/>
    <x v="1"/>
    <n v="1"/>
    <n v="66711"/>
    <n v="6.6711000000000006E-2"/>
    <n v="43252"/>
    <x v="0"/>
  </r>
  <r>
    <n v="60000570"/>
    <x v="16"/>
    <x v="1"/>
    <x v="1"/>
    <x v="7"/>
    <x v="2"/>
    <n v="0.35"/>
    <x v="1"/>
    <x v="2"/>
    <x v="0"/>
    <x v="35"/>
    <x v="1"/>
    <x v="2"/>
    <x v="0"/>
    <n v="4"/>
    <n v="35715"/>
    <n v="3.5714999999999997E-2"/>
    <n v="43252"/>
    <x v="0"/>
  </r>
  <r>
    <n v="60000571"/>
    <x v="10"/>
    <x v="1"/>
    <x v="0"/>
    <x v="0"/>
    <x v="1"/>
    <n v="0.38"/>
    <x v="1"/>
    <x v="1"/>
    <x v="4"/>
    <x v="38"/>
    <x v="0"/>
    <x v="2"/>
    <x v="0"/>
    <n v="5"/>
    <n v="74814"/>
    <n v="7.4814000000000005E-2"/>
    <n v="43252"/>
    <x v="0"/>
  </r>
  <r>
    <n v="60000572"/>
    <x v="6"/>
    <x v="0"/>
    <x v="0"/>
    <x v="5"/>
    <x v="2"/>
    <n v="0.13"/>
    <x v="2"/>
    <x v="9"/>
    <x v="2"/>
    <x v="40"/>
    <x v="1"/>
    <x v="2"/>
    <x v="1"/>
    <n v="0"/>
    <n v="83368"/>
    <n v="8.3367999999999998E-2"/>
    <n v="43252"/>
    <x v="0"/>
  </r>
  <r>
    <n v="60000573"/>
    <x v="34"/>
    <x v="0"/>
    <x v="0"/>
    <x v="6"/>
    <x v="1"/>
    <n v="0.13"/>
    <x v="2"/>
    <x v="13"/>
    <x v="9"/>
    <x v="3"/>
    <x v="2"/>
    <x v="2"/>
    <x v="1"/>
    <n v="0"/>
    <n v="37503"/>
    <n v="3.7503000000000002E-2"/>
    <n v="43252"/>
    <x v="0"/>
  </r>
  <r>
    <n v="60000574"/>
    <x v="13"/>
    <x v="0"/>
    <x v="1"/>
    <x v="9"/>
    <x v="1"/>
    <n v="0.12"/>
    <x v="2"/>
    <x v="5"/>
    <x v="0"/>
    <x v="8"/>
    <x v="1"/>
    <x v="2"/>
    <x v="1"/>
    <n v="0"/>
    <n v="24263"/>
    <n v="2.4263E-2"/>
    <n v="43252"/>
    <x v="0"/>
  </r>
  <r>
    <n v="60000575"/>
    <x v="1"/>
    <x v="1"/>
    <x v="0"/>
    <x v="4"/>
    <x v="1"/>
    <n v="0.14000000000000001"/>
    <x v="2"/>
    <x v="10"/>
    <x v="10"/>
    <x v="42"/>
    <x v="1"/>
    <x v="2"/>
    <x v="1"/>
    <n v="0"/>
    <n v="41770"/>
    <n v="4.1770000000000002E-2"/>
    <n v="43252"/>
    <x v="0"/>
  </r>
  <r>
    <n v="60000576"/>
    <x v="38"/>
    <x v="0"/>
    <x v="0"/>
    <x v="9"/>
    <x v="0"/>
    <n v="0.3"/>
    <x v="3"/>
    <x v="11"/>
    <x v="8"/>
    <x v="4"/>
    <x v="0"/>
    <x v="2"/>
    <x v="1"/>
    <n v="0"/>
    <n v="55840"/>
    <n v="5.5840000000000001E-2"/>
    <n v="43252"/>
    <x v="0"/>
  </r>
  <r>
    <n v="60000577"/>
    <x v="24"/>
    <x v="1"/>
    <x v="0"/>
    <x v="1"/>
    <x v="1"/>
    <n v="0.11"/>
    <x v="4"/>
    <x v="11"/>
    <x v="12"/>
    <x v="9"/>
    <x v="0"/>
    <x v="2"/>
    <x v="0"/>
    <n v="1"/>
    <n v="72353"/>
    <n v="7.2353000000000001E-2"/>
    <n v="43252"/>
    <x v="0"/>
  </r>
  <r>
    <n v="60000578"/>
    <x v="27"/>
    <x v="1"/>
    <x v="0"/>
    <x v="7"/>
    <x v="2"/>
    <n v="0.36"/>
    <x v="1"/>
    <x v="8"/>
    <x v="5"/>
    <x v="17"/>
    <x v="1"/>
    <x v="2"/>
    <x v="1"/>
    <n v="6"/>
    <n v="40780"/>
    <n v="4.0779999999999997E-2"/>
    <n v="43252"/>
    <x v="0"/>
  </r>
  <r>
    <n v="60000579"/>
    <x v="10"/>
    <x v="1"/>
    <x v="1"/>
    <x v="8"/>
    <x v="2"/>
    <n v="0.26"/>
    <x v="3"/>
    <x v="10"/>
    <x v="7"/>
    <x v="27"/>
    <x v="2"/>
    <x v="2"/>
    <x v="1"/>
    <n v="7"/>
    <n v="76617"/>
    <n v="7.6617000000000005E-2"/>
    <n v="43252"/>
    <x v="0"/>
  </r>
  <r>
    <n v="60000580"/>
    <x v="44"/>
    <x v="0"/>
    <x v="1"/>
    <x v="6"/>
    <x v="0"/>
    <n v="0.15"/>
    <x v="2"/>
    <x v="3"/>
    <x v="4"/>
    <x v="5"/>
    <x v="0"/>
    <x v="2"/>
    <x v="1"/>
    <n v="0"/>
    <n v="68090"/>
    <n v="6.8089999999999998E-2"/>
    <n v="43252"/>
    <x v="0"/>
  </r>
  <r>
    <n v="60000581"/>
    <x v="45"/>
    <x v="1"/>
    <x v="1"/>
    <x v="10"/>
    <x v="0"/>
    <n v="0.1"/>
    <x v="4"/>
    <x v="4"/>
    <x v="12"/>
    <x v="32"/>
    <x v="1"/>
    <x v="2"/>
    <x v="0"/>
    <n v="7"/>
    <n v="46276"/>
    <n v="4.6275999999999998E-2"/>
    <n v="43252"/>
    <x v="0"/>
  </r>
  <r>
    <n v="60000582"/>
    <x v="5"/>
    <x v="1"/>
    <x v="0"/>
    <x v="2"/>
    <x v="0"/>
    <n v="0.11"/>
    <x v="4"/>
    <x v="4"/>
    <x v="11"/>
    <x v="23"/>
    <x v="0"/>
    <x v="2"/>
    <x v="0"/>
    <n v="7"/>
    <n v="41093"/>
    <n v="4.1092999999999998E-2"/>
    <n v="43252"/>
    <x v="0"/>
  </r>
  <r>
    <n v="60000583"/>
    <x v="2"/>
    <x v="1"/>
    <x v="1"/>
    <x v="5"/>
    <x v="0"/>
    <n v="0.36"/>
    <x v="1"/>
    <x v="1"/>
    <x v="12"/>
    <x v="13"/>
    <x v="0"/>
    <x v="2"/>
    <x v="1"/>
    <n v="1"/>
    <n v="53884"/>
    <n v="5.3884000000000001E-2"/>
    <n v="43252"/>
    <x v="0"/>
  </r>
  <r>
    <n v="60000584"/>
    <x v="10"/>
    <x v="0"/>
    <x v="0"/>
    <x v="5"/>
    <x v="2"/>
    <n v="0.32"/>
    <x v="1"/>
    <x v="15"/>
    <x v="8"/>
    <x v="5"/>
    <x v="1"/>
    <x v="2"/>
    <x v="1"/>
    <n v="0"/>
    <n v="76973"/>
    <n v="7.6973E-2"/>
    <n v="43252"/>
    <x v="0"/>
  </r>
  <r>
    <n v="60000585"/>
    <x v="33"/>
    <x v="1"/>
    <x v="1"/>
    <x v="1"/>
    <x v="1"/>
    <n v="0.14000000000000001"/>
    <x v="2"/>
    <x v="9"/>
    <x v="8"/>
    <x v="39"/>
    <x v="0"/>
    <x v="2"/>
    <x v="1"/>
    <n v="0"/>
    <n v="45982"/>
    <n v="4.5982000000000002E-2"/>
    <n v="43252"/>
    <x v="0"/>
  </r>
  <r>
    <n v="60000586"/>
    <x v="12"/>
    <x v="1"/>
    <x v="1"/>
    <x v="3"/>
    <x v="2"/>
    <n v="0.27"/>
    <x v="3"/>
    <x v="15"/>
    <x v="12"/>
    <x v="22"/>
    <x v="1"/>
    <x v="2"/>
    <x v="0"/>
    <n v="0"/>
    <n v="28570"/>
    <n v="2.8570000000000002E-2"/>
    <n v="43252"/>
    <x v="0"/>
  </r>
  <r>
    <n v="60000587"/>
    <x v="29"/>
    <x v="0"/>
    <x v="0"/>
    <x v="5"/>
    <x v="1"/>
    <n v="0.22"/>
    <x v="0"/>
    <x v="12"/>
    <x v="10"/>
    <x v="46"/>
    <x v="0"/>
    <x v="2"/>
    <x v="0"/>
    <n v="4"/>
    <n v="71377"/>
    <n v="7.1376999999999996E-2"/>
    <n v="43252"/>
    <x v="0"/>
  </r>
  <r>
    <n v="60000588"/>
    <x v="3"/>
    <x v="1"/>
    <x v="0"/>
    <x v="6"/>
    <x v="2"/>
    <n v="0.26"/>
    <x v="3"/>
    <x v="1"/>
    <x v="12"/>
    <x v="18"/>
    <x v="0"/>
    <x v="2"/>
    <x v="1"/>
    <n v="0"/>
    <n v="57215"/>
    <n v="5.7215000000000002E-2"/>
    <n v="43252"/>
    <x v="0"/>
  </r>
  <r>
    <n v="60000589"/>
    <x v="19"/>
    <x v="0"/>
    <x v="1"/>
    <x v="8"/>
    <x v="0"/>
    <n v="0.37"/>
    <x v="1"/>
    <x v="15"/>
    <x v="3"/>
    <x v="7"/>
    <x v="1"/>
    <x v="2"/>
    <x v="0"/>
    <n v="2"/>
    <n v="48218"/>
    <n v="4.8217999999999997E-2"/>
    <n v="43252"/>
    <x v="0"/>
  </r>
  <r>
    <n v="60000590"/>
    <x v="7"/>
    <x v="0"/>
    <x v="0"/>
    <x v="11"/>
    <x v="0"/>
    <n v="0.18"/>
    <x v="2"/>
    <x v="7"/>
    <x v="8"/>
    <x v="45"/>
    <x v="1"/>
    <x v="2"/>
    <x v="1"/>
    <n v="0"/>
    <n v="50569"/>
    <n v="5.0569000000000003E-2"/>
    <n v="43252"/>
    <x v="0"/>
  </r>
  <r>
    <n v="60000591"/>
    <x v="41"/>
    <x v="1"/>
    <x v="0"/>
    <x v="8"/>
    <x v="0"/>
    <n v="0.28000000000000003"/>
    <x v="3"/>
    <x v="5"/>
    <x v="2"/>
    <x v="4"/>
    <x v="1"/>
    <x v="2"/>
    <x v="0"/>
    <n v="0"/>
    <n v="65399"/>
    <n v="6.5398999999999999E-2"/>
    <n v="43252"/>
    <x v="0"/>
  </r>
  <r>
    <n v="60000592"/>
    <x v="32"/>
    <x v="1"/>
    <x v="1"/>
    <x v="11"/>
    <x v="2"/>
    <n v="0.28000000000000003"/>
    <x v="3"/>
    <x v="10"/>
    <x v="12"/>
    <x v="28"/>
    <x v="2"/>
    <x v="2"/>
    <x v="0"/>
    <n v="0"/>
    <n v="52033"/>
    <n v="5.2033000000000003E-2"/>
    <n v="43252"/>
    <x v="0"/>
  </r>
  <r>
    <n v="60000593"/>
    <x v="23"/>
    <x v="1"/>
    <x v="1"/>
    <x v="3"/>
    <x v="0"/>
    <n v="0.13"/>
    <x v="2"/>
    <x v="1"/>
    <x v="11"/>
    <x v="42"/>
    <x v="1"/>
    <x v="2"/>
    <x v="1"/>
    <n v="0"/>
    <n v="68451"/>
    <n v="6.8450999999999998E-2"/>
    <n v="43252"/>
    <x v="0"/>
  </r>
  <r>
    <n v="60000594"/>
    <x v="32"/>
    <x v="0"/>
    <x v="1"/>
    <x v="9"/>
    <x v="1"/>
    <n v="0.19"/>
    <x v="0"/>
    <x v="0"/>
    <x v="3"/>
    <x v="29"/>
    <x v="1"/>
    <x v="2"/>
    <x v="1"/>
    <n v="0"/>
    <n v="25667"/>
    <n v="2.5666999999999999E-2"/>
    <n v="43252"/>
    <x v="0"/>
  </r>
  <r>
    <n v="60000595"/>
    <x v="17"/>
    <x v="0"/>
    <x v="0"/>
    <x v="11"/>
    <x v="0"/>
    <n v="0.2"/>
    <x v="0"/>
    <x v="11"/>
    <x v="7"/>
    <x v="37"/>
    <x v="0"/>
    <x v="2"/>
    <x v="0"/>
    <n v="0"/>
    <n v="83560"/>
    <n v="8.3559999999999995E-2"/>
    <n v="43252"/>
    <x v="0"/>
  </r>
  <r>
    <n v="60000596"/>
    <x v="34"/>
    <x v="1"/>
    <x v="1"/>
    <x v="9"/>
    <x v="2"/>
    <n v="0.26"/>
    <x v="3"/>
    <x v="5"/>
    <x v="11"/>
    <x v="48"/>
    <x v="0"/>
    <x v="2"/>
    <x v="1"/>
    <n v="0"/>
    <n v="57917"/>
    <n v="5.7917000000000003E-2"/>
    <n v="43252"/>
    <x v="0"/>
  </r>
  <r>
    <n v="60000597"/>
    <x v="32"/>
    <x v="1"/>
    <x v="0"/>
    <x v="3"/>
    <x v="1"/>
    <n v="0.16"/>
    <x v="2"/>
    <x v="11"/>
    <x v="6"/>
    <x v="38"/>
    <x v="1"/>
    <x v="2"/>
    <x v="0"/>
    <n v="0"/>
    <n v="50258"/>
    <n v="5.0257999999999997E-2"/>
    <n v="43252"/>
    <x v="0"/>
  </r>
  <r>
    <n v="60000598"/>
    <x v="8"/>
    <x v="1"/>
    <x v="1"/>
    <x v="7"/>
    <x v="1"/>
    <n v="0.15"/>
    <x v="2"/>
    <x v="1"/>
    <x v="7"/>
    <x v="36"/>
    <x v="0"/>
    <x v="2"/>
    <x v="0"/>
    <n v="1"/>
    <n v="53537"/>
    <n v="5.3537000000000001E-2"/>
    <n v="43252"/>
    <x v="0"/>
  </r>
  <r>
    <n v="60000599"/>
    <x v="10"/>
    <x v="0"/>
    <x v="1"/>
    <x v="7"/>
    <x v="1"/>
    <n v="0.22"/>
    <x v="0"/>
    <x v="9"/>
    <x v="5"/>
    <x v="9"/>
    <x v="1"/>
    <x v="2"/>
    <x v="1"/>
    <n v="5"/>
    <n v="36408"/>
    <n v="3.6408000000000003E-2"/>
    <n v="43252"/>
    <x v="0"/>
  </r>
  <r>
    <n v="60000600"/>
    <x v="27"/>
    <x v="1"/>
    <x v="1"/>
    <x v="8"/>
    <x v="0"/>
    <n v="0.22"/>
    <x v="0"/>
    <x v="14"/>
    <x v="9"/>
    <x v="33"/>
    <x v="0"/>
    <x v="2"/>
    <x v="0"/>
    <n v="0"/>
    <n v="68952"/>
    <n v="6.8951999999999999E-2"/>
    <n v="43252"/>
    <x v="0"/>
  </r>
  <r>
    <n v="60000601"/>
    <x v="30"/>
    <x v="0"/>
    <x v="0"/>
    <x v="1"/>
    <x v="1"/>
    <n v="0.27"/>
    <x v="3"/>
    <x v="4"/>
    <x v="3"/>
    <x v="7"/>
    <x v="1"/>
    <x v="2"/>
    <x v="1"/>
    <n v="0"/>
    <n v="64036"/>
    <n v="6.4035999999999996E-2"/>
    <n v="43252"/>
    <x v="0"/>
  </r>
  <r>
    <n v="60000602"/>
    <x v="18"/>
    <x v="1"/>
    <x v="1"/>
    <x v="9"/>
    <x v="2"/>
    <n v="0.18"/>
    <x v="2"/>
    <x v="7"/>
    <x v="2"/>
    <x v="30"/>
    <x v="2"/>
    <x v="2"/>
    <x v="1"/>
    <n v="0"/>
    <n v="56531"/>
    <n v="5.6530999999999998E-2"/>
    <n v="43252"/>
    <x v="0"/>
  </r>
  <r>
    <n v="60000603"/>
    <x v="7"/>
    <x v="0"/>
    <x v="0"/>
    <x v="11"/>
    <x v="0"/>
    <n v="0.18"/>
    <x v="2"/>
    <x v="2"/>
    <x v="5"/>
    <x v="16"/>
    <x v="1"/>
    <x v="2"/>
    <x v="0"/>
    <n v="0"/>
    <n v="75914"/>
    <n v="7.5913999999999995E-2"/>
    <n v="43252"/>
    <x v="0"/>
  </r>
  <r>
    <n v="60000604"/>
    <x v="37"/>
    <x v="0"/>
    <x v="0"/>
    <x v="5"/>
    <x v="1"/>
    <n v="0.14000000000000001"/>
    <x v="2"/>
    <x v="14"/>
    <x v="3"/>
    <x v="12"/>
    <x v="2"/>
    <x v="2"/>
    <x v="1"/>
    <n v="4"/>
    <n v="68867"/>
    <n v="6.8866999999999998E-2"/>
    <n v="43252"/>
    <x v="0"/>
  </r>
  <r>
    <n v="60000605"/>
    <x v="30"/>
    <x v="1"/>
    <x v="0"/>
    <x v="5"/>
    <x v="0"/>
    <n v="0.14000000000000001"/>
    <x v="2"/>
    <x v="1"/>
    <x v="7"/>
    <x v="47"/>
    <x v="2"/>
    <x v="2"/>
    <x v="1"/>
    <n v="0"/>
    <n v="68635"/>
    <n v="6.8635000000000002E-2"/>
    <n v="43252"/>
    <x v="0"/>
  </r>
  <r>
    <n v="60000606"/>
    <x v="9"/>
    <x v="1"/>
    <x v="1"/>
    <x v="6"/>
    <x v="0"/>
    <n v="0.34"/>
    <x v="1"/>
    <x v="7"/>
    <x v="5"/>
    <x v="9"/>
    <x v="2"/>
    <x v="2"/>
    <x v="1"/>
    <n v="3"/>
    <n v="81611"/>
    <n v="8.1611000000000003E-2"/>
    <n v="43252"/>
    <x v="0"/>
  </r>
  <r>
    <n v="60000607"/>
    <x v="3"/>
    <x v="0"/>
    <x v="0"/>
    <x v="1"/>
    <x v="0"/>
    <n v="0.33"/>
    <x v="1"/>
    <x v="5"/>
    <x v="4"/>
    <x v="27"/>
    <x v="2"/>
    <x v="2"/>
    <x v="0"/>
    <n v="5"/>
    <n v="48508"/>
    <n v="4.8508000000000003E-2"/>
    <n v="43252"/>
    <x v="0"/>
  </r>
  <r>
    <n v="60000608"/>
    <x v="11"/>
    <x v="1"/>
    <x v="1"/>
    <x v="8"/>
    <x v="0"/>
    <n v="0.37"/>
    <x v="1"/>
    <x v="0"/>
    <x v="1"/>
    <x v="39"/>
    <x v="2"/>
    <x v="2"/>
    <x v="1"/>
    <n v="0"/>
    <n v="70933"/>
    <n v="7.0932999999999996E-2"/>
    <n v="43252"/>
    <x v="0"/>
  </r>
  <r>
    <n v="60000609"/>
    <x v="36"/>
    <x v="1"/>
    <x v="1"/>
    <x v="1"/>
    <x v="1"/>
    <n v="0.25"/>
    <x v="3"/>
    <x v="5"/>
    <x v="3"/>
    <x v="20"/>
    <x v="1"/>
    <x v="2"/>
    <x v="1"/>
    <n v="4"/>
    <n v="48153"/>
    <n v="4.8153000000000001E-2"/>
    <n v="43252"/>
    <x v="0"/>
  </r>
  <r>
    <n v="60000610"/>
    <x v="14"/>
    <x v="0"/>
    <x v="0"/>
    <x v="2"/>
    <x v="0"/>
    <n v="0.25"/>
    <x v="3"/>
    <x v="3"/>
    <x v="0"/>
    <x v="4"/>
    <x v="2"/>
    <x v="2"/>
    <x v="0"/>
    <n v="0"/>
    <n v="45766"/>
    <n v="4.5766000000000001E-2"/>
    <n v="43252"/>
    <x v="0"/>
  </r>
  <r>
    <n v="60000611"/>
    <x v="5"/>
    <x v="0"/>
    <x v="0"/>
    <x v="11"/>
    <x v="1"/>
    <n v="0.12"/>
    <x v="2"/>
    <x v="5"/>
    <x v="2"/>
    <x v="45"/>
    <x v="0"/>
    <x v="2"/>
    <x v="1"/>
    <n v="2"/>
    <n v="28478"/>
    <n v="2.8478E-2"/>
    <n v="43252"/>
    <x v="0"/>
  </r>
  <r>
    <n v="60000612"/>
    <x v="15"/>
    <x v="0"/>
    <x v="0"/>
    <x v="6"/>
    <x v="0"/>
    <n v="0.23"/>
    <x v="0"/>
    <x v="1"/>
    <x v="10"/>
    <x v="29"/>
    <x v="2"/>
    <x v="2"/>
    <x v="0"/>
    <n v="5"/>
    <n v="69741"/>
    <n v="6.9740999999999997E-2"/>
    <n v="43252"/>
    <x v="0"/>
  </r>
  <r>
    <n v="60000613"/>
    <x v="1"/>
    <x v="1"/>
    <x v="0"/>
    <x v="5"/>
    <x v="0"/>
    <n v="0.33"/>
    <x v="1"/>
    <x v="4"/>
    <x v="5"/>
    <x v="32"/>
    <x v="1"/>
    <x v="2"/>
    <x v="0"/>
    <n v="0"/>
    <n v="58015"/>
    <n v="5.8014999999999997E-2"/>
    <n v="43252"/>
    <x v="0"/>
  </r>
  <r>
    <n v="60000614"/>
    <x v="10"/>
    <x v="0"/>
    <x v="1"/>
    <x v="11"/>
    <x v="1"/>
    <n v="0.1"/>
    <x v="4"/>
    <x v="4"/>
    <x v="6"/>
    <x v="24"/>
    <x v="2"/>
    <x v="2"/>
    <x v="0"/>
    <n v="6"/>
    <n v="68263"/>
    <n v="6.8263000000000004E-2"/>
    <n v="43252"/>
    <x v="0"/>
  </r>
  <r>
    <n v="60000615"/>
    <x v="8"/>
    <x v="1"/>
    <x v="1"/>
    <x v="9"/>
    <x v="1"/>
    <n v="0.23"/>
    <x v="0"/>
    <x v="0"/>
    <x v="1"/>
    <x v="0"/>
    <x v="1"/>
    <x v="2"/>
    <x v="1"/>
    <n v="0"/>
    <n v="34109"/>
    <n v="3.4109E-2"/>
    <n v="43252"/>
    <x v="0"/>
  </r>
  <r>
    <n v="60000616"/>
    <x v="4"/>
    <x v="1"/>
    <x v="0"/>
    <x v="2"/>
    <x v="2"/>
    <n v="0.17"/>
    <x v="2"/>
    <x v="15"/>
    <x v="2"/>
    <x v="9"/>
    <x v="0"/>
    <x v="2"/>
    <x v="0"/>
    <n v="3"/>
    <n v="64964"/>
    <n v="6.4963999999999994E-2"/>
    <n v="43252"/>
    <x v="0"/>
  </r>
  <r>
    <n v="60000617"/>
    <x v="20"/>
    <x v="0"/>
    <x v="1"/>
    <x v="2"/>
    <x v="0"/>
    <n v="0.22"/>
    <x v="0"/>
    <x v="10"/>
    <x v="6"/>
    <x v="41"/>
    <x v="2"/>
    <x v="2"/>
    <x v="1"/>
    <n v="5"/>
    <n v="30063"/>
    <n v="3.0062999999999999E-2"/>
    <n v="43252"/>
    <x v="0"/>
  </r>
  <r>
    <n v="60000618"/>
    <x v="8"/>
    <x v="1"/>
    <x v="0"/>
    <x v="2"/>
    <x v="1"/>
    <n v="0.21"/>
    <x v="0"/>
    <x v="8"/>
    <x v="2"/>
    <x v="42"/>
    <x v="1"/>
    <x v="2"/>
    <x v="0"/>
    <n v="5"/>
    <n v="59660"/>
    <n v="5.9659999999999998E-2"/>
    <n v="43252"/>
    <x v="0"/>
  </r>
  <r>
    <n v="60000619"/>
    <x v="9"/>
    <x v="1"/>
    <x v="1"/>
    <x v="11"/>
    <x v="1"/>
    <n v="0.2"/>
    <x v="0"/>
    <x v="3"/>
    <x v="10"/>
    <x v="43"/>
    <x v="0"/>
    <x v="2"/>
    <x v="0"/>
    <n v="0"/>
    <n v="31515"/>
    <n v="3.1515000000000001E-2"/>
    <n v="43252"/>
    <x v="0"/>
  </r>
  <r>
    <n v="60000620"/>
    <x v="33"/>
    <x v="0"/>
    <x v="0"/>
    <x v="9"/>
    <x v="2"/>
    <n v="0.25"/>
    <x v="3"/>
    <x v="5"/>
    <x v="0"/>
    <x v="37"/>
    <x v="1"/>
    <x v="2"/>
    <x v="0"/>
    <n v="0"/>
    <n v="78579"/>
    <n v="7.8578999999999996E-2"/>
    <n v="43252"/>
    <x v="0"/>
  </r>
  <r>
    <n v="60000621"/>
    <x v="43"/>
    <x v="1"/>
    <x v="0"/>
    <x v="1"/>
    <x v="1"/>
    <n v="0.1"/>
    <x v="4"/>
    <x v="12"/>
    <x v="12"/>
    <x v="44"/>
    <x v="1"/>
    <x v="2"/>
    <x v="0"/>
    <n v="0"/>
    <n v="29705"/>
    <n v="2.9704999999999999E-2"/>
    <n v="43252"/>
    <x v="0"/>
  </r>
  <r>
    <n v="60000622"/>
    <x v="16"/>
    <x v="1"/>
    <x v="1"/>
    <x v="3"/>
    <x v="1"/>
    <n v="0.25"/>
    <x v="3"/>
    <x v="10"/>
    <x v="3"/>
    <x v="44"/>
    <x v="0"/>
    <x v="2"/>
    <x v="0"/>
    <n v="0"/>
    <n v="51214"/>
    <n v="5.1214000000000003E-2"/>
    <n v="43252"/>
    <x v="0"/>
  </r>
  <r>
    <n v="60000623"/>
    <x v="22"/>
    <x v="0"/>
    <x v="1"/>
    <x v="5"/>
    <x v="1"/>
    <n v="0.25"/>
    <x v="3"/>
    <x v="8"/>
    <x v="1"/>
    <x v="4"/>
    <x v="2"/>
    <x v="2"/>
    <x v="0"/>
    <n v="0"/>
    <n v="57784"/>
    <n v="5.7784000000000002E-2"/>
    <n v="43252"/>
    <x v="0"/>
  </r>
  <r>
    <n v="60000624"/>
    <x v="32"/>
    <x v="1"/>
    <x v="1"/>
    <x v="11"/>
    <x v="2"/>
    <n v="0.37"/>
    <x v="1"/>
    <x v="7"/>
    <x v="6"/>
    <x v="26"/>
    <x v="1"/>
    <x v="2"/>
    <x v="0"/>
    <n v="0"/>
    <n v="73339"/>
    <n v="7.3339000000000001E-2"/>
    <n v="43252"/>
    <x v="0"/>
  </r>
  <r>
    <n v="60000625"/>
    <x v="39"/>
    <x v="0"/>
    <x v="0"/>
    <x v="6"/>
    <x v="0"/>
    <n v="0.34"/>
    <x v="1"/>
    <x v="5"/>
    <x v="7"/>
    <x v="32"/>
    <x v="1"/>
    <x v="2"/>
    <x v="1"/>
    <n v="4"/>
    <n v="41052"/>
    <n v="4.1051999999999998E-2"/>
    <n v="43252"/>
    <x v="0"/>
  </r>
  <r>
    <n v="60000626"/>
    <x v="40"/>
    <x v="0"/>
    <x v="0"/>
    <x v="2"/>
    <x v="2"/>
    <n v="0.24"/>
    <x v="0"/>
    <x v="5"/>
    <x v="7"/>
    <x v="9"/>
    <x v="0"/>
    <x v="2"/>
    <x v="1"/>
    <n v="4"/>
    <n v="75161"/>
    <n v="7.5161000000000006E-2"/>
    <n v="43252"/>
    <x v="0"/>
  </r>
  <r>
    <n v="60000627"/>
    <x v="33"/>
    <x v="1"/>
    <x v="0"/>
    <x v="1"/>
    <x v="0"/>
    <n v="0.19"/>
    <x v="0"/>
    <x v="5"/>
    <x v="7"/>
    <x v="15"/>
    <x v="0"/>
    <x v="2"/>
    <x v="1"/>
    <n v="7"/>
    <n v="69835"/>
    <n v="6.9834999999999994E-2"/>
    <n v="43252"/>
    <x v="0"/>
  </r>
  <r>
    <n v="60000628"/>
    <x v="38"/>
    <x v="1"/>
    <x v="0"/>
    <x v="0"/>
    <x v="0"/>
    <n v="0.11"/>
    <x v="4"/>
    <x v="9"/>
    <x v="3"/>
    <x v="30"/>
    <x v="1"/>
    <x v="2"/>
    <x v="1"/>
    <n v="0"/>
    <n v="47676"/>
    <n v="4.7676000000000003E-2"/>
    <n v="43252"/>
    <x v="0"/>
  </r>
  <r>
    <n v="60000629"/>
    <x v="6"/>
    <x v="0"/>
    <x v="0"/>
    <x v="1"/>
    <x v="2"/>
    <n v="0.24"/>
    <x v="0"/>
    <x v="11"/>
    <x v="7"/>
    <x v="13"/>
    <x v="0"/>
    <x v="2"/>
    <x v="0"/>
    <n v="0"/>
    <n v="74278"/>
    <n v="7.4277999999999997E-2"/>
    <n v="43252"/>
    <x v="0"/>
  </r>
  <r>
    <n v="60000630"/>
    <x v="32"/>
    <x v="0"/>
    <x v="1"/>
    <x v="2"/>
    <x v="1"/>
    <n v="0.37"/>
    <x v="1"/>
    <x v="12"/>
    <x v="9"/>
    <x v="2"/>
    <x v="1"/>
    <x v="2"/>
    <x v="0"/>
    <n v="3"/>
    <n v="43875"/>
    <n v="4.3874999999999997E-2"/>
    <n v="43252"/>
    <x v="0"/>
  </r>
  <r>
    <n v="60000631"/>
    <x v="5"/>
    <x v="0"/>
    <x v="1"/>
    <x v="8"/>
    <x v="0"/>
    <n v="0.37"/>
    <x v="1"/>
    <x v="12"/>
    <x v="2"/>
    <x v="47"/>
    <x v="1"/>
    <x v="2"/>
    <x v="0"/>
    <n v="6"/>
    <n v="43891"/>
    <n v="4.3890999999999999E-2"/>
    <n v="43252"/>
    <x v="0"/>
  </r>
  <r>
    <n v="60000632"/>
    <x v="6"/>
    <x v="1"/>
    <x v="0"/>
    <x v="2"/>
    <x v="2"/>
    <n v="0.23"/>
    <x v="0"/>
    <x v="12"/>
    <x v="10"/>
    <x v="7"/>
    <x v="1"/>
    <x v="2"/>
    <x v="0"/>
    <n v="0"/>
    <n v="55861"/>
    <n v="5.5861000000000001E-2"/>
    <n v="43252"/>
    <x v="0"/>
  </r>
  <r>
    <n v="60000633"/>
    <x v="45"/>
    <x v="1"/>
    <x v="0"/>
    <x v="8"/>
    <x v="2"/>
    <n v="0.36"/>
    <x v="1"/>
    <x v="14"/>
    <x v="7"/>
    <x v="21"/>
    <x v="0"/>
    <x v="2"/>
    <x v="1"/>
    <n v="3"/>
    <n v="74572"/>
    <n v="7.4571999999999999E-2"/>
    <n v="43252"/>
    <x v="0"/>
  </r>
  <r>
    <n v="60000634"/>
    <x v="22"/>
    <x v="0"/>
    <x v="1"/>
    <x v="1"/>
    <x v="1"/>
    <n v="0.15"/>
    <x v="2"/>
    <x v="1"/>
    <x v="5"/>
    <x v="32"/>
    <x v="0"/>
    <x v="2"/>
    <x v="1"/>
    <n v="0"/>
    <n v="75919"/>
    <n v="7.5919E-2"/>
    <n v="43252"/>
    <x v="0"/>
  </r>
  <r>
    <n v="60000001"/>
    <x v="0"/>
    <x v="0"/>
    <x v="0"/>
    <x v="0"/>
    <x v="0"/>
    <n v="0.2"/>
    <x v="0"/>
    <x v="0"/>
    <x v="0"/>
    <x v="0"/>
    <x v="0"/>
    <x v="3"/>
    <x v="0"/>
    <n v="0"/>
    <n v="32249"/>
    <n v="3.2249E-2"/>
    <n v="43252"/>
    <x v="0"/>
  </r>
  <r>
    <n v="60000002"/>
    <x v="1"/>
    <x v="1"/>
    <x v="1"/>
    <x v="1"/>
    <x v="0"/>
    <n v="0.32"/>
    <x v="1"/>
    <x v="1"/>
    <x v="1"/>
    <x v="1"/>
    <x v="0"/>
    <x v="3"/>
    <x v="0"/>
    <n v="0"/>
    <n v="50190"/>
    <n v="5.0189999999999999E-2"/>
    <n v="43252"/>
    <x v="0"/>
  </r>
  <r>
    <n v="60000003"/>
    <x v="2"/>
    <x v="0"/>
    <x v="0"/>
    <x v="2"/>
    <x v="0"/>
    <n v="0.2"/>
    <x v="0"/>
    <x v="1"/>
    <x v="2"/>
    <x v="2"/>
    <x v="0"/>
    <x v="3"/>
    <x v="1"/>
    <n v="3"/>
    <n v="53861"/>
    <n v="5.3860999999999999E-2"/>
    <n v="43252"/>
    <x v="0"/>
  </r>
  <r>
    <n v="60000004"/>
    <x v="3"/>
    <x v="0"/>
    <x v="0"/>
    <x v="3"/>
    <x v="0"/>
    <n v="0.23"/>
    <x v="0"/>
    <x v="2"/>
    <x v="3"/>
    <x v="3"/>
    <x v="0"/>
    <x v="3"/>
    <x v="0"/>
    <n v="0"/>
    <n v="63985"/>
    <n v="6.3985E-2"/>
    <n v="43252"/>
    <x v="0"/>
  </r>
  <r>
    <n v="60000005"/>
    <x v="4"/>
    <x v="0"/>
    <x v="1"/>
    <x v="1"/>
    <x v="0"/>
    <n v="0.36"/>
    <x v="1"/>
    <x v="3"/>
    <x v="4"/>
    <x v="4"/>
    <x v="0"/>
    <x v="3"/>
    <x v="1"/>
    <n v="2"/>
    <n v="71975"/>
    <n v="7.1974999999999997E-2"/>
    <n v="43252"/>
    <x v="0"/>
  </r>
  <r>
    <n v="60000006"/>
    <x v="5"/>
    <x v="0"/>
    <x v="0"/>
    <x v="1"/>
    <x v="0"/>
    <n v="0.38"/>
    <x v="1"/>
    <x v="4"/>
    <x v="5"/>
    <x v="5"/>
    <x v="0"/>
    <x v="3"/>
    <x v="0"/>
    <n v="0"/>
    <n v="38682"/>
    <n v="3.8682000000000001E-2"/>
    <n v="43252"/>
    <x v="0"/>
  </r>
  <r>
    <n v="60000007"/>
    <x v="5"/>
    <x v="0"/>
    <x v="1"/>
    <x v="4"/>
    <x v="0"/>
    <n v="0.13"/>
    <x v="2"/>
    <x v="5"/>
    <x v="4"/>
    <x v="6"/>
    <x v="0"/>
    <x v="3"/>
    <x v="0"/>
    <n v="0"/>
    <n v="69924"/>
    <n v="6.9924E-2"/>
    <n v="43252"/>
    <x v="0"/>
  </r>
  <r>
    <n v="60000008"/>
    <x v="6"/>
    <x v="0"/>
    <x v="1"/>
    <x v="4"/>
    <x v="0"/>
    <n v="0.18"/>
    <x v="2"/>
    <x v="6"/>
    <x v="3"/>
    <x v="0"/>
    <x v="0"/>
    <x v="3"/>
    <x v="1"/>
    <n v="3"/>
    <n v="41810"/>
    <n v="4.181E-2"/>
    <n v="43252"/>
    <x v="0"/>
  </r>
  <r>
    <n v="60000009"/>
    <x v="7"/>
    <x v="0"/>
    <x v="1"/>
    <x v="5"/>
    <x v="0"/>
    <n v="0.38"/>
    <x v="1"/>
    <x v="7"/>
    <x v="0"/>
    <x v="7"/>
    <x v="0"/>
    <x v="3"/>
    <x v="1"/>
    <n v="7"/>
    <n v="56001"/>
    <n v="5.6001000000000002E-2"/>
    <n v="43252"/>
    <x v="0"/>
  </r>
  <r>
    <n v="60000010"/>
    <x v="8"/>
    <x v="0"/>
    <x v="1"/>
    <x v="4"/>
    <x v="0"/>
    <n v="0.21"/>
    <x v="0"/>
    <x v="5"/>
    <x v="6"/>
    <x v="8"/>
    <x v="0"/>
    <x v="3"/>
    <x v="0"/>
    <n v="0"/>
    <n v="41600"/>
    <n v="4.1599999999999998E-2"/>
    <n v="43252"/>
    <x v="0"/>
  </r>
  <r>
    <n v="60000011"/>
    <x v="9"/>
    <x v="0"/>
    <x v="1"/>
    <x v="0"/>
    <x v="0"/>
    <n v="0.18"/>
    <x v="2"/>
    <x v="8"/>
    <x v="7"/>
    <x v="9"/>
    <x v="0"/>
    <x v="3"/>
    <x v="0"/>
    <n v="0"/>
    <n v="62931"/>
    <n v="6.2931000000000001E-2"/>
    <n v="43252"/>
    <x v="0"/>
  </r>
  <r>
    <n v="60000012"/>
    <x v="10"/>
    <x v="0"/>
    <x v="0"/>
    <x v="6"/>
    <x v="0"/>
    <n v="0.16"/>
    <x v="2"/>
    <x v="5"/>
    <x v="8"/>
    <x v="10"/>
    <x v="0"/>
    <x v="3"/>
    <x v="0"/>
    <n v="0"/>
    <n v="67313"/>
    <n v="6.7312999999999998E-2"/>
    <n v="43252"/>
    <x v="0"/>
  </r>
  <r>
    <n v="60000013"/>
    <x v="11"/>
    <x v="0"/>
    <x v="1"/>
    <x v="7"/>
    <x v="0"/>
    <n v="0.32"/>
    <x v="1"/>
    <x v="5"/>
    <x v="4"/>
    <x v="11"/>
    <x v="0"/>
    <x v="3"/>
    <x v="1"/>
    <n v="6"/>
    <n v="53872"/>
    <n v="5.3872000000000003E-2"/>
    <n v="43252"/>
    <x v="0"/>
  </r>
  <r>
    <n v="60000014"/>
    <x v="12"/>
    <x v="0"/>
    <x v="1"/>
    <x v="3"/>
    <x v="0"/>
    <n v="0.18"/>
    <x v="2"/>
    <x v="7"/>
    <x v="1"/>
    <x v="0"/>
    <x v="0"/>
    <x v="3"/>
    <x v="0"/>
    <n v="0"/>
    <n v="79273"/>
    <n v="7.9272999999999996E-2"/>
    <n v="43252"/>
    <x v="0"/>
  </r>
  <r>
    <n v="60000015"/>
    <x v="13"/>
    <x v="1"/>
    <x v="0"/>
    <x v="6"/>
    <x v="0"/>
    <n v="0.34"/>
    <x v="1"/>
    <x v="2"/>
    <x v="7"/>
    <x v="12"/>
    <x v="0"/>
    <x v="3"/>
    <x v="1"/>
    <n v="1"/>
    <n v="38824"/>
    <n v="3.8823999999999997E-2"/>
    <n v="43252"/>
    <x v="0"/>
  </r>
  <r>
    <n v="60000016"/>
    <x v="14"/>
    <x v="0"/>
    <x v="1"/>
    <x v="2"/>
    <x v="0"/>
    <n v="0.31"/>
    <x v="3"/>
    <x v="4"/>
    <x v="1"/>
    <x v="7"/>
    <x v="0"/>
    <x v="3"/>
    <x v="0"/>
    <n v="0"/>
    <n v="69303"/>
    <n v="6.9303000000000003E-2"/>
    <n v="43252"/>
    <x v="0"/>
  </r>
  <r>
    <n v="60000017"/>
    <x v="15"/>
    <x v="1"/>
    <x v="0"/>
    <x v="4"/>
    <x v="0"/>
    <n v="0.36"/>
    <x v="1"/>
    <x v="2"/>
    <x v="0"/>
    <x v="3"/>
    <x v="0"/>
    <x v="3"/>
    <x v="0"/>
    <n v="0"/>
    <n v="43397"/>
    <n v="4.3396999999999998E-2"/>
    <n v="43252"/>
    <x v="0"/>
  </r>
  <r>
    <n v="60000018"/>
    <x v="16"/>
    <x v="0"/>
    <x v="0"/>
    <x v="0"/>
    <x v="0"/>
    <n v="0.12"/>
    <x v="2"/>
    <x v="8"/>
    <x v="7"/>
    <x v="13"/>
    <x v="0"/>
    <x v="3"/>
    <x v="0"/>
    <n v="0"/>
    <n v="46382"/>
    <n v="4.6382E-2"/>
    <n v="43252"/>
    <x v="0"/>
  </r>
  <r>
    <n v="60000019"/>
    <x v="8"/>
    <x v="1"/>
    <x v="0"/>
    <x v="2"/>
    <x v="0"/>
    <n v="0.32"/>
    <x v="1"/>
    <x v="2"/>
    <x v="9"/>
    <x v="14"/>
    <x v="0"/>
    <x v="3"/>
    <x v="0"/>
    <n v="0"/>
    <n v="53991"/>
    <n v="5.3990999999999997E-2"/>
    <n v="43252"/>
    <x v="0"/>
  </r>
  <r>
    <n v="60000020"/>
    <x v="17"/>
    <x v="0"/>
    <x v="1"/>
    <x v="8"/>
    <x v="0"/>
    <n v="0.27"/>
    <x v="3"/>
    <x v="8"/>
    <x v="7"/>
    <x v="15"/>
    <x v="0"/>
    <x v="3"/>
    <x v="1"/>
    <n v="6"/>
    <n v="63210"/>
    <n v="6.3210000000000002E-2"/>
    <n v="43252"/>
    <x v="0"/>
  </r>
  <r>
    <n v="60000021"/>
    <x v="18"/>
    <x v="0"/>
    <x v="1"/>
    <x v="0"/>
    <x v="0"/>
    <n v="0.27"/>
    <x v="3"/>
    <x v="9"/>
    <x v="7"/>
    <x v="6"/>
    <x v="0"/>
    <x v="3"/>
    <x v="1"/>
    <n v="4"/>
    <n v="72718"/>
    <n v="7.2718000000000005E-2"/>
    <n v="43252"/>
    <x v="0"/>
  </r>
  <r>
    <n v="60000022"/>
    <x v="19"/>
    <x v="0"/>
    <x v="1"/>
    <x v="4"/>
    <x v="0"/>
    <n v="0.38"/>
    <x v="1"/>
    <x v="6"/>
    <x v="10"/>
    <x v="13"/>
    <x v="0"/>
    <x v="3"/>
    <x v="1"/>
    <n v="3"/>
    <n v="74859"/>
    <n v="7.4858999999999995E-2"/>
    <n v="43252"/>
    <x v="0"/>
  </r>
  <r>
    <n v="60000023"/>
    <x v="18"/>
    <x v="0"/>
    <x v="0"/>
    <x v="6"/>
    <x v="0"/>
    <n v="0.32"/>
    <x v="1"/>
    <x v="5"/>
    <x v="8"/>
    <x v="16"/>
    <x v="0"/>
    <x v="3"/>
    <x v="0"/>
    <n v="0"/>
    <n v="76036"/>
    <n v="7.6036000000000006E-2"/>
    <n v="43252"/>
    <x v="0"/>
  </r>
  <r>
    <n v="60000024"/>
    <x v="20"/>
    <x v="1"/>
    <x v="1"/>
    <x v="1"/>
    <x v="0"/>
    <n v="0.17"/>
    <x v="2"/>
    <x v="7"/>
    <x v="6"/>
    <x v="17"/>
    <x v="0"/>
    <x v="3"/>
    <x v="0"/>
    <n v="0"/>
    <n v="54782"/>
    <n v="5.4781999999999997E-2"/>
    <n v="43252"/>
    <x v="0"/>
  </r>
  <r>
    <n v="60000025"/>
    <x v="0"/>
    <x v="0"/>
    <x v="1"/>
    <x v="0"/>
    <x v="0"/>
    <n v="0.25"/>
    <x v="3"/>
    <x v="1"/>
    <x v="9"/>
    <x v="8"/>
    <x v="0"/>
    <x v="3"/>
    <x v="0"/>
    <n v="0"/>
    <n v="76364"/>
    <n v="7.6364000000000001E-2"/>
    <n v="43252"/>
    <x v="0"/>
  </r>
  <r>
    <n v="60000026"/>
    <x v="20"/>
    <x v="0"/>
    <x v="0"/>
    <x v="1"/>
    <x v="0"/>
    <n v="0.24"/>
    <x v="0"/>
    <x v="6"/>
    <x v="5"/>
    <x v="5"/>
    <x v="0"/>
    <x v="3"/>
    <x v="1"/>
    <n v="1"/>
    <n v="78267"/>
    <n v="7.8267000000000003E-2"/>
    <n v="43252"/>
    <x v="0"/>
  </r>
  <r>
    <n v="60000027"/>
    <x v="20"/>
    <x v="1"/>
    <x v="1"/>
    <x v="4"/>
    <x v="0"/>
    <n v="0.28999999999999998"/>
    <x v="3"/>
    <x v="6"/>
    <x v="9"/>
    <x v="18"/>
    <x v="0"/>
    <x v="3"/>
    <x v="1"/>
    <n v="7"/>
    <n v="48724"/>
    <n v="4.8724000000000003E-2"/>
    <n v="43252"/>
    <x v="0"/>
  </r>
  <r>
    <n v="60000028"/>
    <x v="21"/>
    <x v="1"/>
    <x v="1"/>
    <x v="7"/>
    <x v="0"/>
    <n v="0.1"/>
    <x v="4"/>
    <x v="9"/>
    <x v="11"/>
    <x v="19"/>
    <x v="0"/>
    <x v="3"/>
    <x v="1"/>
    <n v="6"/>
    <n v="80630"/>
    <n v="8.0629999999999993E-2"/>
    <n v="43252"/>
    <x v="0"/>
  </r>
  <r>
    <n v="60000029"/>
    <x v="22"/>
    <x v="0"/>
    <x v="0"/>
    <x v="6"/>
    <x v="0"/>
    <n v="0.37"/>
    <x v="1"/>
    <x v="5"/>
    <x v="11"/>
    <x v="16"/>
    <x v="0"/>
    <x v="3"/>
    <x v="1"/>
    <n v="4"/>
    <n v="57422"/>
    <n v="5.7422000000000001E-2"/>
    <n v="43252"/>
    <x v="0"/>
  </r>
  <r>
    <n v="60000030"/>
    <x v="18"/>
    <x v="0"/>
    <x v="1"/>
    <x v="3"/>
    <x v="0"/>
    <n v="0.18"/>
    <x v="2"/>
    <x v="2"/>
    <x v="0"/>
    <x v="8"/>
    <x v="0"/>
    <x v="3"/>
    <x v="1"/>
    <n v="5"/>
    <n v="82448"/>
    <n v="8.2447999999999994E-2"/>
    <n v="43252"/>
    <x v="0"/>
  </r>
  <r>
    <n v="60000031"/>
    <x v="23"/>
    <x v="0"/>
    <x v="0"/>
    <x v="2"/>
    <x v="0"/>
    <n v="0.34"/>
    <x v="1"/>
    <x v="10"/>
    <x v="1"/>
    <x v="20"/>
    <x v="0"/>
    <x v="3"/>
    <x v="0"/>
    <n v="0"/>
    <n v="48511"/>
    <n v="4.8510999999999999E-2"/>
    <n v="43252"/>
    <x v="0"/>
  </r>
  <r>
    <n v="60000032"/>
    <x v="20"/>
    <x v="1"/>
    <x v="0"/>
    <x v="7"/>
    <x v="0"/>
    <n v="0.22"/>
    <x v="0"/>
    <x v="2"/>
    <x v="9"/>
    <x v="21"/>
    <x v="0"/>
    <x v="3"/>
    <x v="0"/>
    <n v="0"/>
    <n v="60906"/>
    <n v="6.0906000000000002E-2"/>
    <n v="43252"/>
    <x v="0"/>
  </r>
  <r>
    <n v="60000033"/>
    <x v="24"/>
    <x v="1"/>
    <x v="0"/>
    <x v="5"/>
    <x v="0"/>
    <n v="0.31"/>
    <x v="3"/>
    <x v="8"/>
    <x v="8"/>
    <x v="18"/>
    <x v="0"/>
    <x v="3"/>
    <x v="1"/>
    <n v="0"/>
    <n v="60696"/>
    <n v="6.0696E-2"/>
    <n v="43252"/>
    <x v="0"/>
  </r>
  <r>
    <n v="60000034"/>
    <x v="25"/>
    <x v="1"/>
    <x v="1"/>
    <x v="0"/>
    <x v="0"/>
    <n v="0.2"/>
    <x v="0"/>
    <x v="5"/>
    <x v="1"/>
    <x v="20"/>
    <x v="0"/>
    <x v="3"/>
    <x v="0"/>
    <n v="0"/>
    <n v="68931"/>
    <n v="6.8931000000000006E-2"/>
    <n v="43252"/>
    <x v="0"/>
  </r>
  <r>
    <n v="60000035"/>
    <x v="5"/>
    <x v="1"/>
    <x v="0"/>
    <x v="0"/>
    <x v="0"/>
    <n v="0.25"/>
    <x v="3"/>
    <x v="5"/>
    <x v="11"/>
    <x v="22"/>
    <x v="0"/>
    <x v="3"/>
    <x v="0"/>
    <n v="0"/>
    <n v="72486"/>
    <n v="7.2485999999999995E-2"/>
    <n v="43252"/>
    <x v="0"/>
  </r>
  <r>
    <n v="60000036"/>
    <x v="19"/>
    <x v="0"/>
    <x v="1"/>
    <x v="5"/>
    <x v="0"/>
    <n v="0.34"/>
    <x v="1"/>
    <x v="0"/>
    <x v="12"/>
    <x v="19"/>
    <x v="0"/>
    <x v="3"/>
    <x v="1"/>
    <n v="0"/>
    <n v="25064"/>
    <n v="2.5063999999999999E-2"/>
    <n v="43252"/>
    <x v="0"/>
  </r>
  <r>
    <n v="60000037"/>
    <x v="1"/>
    <x v="0"/>
    <x v="1"/>
    <x v="2"/>
    <x v="0"/>
    <n v="0.27"/>
    <x v="3"/>
    <x v="11"/>
    <x v="0"/>
    <x v="23"/>
    <x v="0"/>
    <x v="3"/>
    <x v="0"/>
    <n v="0"/>
    <n v="66485"/>
    <n v="6.6485000000000002E-2"/>
    <n v="43252"/>
    <x v="0"/>
  </r>
  <r>
    <n v="60000038"/>
    <x v="23"/>
    <x v="1"/>
    <x v="1"/>
    <x v="4"/>
    <x v="0"/>
    <n v="0.17"/>
    <x v="2"/>
    <x v="7"/>
    <x v="9"/>
    <x v="24"/>
    <x v="0"/>
    <x v="3"/>
    <x v="0"/>
    <n v="0"/>
    <n v="32920"/>
    <n v="3.2919999999999998E-2"/>
    <n v="43252"/>
    <x v="0"/>
  </r>
  <r>
    <n v="60000039"/>
    <x v="26"/>
    <x v="0"/>
    <x v="0"/>
    <x v="9"/>
    <x v="0"/>
    <n v="0.1"/>
    <x v="4"/>
    <x v="4"/>
    <x v="8"/>
    <x v="5"/>
    <x v="0"/>
    <x v="3"/>
    <x v="0"/>
    <n v="0"/>
    <n v="60181"/>
    <n v="6.0180999999999998E-2"/>
    <n v="43252"/>
    <x v="0"/>
  </r>
  <r>
    <n v="60000040"/>
    <x v="20"/>
    <x v="1"/>
    <x v="0"/>
    <x v="8"/>
    <x v="0"/>
    <n v="0.28000000000000003"/>
    <x v="3"/>
    <x v="8"/>
    <x v="12"/>
    <x v="19"/>
    <x v="0"/>
    <x v="3"/>
    <x v="1"/>
    <n v="7"/>
    <n v="64200"/>
    <n v="6.4199999999999993E-2"/>
    <n v="43252"/>
    <x v="0"/>
  </r>
  <r>
    <n v="60000041"/>
    <x v="27"/>
    <x v="1"/>
    <x v="0"/>
    <x v="10"/>
    <x v="0"/>
    <n v="0.32"/>
    <x v="1"/>
    <x v="1"/>
    <x v="3"/>
    <x v="24"/>
    <x v="0"/>
    <x v="3"/>
    <x v="0"/>
    <n v="0"/>
    <n v="27376"/>
    <n v="2.7376000000000001E-2"/>
    <n v="43252"/>
    <x v="0"/>
  </r>
  <r>
    <n v="60000042"/>
    <x v="20"/>
    <x v="0"/>
    <x v="1"/>
    <x v="10"/>
    <x v="0"/>
    <n v="0.36"/>
    <x v="1"/>
    <x v="5"/>
    <x v="1"/>
    <x v="18"/>
    <x v="0"/>
    <x v="3"/>
    <x v="1"/>
    <n v="6"/>
    <n v="73100"/>
    <n v="7.3099999999999998E-2"/>
    <n v="43252"/>
    <x v="0"/>
  </r>
  <r>
    <n v="60000043"/>
    <x v="28"/>
    <x v="1"/>
    <x v="1"/>
    <x v="5"/>
    <x v="0"/>
    <n v="0.33"/>
    <x v="1"/>
    <x v="2"/>
    <x v="8"/>
    <x v="23"/>
    <x v="0"/>
    <x v="3"/>
    <x v="0"/>
    <n v="0"/>
    <n v="51512"/>
    <n v="5.1512000000000002E-2"/>
    <n v="43252"/>
    <x v="0"/>
  </r>
  <r>
    <n v="60000044"/>
    <x v="29"/>
    <x v="1"/>
    <x v="1"/>
    <x v="7"/>
    <x v="0"/>
    <n v="0.24"/>
    <x v="0"/>
    <x v="12"/>
    <x v="4"/>
    <x v="3"/>
    <x v="0"/>
    <x v="3"/>
    <x v="1"/>
    <n v="4"/>
    <n v="32853"/>
    <n v="3.2853E-2"/>
    <n v="43252"/>
    <x v="0"/>
  </r>
  <r>
    <n v="60000045"/>
    <x v="14"/>
    <x v="1"/>
    <x v="0"/>
    <x v="3"/>
    <x v="0"/>
    <n v="0.34"/>
    <x v="1"/>
    <x v="10"/>
    <x v="12"/>
    <x v="13"/>
    <x v="0"/>
    <x v="3"/>
    <x v="0"/>
    <n v="0"/>
    <n v="33519"/>
    <n v="3.3519E-2"/>
    <n v="43252"/>
    <x v="0"/>
  </r>
  <r>
    <n v="60000046"/>
    <x v="11"/>
    <x v="1"/>
    <x v="1"/>
    <x v="4"/>
    <x v="0"/>
    <n v="0.23"/>
    <x v="0"/>
    <x v="9"/>
    <x v="1"/>
    <x v="6"/>
    <x v="0"/>
    <x v="3"/>
    <x v="0"/>
    <n v="0"/>
    <n v="47392"/>
    <n v="4.7391999999999997E-2"/>
    <n v="43252"/>
    <x v="0"/>
  </r>
  <r>
    <n v="60000047"/>
    <x v="12"/>
    <x v="0"/>
    <x v="0"/>
    <x v="5"/>
    <x v="0"/>
    <n v="0.16"/>
    <x v="2"/>
    <x v="0"/>
    <x v="4"/>
    <x v="25"/>
    <x v="0"/>
    <x v="3"/>
    <x v="1"/>
    <n v="7"/>
    <n v="81471"/>
    <n v="8.1471000000000002E-2"/>
    <n v="43252"/>
    <x v="0"/>
  </r>
  <r>
    <n v="60000048"/>
    <x v="29"/>
    <x v="0"/>
    <x v="0"/>
    <x v="3"/>
    <x v="0"/>
    <n v="0.36"/>
    <x v="1"/>
    <x v="6"/>
    <x v="0"/>
    <x v="13"/>
    <x v="0"/>
    <x v="3"/>
    <x v="1"/>
    <n v="4"/>
    <n v="46613"/>
    <n v="4.6613000000000002E-2"/>
    <n v="43252"/>
    <x v="0"/>
  </r>
  <r>
    <n v="60000049"/>
    <x v="20"/>
    <x v="1"/>
    <x v="1"/>
    <x v="6"/>
    <x v="0"/>
    <n v="0.12"/>
    <x v="2"/>
    <x v="5"/>
    <x v="3"/>
    <x v="26"/>
    <x v="0"/>
    <x v="3"/>
    <x v="1"/>
    <n v="0"/>
    <n v="75842"/>
    <n v="7.5842000000000007E-2"/>
    <n v="43252"/>
    <x v="0"/>
  </r>
  <r>
    <n v="60000050"/>
    <x v="20"/>
    <x v="0"/>
    <x v="1"/>
    <x v="6"/>
    <x v="0"/>
    <n v="0.18"/>
    <x v="2"/>
    <x v="6"/>
    <x v="6"/>
    <x v="27"/>
    <x v="0"/>
    <x v="3"/>
    <x v="0"/>
    <n v="0"/>
    <n v="77615"/>
    <n v="7.7615000000000003E-2"/>
    <n v="43252"/>
    <x v="0"/>
  </r>
  <r>
    <n v="60000051"/>
    <x v="24"/>
    <x v="1"/>
    <x v="0"/>
    <x v="4"/>
    <x v="0"/>
    <n v="0.31"/>
    <x v="3"/>
    <x v="8"/>
    <x v="2"/>
    <x v="10"/>
    <x v="0"/>
    <x v="3"/>
    <x v="0"/>
    <n v="0"/>
    <n v="46121"/>
    <n v="4.6121000000000002E-2"/>
    <n v="43252"/>
    <x v="0"/>
  </r>
  <r>
    <n v="60000052"/>
    <x v="0"/>
    <x v="0"/>
    <x v="0"/>
    <x v="2"/>
    <x v="0"/>
    <n v="0.25"/>
    <x v="3"/>
    <x v="8"/>
    <x v="11"/>
    <x v="28"/>
    <x v="0"/>
    <x v="3"/>
    <x v="1"/>
    <n v="6"/>
    <n v="39270"/>
    <n v="3.9269999999999999E-2"/>
    <n v="43252"/>
    <x v="0"/>
  </r>
  <r>
    <n v="60000053"/>
    <x v="4"/>
    <x v="0"/>
    <x v="0"/>
    <x v="9"/>
    <x v="0"/>
    <n v="0.1"/>
    <x v="4"/>
    <x v="6"/>
    <x v="10"/>
    <x v="29"/>
    <x v="0"/>
    <x v="3"/>
    <x v="1"/>
    <n v="5"/>
    <n v="77754"/>
    <n v="7.7754000000000004E-2"/>
    <n v="43252"/>
    <x v="0"/>
  </r>
  <r>
    <n v="60000054"/>
    <x v="30"/>
    <x v="0"/>
    <x v="0"/>
    <x v="10"/>
    <x v="0"/>
    <n v="0.15"/>
    <x v="2"/>
    <x v="8"/>
    <x v="5"/>
    <x v="10"/>
    <x v="0"/>
    <x v="3"/>
    <x v="1"/>
    <n v="3"/>
    <n v="55314"/>
    <n v="5.5314000000000002E-2"/>
    <n v="43252"/>
    <x v="0"/>
  </r>
  <r>
    <n v="60000055"/>
    <x v="31"/>
    <x v="0"/>
    <x v="1"/>
    <x v="10"/>
    <x v="0"/>
    <n v="0.28000000000000003"/>
    <x v="3"/>
    <x v="11"/>
    <x v="9"/>
    <x v="30"/>
    <x v="0"/>
    <x v="3"/>
    <x v="1"/>
    <n v="5"/>
    <n v="44686"/>
    <n v="4.4685999999999997E-2"/>
    <n v="43252"/>
    <x v="0"/>
  </r>
  <r>
    <n v="60000056"/>
    <x v="5"/>
    <x v="1"/>
    <x v="0"/>
    <x v="3"/>
    <x v="0"/>
    <n v="0.16"/>
    <x v="2"/>
    <x v="8"/>
    <x v="4"/>
    <x v="19"/>
    <x v="0"/>
    <x v="3"/>
    <x v="0"/>
    <n v="0"/>
    <n v="79381"/>
    <n v="7.9380999999999993E-2"/>
    <n v="43252"/>
    <x v="0"/>
  </r>
  <r>
    <n v="60000057"/>
    <x v="11"/>
    <x v="0"/>
    <x v="0"/>
    <x v="4"/>
    <x v="0"/>
    <n v="0.25"/>
    <x v="3"/>
    <x v="12"/>
    <x v="6"/>
    <x v="31"/>
    <x v="0"/>
    <x v="3"/>
    <x v="1"/>
    <n v="4"/>
    <n v="55151"/>
    <n v="5.5150999999999999E-2"/>
    <n v="43252"/>
    <x v="0"/>
  </r>
  <r>
    <n v="60000058"/>
    <x v="17"/>
    <x v="0"/>
    <x v="1"/>
    <x v="3"/>
    <x v="0"/>
    <n v="0.27"/>
    <x v="3"/>
    <x v="11"/>
    <x v="8"/>
    <x v="20"/>
    <x v="0"/>
    <x v="3"/>
    <x v="1"/>
    <n v="1"/>
    <n v="65029"/>
    <n v="6.5029000000000003E-2"/>
    <n v="43252"/>
    <x v="0"/>
  </r>
  <r>
    <n v="60000059"/>
    <x v="32"/>
    <x v="1"/>
    <x v="0"/>
    <x v="4"/>
    <x v="0"/>
    <n v="0.2"/>
    <x v="0"/>
    <x v="1"/>
    <x v="7"/>
    <x v="29"/>
    <x v="0"/>
    <x v="3"/>
    <x v="1"/>
    <n v="5"/>
    <n v="26628"/>
    <n v="2.6627999999999999E-2"/>
    <n v="43252"/>
    <x v="0"/>
  </r>
  <r>
    <n v="60000060"/>
    <x v="14"/>
    <x v="0"/>
    <x v="0"/>
    <x v="9"/>
    <x v="0"/>
    <n v="0.19"/>
    <x v="0"/>
    <x v="13"/>
    <x v="10"/>
    <x v="15"/>
    <x v="0"/>
    <x v="3"/>
    <x v="0"/>
    <n v="0"/>
    <n v="49132"/>
    <n v="4.9132000000000002E-2"/>
    <n v="43252"/>
    <x v="0"/>
  </r>
  <r>
    <n v="60000061"/>
    <x v="33"/>
    <x v="1"/>
    <x v="0"/>
    <x v="2"/>
    <x v="0"/>
    <n v="0.31"/>
    <x v="3"/>
    <x v="14"/>
    <x v="0"/>
    <x v="16"/>
    <x v="0"/>
    <x v="3"/>
    <x v="1"/>
    <n v="2"/>
    <n v="75641"/>
    <n v="7.5641E-2"/>
    <n v="43252"/>
    <x v="0"/>
  </r>
  <r>
    <n v="60000062"/>
    <x v="34"/>
    <x v="1"/>
    <x v="1"/>
    <x v="9"/>
    <x v="0"/>
    <n v="0.18"/>
    <x v="2"/>
    <x v="8"/>
    <x v="9"/>
    <x v="30"/>
    <x v="0"/>
    <x v="3"/>
    <x v="0"/>
    <n v="0"/>
    <n v="46107"/>
    <n v="4.6107000000000002E-2"/>
    <n v="43252"/>
    <x v="0"/>
  </r>
  <r>
    <n v="60000063"/>
    <x v="28"/>
    <x v="1"/>
    <x v="1"/>
    <x v="6"/>
    <x v="0"/>
    <n v="0.28999999999999998"/>
    <x v="3"/>
    <x v="13"/>
    <x v="1"/>
    <x v="21"/>
    <x v="0"/>
    <x v="3"/>
    <x v="1"/>
    <n v="5"/>
    <n v="54603"/>
    <n v="5.4602999999999999E-2"/>
    <n v="43252"/>
    <x v="0"/>
  </r>
  <r>
    <n v="60000064"/>
    <x v="35"/>
    <x v="1"/>
    <x v="1"/>
    <x v="3"/>
    <x v="0"/>
    <n v="0.12"/>
    <x v="2"/>
    <x v="9"/>
    <x v="10"/>
    <x v="13"/>
    <x v="0"/>
    <x v="3"/>
    <x v="1"/>
    <n v="2"/>
    <n v="76546"/>
    <n v="7.6546000000000003E-2"/>
    <n v="43252"/>
    <x v="0"/>
  </r>
  <r>
    <n v="60000065"/>
    <x v="35"/>
    <x v="0"/>
    <x v="0"/>
    <x v="9"/>
    <x v="0"/>
    <n v="0.14000000000000001"/>
    <x v="2"/>
    <x v="0"/>
    <x v="3"/>
    <x v="32"/>
    <x v="0"/>
    <x v="3"/>
    <x v="1"/>
    <n v="4"/>
    <n v="51693"/>
    <n v="5.1693000000000003E-2"/>
    <n v="43252"/>
    <x v="0"/>
  </r>
  <r>
    <n v="60000066"/>
    <x v="1"/>
    <x v="0"/>
    <x v="0"/>
    <x v="2"/>
    <x v="0"/>
    <n v="0.21"/>
    <x v="0"/>
    <x v="11"/>
    <x v="7"/>
    <x v="5"/>
    <x v="0"/>
    <x v="3"/>
    <x v="1"/>
    <n v="2"/>
    <n v="74562"/>
    <n v="7.4562000000000003E-2"/>
    <n v="43252"/>
    <x v="0"/>
  </r>
  <r>
    <n v="60000067"/>
    <x v="24"/>
    <x v="1"/>
    <x v="0"/>
    <x v="9"/>
    <x v="0"/>
    <n v="0.15"/>
    <x v="2"/>
    <x v="3"/>
    <x v="2"/>
    <x v="17"/>
    <x v="0"/>
    <x v="3"/>
    <x v="0"/>
    <n v="0"/>
    <n v="23033"/>
    <n v="2.3033000000000001E-2"/>
    <n v="43252"/>
    <x v="0"/>
  </r>
  <r>
    <n v="60000068"/>
    <x v="21"/>
    <x v="1"/>
    <x v="1"/>
    <x v="4"/>
    <x v="0"/>
    <n v="0.32"/>
    <x v="1"/>
    <x v="13"/>
    <x v="1"/>
    <x v="8"/>
    <x v="0"/>
    <x v="3"/>
    <x v="1"/>
    <n v="7"/>
    <n v="49487"/>
    <n v="4.9487000000000003E-2"/>
    <n v="43252"/>
    <x v="0"/>
  </r>
  <r>
    <n v="60000069"/>
    <x v="35"/>
    <x v="0"/>
    <x v="1"/>
    <x v="0"/>
    <x v="0"/>
    <n v="0.13"/>
    <x v="2"/>
    <x v="1"/>
    <x v="5"/>
    <x v="9"/>
    <x v="0"/>
    <x v="3"/>
    <x v="1"/>
    <n v="6"/>
    <n v="81554"/>
    <n v="8.1554000000000001E-2"/>
    <n v="43252"/>
    <x v="0"/>
  </r>
  <r>
    <n v="60000070"/>
    <x v="36"/>
    <x v="1"/>
    <x v="1"/>
    <x v="0"/>
    <x v="0"/>
    <n v="0.23"/>
    <x v="0"/>
    <x v="10"/>
    <x v="12"/>
    <x v="33"/>
    <x v="0"/>
    <x v="3"/>
    <x v="0"/>
    <n v="0"/>
    <n v="50937"/>
    <n v="5.0937000000000003E-2"/>
    <n v="43252"/>
    <x v="0"/>
  </r>
  <r>
    <n v="60000071"/>
    <x v="27"/>
    <x v="0"/>
    <x v="0"/>
    <x v="1"/>
    <x v="0"/>
    <n v="0.38"/>
    <x v="1"/>
    <x v="2"/>
    <x v="3"/>
    <x v="18"/>
    <x v="0"/>
    <x v="3"/>
    <x v="0"/>
    <n v="0"/>
    <n v="50926"/>
    <n v="5.0925999999999999E-2"/>
    <n v="43252"/>
    <x v="0"/>
  </r>
  <r>
    <n v="60000072"/>
    <x v="8"/>
    <x v="0"/>
    <x v="0"/>
    <x v="9"/>
    <x v="0"/>
    <n v="0.2"/>
    <x v="0"/>
    <x v="15"/>
    <x v="2"/>
    <x v="30"/>
    <x v="0"/>
    <x v="3"/>
    <x v="0"/>
    <n v="0"/>
    <n v="65453"/>
    <n v="6.5452999999999997E-2"/>
    <n v="43252"/>
    <x v="0"/>
  </r>
  <r>
    <n v="60000073"/>
    <x v="23"/>
    <x v="1"/>
    <x v="1"/>
    <x v="6"/>
    <x v="0"/>
    <n v="0.15"/>
    <x v="2"/>
    <x v="10"/>
    <x v="2"/>
    <x v="28"/>
    <x v="0"/>
    <x v="3"/>
    <x v="1"/>
    <n v="4"/>
    <n v="60126"/>
    <n v="6.0125999999999999E-2"/>
    <n v="43252"/>
    <x v="0"/>
  </r>
  <r>
    <n v="60000074"/>
    <x v="3"/>
    <x v="0"/>
    <x v="0"/>
    <x v="8"/>
    <x v="0"/>
    <n v="0.13"/>
    <x v="2"/>
    <x v="10"/>
    <x v="6"/>
    <x v="27"/>
    <x v="0"/>
    <x v="3"/>
    <x v="0"/>
    <n v="0"/>
    <n v="23711"/>
    <n v="2.3710999999999999E-2"/>
    <n v="43252"/>
    <x v="0"/>
  </r>
  <r>
    <n v="60000075"/>
    <x v="21"/>
    <x v="1"/>
    <x v="0"/>
    <x v="1"/>
    <x v="0"/>
    <n v="0.33"/>
    <x v="1"/>
    <x v="0"/>
    <x v="5"/>
    <x v="17"/>
    <x v="0"/>
    <x v="3"/>
    <x v="0"/>
    <n v="0"/>
    <n v="77308"/>
    <n v="7.7308000000000002E-2"/>
    <n v="43252"/>
    <x v="0"/>
  </r>
  <r>
    <n v="60000076"/>
    <x v="12"/>
    <x v="0"/>
    <x v="1"/>
    <x v="0"/>
    <x v="0"/>
    <n v="0.1"/>
    <x v="4"/>
    <x v="0"/>
    <x v="11"/>
    <x v="8"/>
    <x v="0"/>
    <x v="3"/>
    <x v="0"/>
    <n v="0"/>
    <n v="34801"/>
    <n v="3.4800999999999999E-2"/>
    <n v="43252"/>
    <x v="0"/>
  </r>
  <r>
    <n v="60000077"/>
    <x v="5"/>
    <x v="1"/>
    <x v="1"/>
    <x v="6"/>
    <x v="0"/>
    <n v="0.16"/>
    <x v="2"/>
    <x v="1"/>
    <x v="11"/>
    <x v="32"/>
    <x v="0"/>
    <x v="3"/>
    <x v="1"/>
    <n v="2"/>
    <n v="79253"/>
    <n v="7.9253000000000004E-2"/>
    <n v="43252"/>
    <x v="0"/>
  </r>
  <r>
    <n v="60000078"/>
    <x v="17"/>
    <x v="1"/>
    <x v="1"/>
    <x v="7"/>
    <x v="0"/>
    <n v="0.38"/>
    <x v="1"/>
    <x v="4"/>
    <x v="5"/>
    <x v="24"/>
    <x v="0"/>
    <x v="3"/>
    <x v="0"/>
    <n v="0"/>
    <n v="74467"/>
    <n v="7.4467000000000005E-2"/>
    <n v="43252"/>
    <x v="0"/>
  </r>
  <r>
    <n v="60000079"/>
    <x v="19"/>
    <x v="1"/>
    <x v="1"/>
    <x v="1"/>
    <x v="0"/>
    <n v="0.31"/>
    <x v="3"/>
    <x v="7"/>
    <x v="12"/>
    <x v="6"/>
    <x v="0"/>
    <x v="3"/>
    <x v="1"/>
    <n v="0"/>
    <n v="71270"/>
    <n v="7.127E-2"/>
    <n v="43252"/>
    <x v="0"/>
  </r>
  <r>
    <n v="60000080"/>
    <x v="37"/>
    <x v="1"/>
    <x v="0"/>
    <x v="3"/>
    <x v="0"/>
    <n v="0.35"/>
    <x v="1"/>
    <x v="13"/>
    <x v="3"/>
    <x v="7"/>
    <x v="0"/>
    <x v="3"/>
    <x v="0"/>
    <n v="0"/>
    <n v="84560"/>
    <n v="8.4559999999999996E-2"/>
    <n v="43252"/>
    <x v="0"/>
  </r>
  <r>
    <n v="60000081"/>
    <x v="34"/>
    <x v="1"/>
    <x v="0"/>
    <x v="10"/>
    <x v="0"/>
    <n v="0.19"/>
    <x v="0"/>
    <x v="12"/>
    <x v="10"/>
    <x v="20"/>
    <x v="0"/>
    <x v="3"/>
    <x v="1"/>
    <n v="0"/>
    <n v="67808"/>
    <n v="6.7807999999999993E-2"/>
    <n v="43252"/>
    <x v="0"/>
  </r>
  <r>
    <n v="60000082"/>
    <x v="16"/>
    <x v="0"/>
    <x v="1"/>
    <x v="0"/>
    <x v="0"/>
    <n v="0.13"/>
    <x v="2"/>
    <x v="2"/>
    <x v="4"/>
    <x v="34"/>
    <x v="0"/>
    <x v="3"/>
    <x v="0"/>
    <n v="0"/>
    <n v="35771"/>
    <n v="3.5770999999999997E-2"/>
    <n v="43252"/>
    <x v="0"/>
  </r>
  <r>
    <n v="60000083"/>
    <x v="38"/>
    <x v="0"/>
    <x v="1"/>
    <x v="7"/>
    <x v="0"/>
    <n v="0.17"/>
    <x v="2"/>
    <x v="12"/>
    <x v="1"/>
    <x v="31"/>
    <x v="0"/>
    <x v="3"/>
    <x v="0"/>
    <n v="0"/>
    <n v="28257"/>
    <n v="2.8257000000000001E-2"/>
    <n v="43252"/>
    <x v="0"/>
  </r>
  <r>
    <n v="60000084"/>
    <x v="33"/>
    <x v="1"/>
    <x v="0"/>
    <x v="8"/>
    <x v="0"/>
    <n v="0.12"/>
    <x v="2"/>
    <x v="8"/>
    <x v="4"/>
    <x v="33"/>
    <x v="0"/>
    <x v="3"/>
    <x v="0"/>
    <n v="0"/>
    <n v="65096"/>
    <n v="6.5096000000000001E-2"/>
    <n v="43252"/>
    <x v="0"/>
  </r>
  <r>
    <n v="60000085"/>
    <x v="37"/>
    <x v="1"/>
    <x v="1"/>
    <x v="2"/>
    <x v="0"/>
    <n v="0.27"/>
    <x v="3"/>
    <x v="13"/>
    <x v="3"/>
    <x v="35"/>
    <x v="0"/>
    <x v="3"/>
    <x v="0"/>
    <n v="0"/>
    <n v="46817"/>
    <n v="4.6816999999999998E-2"/>
    <n v="43252"/>
    <x v="0"/>
  </r>
  <r>
    <n v="60000086"/>
    <x v="31"/>
    <x v="1"/>
    <x v="0"/>
    <x v="2"/>
    <x v="0"/>
    <n v="0.17"/>
    <x v="2"/>
    <x v="5"/>
    <x v="6"/>
    <x v="36"/>
    <x v="0"/>
    <x v="3"/>
    <x v="1"/>
    <n v="3"/>
    <n v="70068"/>
    <n v="7.0068000000000005E-2"/>
    <n v="43252"/>
    <x v="0"/>
  </r>
  <r>
    <n v="60000087"/>
    <x v="3"/>
    <x v="0"/>
    <x v="1"/>
    <x v="6"/>
    <x v="0"/>
    <n v="0.26"/>
    <x v="3"/>
    <x v="13"/>
    <x v="9"/>
    <x v="28"/>
    <x v="0"/>
    <x v="3"/>
    <x v="0"/>
    <n v="0"/>
    <n v="64035"/>
    <n v="6.4034999999999995E-2"/>
    <n v="43252"/>
    <x v="0"/>
  </r>
  <r>
    <n v="60000088"/>
    <x v="24"/>
    <x v="0"/>
    <x v="1"/>
    <x v="10"/>
    <x v="0"/>
    <n v="0.26"/>
    <x v="3"/>
    <x v="7"/>
    <x v="5"/>
    <x v="5"/>
    <x v="0"/>
    <x v="3"/>
    <x v="0"/>
    <n v="0"/>
    <n v="59746"/>
    <n v="5.9746E-2"/>
    <n v="43252"/>
    <x v="0"/>
  </r>
  <r>
    <n v="60000089"/>
    <x v="39"/>
    <x v="0"/>
    <x v="1"/>
    <x v="2"/>
    <x v="0"/>
    <n v="0.38"/>
    <x v="1"/>
    <x v="12"/>
    <x v="11"/>
    <x v="17"/>
    <x v="0"/>
    <x v="3"/>
    <x v="1"/>
    <n v="0"/>
    <n v="65443"/>
    <n v="6.5443000000000001E-2"/>
    <n v="43252"/>
    <x v="0"/>
  </r>
  <r>
    <n v="60000090"/>
    <x v="29"/>
    <x v="1"/>
    <x v="0"/>
    <x v="2"/>
    <x v="0"/>
    <n v="0.28999999999999998"/>
    <x v="3"/>
    <x v="1"/>
    <x v="4"/>
    <x v="37"/>
    <x v="0"/>
    <x v="3"/>
    <x v="1"/>
    <n v="7"/>
    <n v="77471"/>
    <n v="7.7470999999999998E-2"/>
    <n v="43252"/>
    <x v="0"/>
  </r>
  <r>
    <n v="60000091"/>
    <x v="40"/>
    <x v="1"/>
    <x v="0"/>
    <x v="2"/>
    <x v="0"/>
    <n v="0.13"/>
    <x v="2"/>
    <x v="3"/>
    <x v="8"/>
    <x v="11"/>
    <x v="0"/>
    <x v="3"/>
    <x v="1"/>
    <n v="1"/>
    <n v="62047"/>
    <n v="6.2046999999999998E-2"/>
    <n v="43252"/>
    <x v="0"/>
  </r>
  <r>
    <n v="60000092"/>
    <x v="9"/>
    <x v="0"/>
    <x v="1"/>
    <x v="8"/>
    <x v="0"/>
    <n v="0.35"/>
    <x v="1"/>
    <x v="5"/>
    <x v="3"/>
    <x v="32"/>
    <x v="0"/>
    <x v="3"/>
    <x v="1"/>
    <n v="3"/>
    <n v="72608"/>
    <n v="7.2608000000000006E-2"/>
    <n v="43252"/>
    <x v="0"/>
  </r>
  <r>
    <n v="60000093"/>
    <x v="7"/>
    <x v="0"/>
    <x v="0"/>
    <x v="8"/>
    <x v="0"/>
    <n v="0.35"/>
    <x v="1"/>
    <x v="0"/>
    <x v="1"/>
    <x v="18"/>
    <x v="0"/>
    <x v="3"/>
    <x v="1"/>
    <n v="6"/>
    <n v="33947"/>
    <n v="3.3946999999999998E-2"/>
    <n v="43252"/>
    <x v="0"/>
  </r>
  <r>
    <n v="60000094"/>
    <x v="28"/>
    <x v="0"/>
    <x v="0"/>
    <x v="3"/>
    <x v="0"/>
    <n v="0.25"/>
    <x v="3"/>
    <x v="13"/>
    <x v="10"/>
    <x v="38"/>
    <x v="0"/>
    <x v="3"/>
    <x v="1"/>
    <n v="6"/>
    <n v="37975"/>
    <n v="3.7975000000000002E-2"/>
    <n v="43252"/>
    <x v="0"/>
  </r>
  <r>
    <n v="60000095"/>
    <x v="26"/>
    <x v="0"/>
    <x v="0"/>
    <x v="10"/>
    <x v="0"/>
    <n v="0.12"/>
    <x v="2"/>
    <x v="8"/>
    <x v="3"/>
    <x v="29"/>
    <x v="0"/>
    <x v="3"/>
    <x v="0"/>
    <n v="0"/>
    <n v="29675"/>
    <n v="2.9675E-2"/>
    <n v="43252"/>
    <x v="0"/>
  </r>
  <r>
    <n v="60000096"/>
    <x v="3"/>
    <x v="1"/>
    <x v="1"/>
    <x v="5"/>
    <x v="0"/>
    <n v="0.31"/>
    <x v="3"/>
    <x v="5"/>
    <x v="12"/>
    <x v="6"/>
    <x v="0"/>
    <x v="3"/>
    <x v="0"/>
    <n v="0"/>
    <n v="51903"/>
    <n v="5.1902999999999998E-2"/>
    <n v="43252"/>
    <x v="0"/>
  </r>
  <r>
    <n v="60000097"/>
    <x v="3"/>
    <x v="1"/>
    <x v="1"/>
    <x v="7"/>
    <x v="0"/>
    <n v="0.19"/>
    <x v="0"/>
    <x v="11"/>
    <x v="8"/>
    <x v="16"/>
    <x v="0"/>
    <x v="3"/>
    <x v="0"/>
    <n v="0"/>
    <n v="75407"/>
    <n v="7.5407000000000002E-2"/>
    <n v="43252"/>
    <x v="0"/>
  </r>
  <r>
    <n v="60000098"/>
    <x v="40"/>
    <x v="1"/>
    <x v="1"/>
    <x v="1"/>
    <x v="0"/>
    <n v="0.35"/>
    <x v="1"/>
    <x v="1"/>
    <x v="2"/>
    <x v="37"/>
    <x v="0"/>
    <x v="3"/>
    <x v="0"/>
    <n v="0"/>
    <n v="53325"/>
    <n v="5.3324999999999997E-2"/>
    <n v="43252"/>
    <x v="0"/>
  </r>
  <r>
    <n v="60000099"/>
    <x v="30"/>
    <x v="0"/>
    <x v="0"/>
    <x v="7"/>
    <x v="0"/>
    <n v="0.36"/>
    <x v="1"/>
    <x v="5"/>
    <x v="3"/>
    <x v="39"/>
    <x v="0"/>
    <x v="3"/>
    <x v="1"/>
    <n v="7"/>
    <n v="67527"/>
    <n v="6.7527000000000004E-2"/>
    <n v="43252"/>
    <x v="0"/>
  </r>
  <r>
    <n v="60000100"/>
    <x v="6"/>
    <x v="1"/>
    <x v="1"/>
    <x v="3"/>
    <x v="0"/>
    <n v="0.17"/>
    <x v="2"/>
    <x v="11"/>
    <x v="1"/>
    <x v="7"/>
    <x v="0"/>
    <x v="3"/>
    <x v="1"/>
    <n v="5"/>
    <n v="41676"/>
    <n v="4.1675999999999998E-2"/>
    <n v="43252"/>
    <x v="0"/>
  </r>
  <r>
    <n v="60000101"/>
    <x v="22"/>
    <x v="1"/>
    <x v="0"/>
    <x v="4"/>
    <x v="0"/>
    <n v="0.27"/>
    <x v="3"/>
    <x v="14"/>
    <x v="12"/>
    <x v="38"/>
    <x v="0"/>
    <x v="3"/>
    <x v="0"/>
    <n v="0"/>
    <n v="83260"/>
    <n v="8.3260000000000001E-2"/>
    <n v="43252"/>
    <x v="0"/>
  </r>
  <r>
    <n v="60000102"/>
    <x v="9"/>
    <x v="1"/>
    <x v="1"/>
    <x v="8"/>
    <x v="0"/>
    <n v="0.28999999999999998"/>
    <x v="3"/>
    <x v="8"/>
    <x v="9"/>
    <x v="4"/>
    <x v="0"/>
    <x v="3"/>
    <x v="1"/>
    <n v="0"/>
    <n v="42293"/>
    <n v="4.2292999999999997E-2"/>
    <n v="43252"/>
    <x v="0"/>
  </r>
  <r>
    <n v="60000103"/>
    <x v="41"/>
    <x v="1"/>
    <x v="1"/>
    <x v="4"/>
    <x v="0"/>
    <n v="0.23"/>
    <x v="0"/>
    <x v="15"/>
    <x v="1"/>
    <x v="29"/>
    <x v="0"/>
    <x v="3"/>
    <x v="1"/>
    <n v="4"/>
    <n v="31530"/>
    <n v="3.1530000000000002E-2"/>
    <n v="43252"/>
    <x v="0"/>
  </r>
  <r>
    <n v="60000104"/>
    <x v="21"/>
    <x v="0"/>
    <x v="0"/>
    <x v="6"/>
    <x v="0"/>
    <n v="0.21"/>
    <x v="0"/>
    <x v="14"/>
    <x v="12"/>
    <x v="28"/>
    <x v="0"/>
    <x v="3"/>
    <x v="0"/>
    <n v="0"/>
    <n v="80431"/>
    <n v="8.0431000000000002E-2"/>
    <n v="43252"/>
    <x v="0"/>
  </r>
  <r>
    <n v="60000105"/>
    <x v="32"/>
    <x v="0"/>
    <x v="0"/>
    <x v="10"/>
    <x v="0"/>
    <n v="0.36"/>
    <x v="1"/>
    <x v="3"/>
    <x v="5"/>
    <x v="40"/>
    <x v="0"/>
    <x v="3"/>
    <x v="1"/>
    <n v="2"/>
    <n v="27023"/>
    <n v="2.7022999999999998E-2"/>
    <n v="43252"/>
    <x v="0"/>
  </r>
  <r>
    <n v="60000106"/>
    <x v="8"/>
    <x v="0"/>
    <x v="0"/>
    <x v="6"/>
    <x v="0"/>
    <n v="0.11"/>
    <x v="4"/>
    <x v="0"/>
    <x v="3"/>
    <x v="41"/>
    <x v="0"/>
    <x v="3"/>
    <x v="1"/>
    <n v="0"/>
    <n v="30628"/>
    <n v="3.0627999999999999E-2"/>
    <n v="43252"/>
    <x v="0"/>
  </r>
  <r>
    <n v="60000107"/>
    <x v="24"/>
    <x v="1"/>
    <x v="0"/>
    <x v="7"/>
    <x v="0"/>
    <n v="0.11"/>
    <x v="4"/>
    <x v="10"/>
    <x v="10"/>
    <x v="42"/>
    <x v="0"/>
    <x v="3"/>
    <x v="1"/>
    <n v="7"/>
    <n v="84173"/>
    <n v="8.4172999999999998E-2"/>
    <n v="43252"/>
    <x v="0"/>
  </r>
  <r>
    <n v="60000108"/>
    <x v="36"/>
    <x v="1"/>
    <x v="0"/>
    <x v="3"/>
    <x v="0"/>
    <n v="0.28000000000000003"/>
    <x v="3"/>
    <x v="8"/>
    <x v="10"/>
    <x v="13"/>
    <x v="0"/>
    <x v="3"/>
    <x v="1"/>
    <n v="4"/>
    <n v="40057"/>
    <n v="4.0057000000000002E-2"/>
    <n v="43252"/>
    <x v="0"/>
  </r>
  <r>
    <n v="60000109"/>
    <x v="35"/>
    <x v="1"/>
    <x v="1"/>
    <x v="2"/>
    <x v="0"/>
    <n v="0.32"/>
    <x v="1"/>
    <x v="0"/>
    <x v="8"/>
    <x v="29"/>
    <x v="0"/>
    <x v="3"/>
    <x v="1"/>
    <n v="0"/>
    <n v="31074"/>
    <n v="3.1074000000000001E-2"/>
    <n v="43252"/>
    <x v="0"/>
  </r>
  <r>
    <n v="60000110"/>
    <x v="19"/>
    <x v="0"/>
    <x v="1"/>
    <x v="5"/>
    <x v="0"/>
    <n v="0.35"/>
    <x v="1"/>
    <x v="10"/>
    <x v="11"/>
    <x v="22"/>
    <x v="0"/>
    <x v="3"/>
    <x v="1"/>
    <n v="5"/>
    <n v="40029"/>
    <n v="4.0029000000000002E-2"/>
    <n v="43252"/>
    <x v="0"/>
  </r>
  <r>
    <n v="60000111"/>
    <x v="37"/>
    <x v="0"/>
    <x v="0"/>
    <x v="9"/>
    <x v="0"/>
    <n v="0.22"/>
    <x v="0"/>
    <x v="4"/>
    <x v="11"/>
    <x v="10"/>
    <x v="0"/>
    <x v="3"/>
    <x v="1"/>
    <n v="0"/>
    <n v="63650"/>
    <n v="6.3649999999999998E-2"/>
    <n v="43252"/>
    <x v="0"/>
  </r>
  <r>
    <n v="60000112"/>
    <x v="36"/>
    <x v="0"/>
    <x v="1"/>
    <x v="7"/>
    <x v="0"/>
    <n v="0.28000000000000003"/>
    <x v="3"/>
    <x v="13"/>
    <x v="1"/>
    <x v="7"/>
    <x v="0"/>
    <x v="3"/>
    <x v="0"/>
    <n v="0"/>
    <n v="78866"/>
    <n v="7.8866000000000006E-2"/>
    <n v="43252"/>
    <x v="0"/>
  </r>
  <r>
    <n v="60000113"/>
    <x v="42"/>
    <x v="1"/>
    <x v="1"/>
    <x v="5"/>
    <x v="0"/>
    <n v="0.25"/>
    <x v="3"/>
    <x v="15"/>
    <x v="8"/>
    <x v="10"/>
    <x v="0"/>
    <x v="3"/>
    <x v="1"/>
    <n v="3"/>
    <n v="51138"/>
    <n v="5.1138000000000003E-2"/>
    <n v="43252"/>
    <x v="0"/>
  </r>
  <r>
    <n v="60000114"/>
    <x v="19"/>
    <x v="1"/>
    <x v="0"/>
    <x v="2"/>
    <x v="0"/>
    <n v="0.19"/>
    <x v="0"/>
    <x v="3"/>
    <x v="11"/>
    <x v="1"/>
    <x v="0"/>
    <x v="3"/>
    <x v="1"/>
    <n v="6"/>
    <n v="66491"/>
    <n v="6.6490999999999995E-2"/>
    <n v="43252"/>
    <x v="0"/>
  </r>
  <r>
    <n v="60000115"/>
    <x v="10"/>
    <x v="1"/>
    <x v="0"/>
    <x v="10"/>
    <x v="0"/>
    <n v="0.17"/>
    <x v="2"/>
    <x v="8"/>
    <x v="8"/>
    <x v="38"/>
    <x v="0"/>
    <x v="3"/>
    <x v="1"/>
    <n v="3"/>
    <n v="48516"/>
    <n v="4.8515999999999997E-2"/>
    <n v="43252"/>
    <x v="0"/>
  </r>
  <r>
    <n v="60000116"/>
    <x v="43"/>
    <x v="0"/>
    <x v="1"/>
    <x v="1"/>
    <x v="0"/>
    <n v="0.23"/>
    <x v="0"/>
    <x v="10"/>
    <x v="10"/>
    <x v="31"/>
    <x v="0"/>
    <x v="3"/>
    <x v="0"/>
    <n v="0"/>
    <n v="58625"/>
    <n v="5.8624999999999997E-2"/>
    <n v="43252"/>
    <x v="0"/>
  </r>
  <r>
    <n v="60000117"/>
    <x v="2"/>
    <x v="1"/>
    <x v="0"/>
    <x v="6"/>
    <x v="0"/>
    <n v="0.2"/>
    <x v="0"/>
    <x v="4"/>
    <x v="7"/>
    <x v="31"/>
    <x v="0"/>
    <x v="3"/>
    <x v="1"/>
    <n v="1"/>
    <n v="35181"/>
    <n v="3.5180999999999997E-2"/>
    <n v="43252"/>
    <x v="0"/>
  </r>
  <r>
    <n v="60000118"/>
    <x v="23"/>
    <x v="0"/>
    <x v="0"/>
    <x v="8"/>
    <x v="0"/>
    <n v="0.28000000000000003"/>
    <x v="3"/>
    <x v="11"/>
    <x v="5"/>
    <x v="3"/>
    <x v="0"/>
    <x v="3"/>
    <x v="0"/>
    <n v="0"/>
    <n v="30585"/>
    <n v="3.0585000000000001E-2"/>
    <n v="43252"/>
    <x v="0"/>
  </r>
  <r>
    <n v="60000119"/>
    <x v="8"/>
    <x v="0"/>
    <x v="1"/>
    <x v="11"/>
    <x v="0"/>
    <n v="0.37"/>
    <x v="1"/>
    <x v="2"/>
    <x v="7"/>
    <x v="43"/>
    <x v="0"/>
    <x v="3"/>
    <x v="0"/>
    <n v="0"/>
    <n v="52519"/>
    <n v="5.2519000000000003E-2"/>
    <n v="43252"/>
    <x v="0"/>
  </r>
  <r>
    <n v="60000120"/>
    <x v="13"/>
    <x v="0"/>
    <x v="0"/>
    <x v="7"/>
    <x v="0"/>
    <n v="0.37"/>
    <x v="1"/>
    <x v="6"/>
    <x v="7"/>
    <x v="15"/>
    <x v="0"/>
    <x v="3"/>
    <x v="0"/>
    <n v="0"/>
    <n v="33470"/>
    <n v="3.347E-2"/>
    <n v="43252"/>
    <x v="0"/>
  </r>
  <r>
    <n v="60000121"/>
    <x v="24"/>
    <x v="0"/>
    <x v="0"/>
    <x v="9"/>
    <x v="0"/>
    <n v="0.2"/>
    <x v="0"/>
    <x v="3"/>
    <x v="6"/>
    <x v="18"/>
    <x v="0"/>
    <x v="3"/>
    <x v="0"/>
    <n v="0"/>
    <n v="35876"/>
    <n v="3.5875999999999998E-2"/>
    <n v="43252"/>
    <x v="0"/>
  </r>
  <r>
    <n v="60000122"/>
    <x v="40"/>
    <x v="1"/>
    <x v="1"/>
    <x v="9"/>
    <x v="0"/>
    <n v="0.1"/>
    <x v="4"/>
    <x v="5"/>
    <x v="4"/>
    <x v="44"/>
    <x v="0"/>
    <x v="3"/>
    <x v="0"/>
    <n v="0"/>
    <n v="27806"/>
    <n v="2.7806000000000001E-2"/>
    <n v="43252"/>
    <x v="0"/>
  </r>
  <r>
    <n v="60000123"/>
    <x v="36"/>
    <x v="1"/>
    <x v="0"/>
    <x v="11"/>
    <x v="0"/>
    <n v="0.21"/>
    <x v="0"/>
    <x v="8"/>
    <x v="11"/>
    <x v="37"/>
    <x v="0"/>
    <x v="3"/>
    <x v="1"/>
    <n v="7"/>
    <n v="63422"/>
    <n v="6.3422000000000006E-2"/>
    <n v="43252"/>
    <x v="0"/>
  </r>
  <r>
    <n v="60000124"/>
    <x v="3"/>
    <x v="1"/>
    <x v="0"/>
    <x v="3"/>
    <x v="0"/>
    <n v="0.21"/>
    <x v="0"/>
    <x v="3"/>
    <x v="5"/>
    <x v="45"/>
    <x v="0"/>
    <x v="3"/>
    <x v="1"/>
    <n v="4"/>
    <n v="52615"/>
    <n v="5.2615000000000002E-2"/>
    <n v="43252"/>
    <x v="0"/>
  </r>
  <r>
    <n v="60000125"/>
    <x v="39"/>
    <x v="1"/>
    <x v="0"/>
    <x v="0"/>
    <x v="0"/>
    <n v="0.35"/>
    <x v="1"/>
    <x v="8"/>
    <x v="3"/>
    <x v="25"/>
    <x v="0"/>
    <x v="3"/>
    <x v="0"/>
    <n v="0"/>
    <n v="77731"/>
    <n v="7.7730999999999995E-2"/>
    <n v="43252"/>
    <x v="0"/>
  </r>
  <r>
    <n v="60000126"/>
    <x v="27"/>
    <x v="1"/>
    <x v="1"/>
    <x v="2"/>
    <x v="0"/>
    <n v="0.33"/>
    <x v="1"/>
    <x v="4"/>
    <x v="7"/>
    <x v="4"/>
    <x v="0"/>
    <x v="3"/>
    <x v="0"/>
    <n v="0"/>
    <n v="58121"/>
    <n v="5.8120999999999999E-2"/>
    <n v="43252"/>
    <x v="0"/>
  </r>
  <r>
    <n v="60000127"/>
    <x v="12"/>
    <x v="1"/>
    <x v="1"/>
    <x v="2"/>
    <x v="0"/>
    <n v="0.23"/>
    <x v="0"/>
    <x v="15"/>
    <x v="0"/>
    <x v="10"/>
    <x v="0"/>
    <x v="3"/>
    <x v="1"/>
    <n v="4"/>
    <n v="48154"/>
    <n v="4.8154000000000002E-2"/>
    <n v="43252"/>
    <x v="0"/>
  </r>
  <r>
    <n v="60000128"/>
    <x v="7"/>
    <x v="0"/>
    <x v="0"/>
    <x v="10"/>
    <x v="0"/>
    <n v="0.13"/>
    <x v="2"/>
    <x v="5"/>
    <x v="10"/>
    <x v="46"/>
    <x v="0"/>
    <x v="3"/>
    <x v="1"/>
    <n v="4"/>
    <n v="30044"/>
    <n v="3.0044000000000001E-2"/>
    <n v="43252"/>
    <x v="0"/>
  </r>
  <r>
    <n v="60000129"/>
    <x v="41"/>
    <x v="1"/>
    <x v="1"/>
    <x v="1"/>
    <x v="0"/>
    <n v="0.12"/>
    <x v="2"/>
    <x v="13"/>
    <x v="1"/>
    <x v="47"/>
    <x v="0"/>
    <x v="3"/>
    <x v="1"/>
    <n v="1"/>
    <n v="70847"/>
    <n v="7.0846999999999993E-2"/>
    <n v="43252"/>
    <x v="0"/>
  </r>
  <r>
    <n v="60000130"/>
    <x v="40"/>
    <x v="0"/>
    <x v="1"/>
    <x v="10"/>
    <x v="0"/>
    <n v="0.15"/>
    <x v="2"/>
    <x v="1"/>
    <x v="7"/>
    <x v="6"/>
    <x v="0"/>
    <x v="3"/>
    <x v="1"/>
    <n v="1"/>
    <n v="73043"/>
    <n v="7.3042999999999997E-2"/>
    <n v="43252"/>
    <x v="0"/>
  </r>
  <r>
    <n v="60000131"/>
    <x v="18"/>
    <x v="1"/>
    <x v="0"/>
    <x v="11"/>
    <x v="0"/>
    <n v="0.21"/>
    <x v="0"/>
    <x v="4"/>
    <x v="2"/>
    <x v="28"/>
    <x v="0"/>
    <x v="3"/>
    <x v="0"/>
    <n v="0"/>
    <n v="31925"/>
    <n v="3.1925000000000002E-2"/>
    <n v="43252"/>
    <x v="0"/>
  </r>
  <r>
    <n v="60000132"/>
    <x v="31"/>
    <x v="1"/>
    <x v="0"/>
    <x v="0"/>
    <x v="0"/>
    <n v="0.11"/>
    <x v="4"/>
    <x v="10"/>
    <x v="12"/>
    <x v="26"/>
    <x v="0"/>
    <x v="3"/>
    <x v="0"/>
    <n v="0"/>
    <n v="75752"/>
    <n v="7.5752E-2"/>
    <n v="43252"/>
    <x v="0"/>
  </r>
  <r>
    <n v="60000133"/>
    <x v="1"/>
    <x v="1"/>
    <x v="0"/>
    <x v="1"/>
    <x v="0"/>
    <n v="0.21"/>
    <x v="0"/>
    <x v="8"/>
    <x v="9"/>
    <x v="31"/>
    <x v="0"/>
    <x v="3"/>
    <x v="0"/>
    <n v="0"/>
    <n v="24793"/>
    <n v="2.4792999999999999E-2"/>
    <n v="43252"/>
    <x v="0"/>
  </r>
  <r>
    <n v="60000134"/>
    <x v="23"/>
    <x v="0"/>
    <x v="1"/>
    <x v="3"/>
    <x v="0"/>
    <n v="0.28999999999999998"/>
    <x v="3"/>
    <x v="9"/>
    <x v="3"/>
    <x v="19"/>
    <x v="0"/>
    <x v="3"/>
    <x v="1"/>
    <n v="0"/>
    <n v="58103"/>
    <n v="5.8103000000000002E-2"/>
    <n v="43252"/>
    <x v="0"/>
  </r>
  <r>
    <n v="60000135"/>
    <x v="31"/>
    <x v="0"/>
    <x v="1"/>
    <x v="9"/>
    <x v="0"/>
    <n v="0.33"/>
    <x v="1"/>
    <x v="3"/>
    <x v="11"/>
    <x v="20"/>
    <x v="0"/>
    <x v="3"/>
    <x v="1"/>
    <n v="1"/>
    <n v="46478"/>
    <n v="4.6477999999999998E-2"/>
    <n v="43252"/>
    <x v="0"/>
  </r>
  <r>
    <n v="60000136"/>
    <x v="8"/>
    <x v="0"/>
    <x v="0"/>
    <x v="5"/>
    <x v="0"/>
    <n v="0.3"/>
    <x v="3"/>
    <x v="3"/>
    <x v="0"/>
    <x v="28"/>
    <x v="0"/>
    <x v="3"/>
    <x v="1"/>
    <n v="3"/>
    <n v="83401"/>
    <n v="8.3401000000000003E-2"/>
    <n v="43252"/>
    <x v="0"/>
  </r>
  <r>
    <n v="60000137"/>
    <x v="18"/>
    <x v="0"/>
    <x v="0"/>
    <x v="2"/>
    <x v="0"/>
    <n v="0.25"/>
    <x v="3"/>
    <x v="13"/>
    <x v="3"/>
    <x v="30"/>
    <x v="0"/>
    <x v="3"/>
    <x v="0"/>
    <n v="0"/>
    <n v="61812"/>
    <n v="6.1811999999999999E-2"/>
    <n v="43252"/>
    <x v="0"/>
  </r>
  <r>
    <n v="60000138"/>
    <x v="23"/>
    <x v="0"/>
    <x v="0"/>
    <x v="3"/>
    <x v="0"/>
    <n v="0.33"/>
    <x v="1"/>
    <x v="0"/>
    <x v="6"/>
    <x v="41"/>
    <x v="0"/>
    <x v="3"/>
    <x v="0"/>
    <n v="0"/>
    <n v="58973"/>
    <n v="5.8972999999999998E-2"/>
    <n v="43252"/>
    <x v="0"/>
  </r>
  <r>
    <n v="60000139"/>
    <x v="10"/>
    <x v="0"/>
    <x v="1"/>
    <x v="6"/>
    <x v="0"/>
    <n v="0.23"/>
    <x v="0"/>
    <x v="11"/>
    <x v="5"/>
    <x v="34"/>
    <x v="0"/>
    <x v="3"/>
    <x v="0"/>
    <n v="0"/>
    <n v="36477"/>
    <n v="3.6477000000000002E-2"/>
    <n v="43252"/>
    <x v="0"/>
  </r>
  <r>
    <n v="60000140"/>
    <x v="1"/>
    <x v="1"/>
    <x v="1"/>
    <x v="9"/>
    <x v="0"/>
    <n v="0.33"/>
    <x v="1"/>
    <x v="1"/>
    <x v="7"/>
    <x v="39"/>
    <x v="0"/>
    <x v="3"/>
    <x v="1"/>
    <n v="4"/>
    <n v="33098"/>
    <n v="3.3098000000000002E-2"/>
    <n v="43252"/>
    <x v="0"/>
  </r>
  <r>
    <n v="60000141"/>
    <x v="18"/>
    <x v="0"/>
    <x v="1"/>
    <x v="1"/>
    <x v="0"/>
    <n v="0.12"/>
    <x v="2"/>
    <x v="0"/>
    <x v="12"/>
    <x v="44"/>
    <x v="0"/>
    <x v="3"/>
    <x v="1"/>
    <n v="0"/>
    <n v="71611"/>
    <n v="7.1610999999999994E-2"/>
    <n v="43252"/>
    <x v="0"/>
  </r>
  <r>
    <n v="60000142"/>
    <x v="16"/>
    <x v="1"/>
    <x v="1"/>
    <x v="0"/>
    <x v="0"/>
    <n v="0.38"/>
    <x v="1"/>
    <x v="10"/>
    <x v="12"/>
    <x v="43"/>
    <x v="0"/>
    <x v="3"/>
    <x v="0"/>
    <n v="0"/>
    <n v="29276"/>
    <n v="2.9276E-2"/>
    <n v="43252"/>
    <x v="0"/>
  </r>
  <r>
    <n v="60000143"/>
    <x v="34"/>
    <x v="0"/>
    <x v="1"/>
    <x v="0"/>
    <x v="0"/>
    <n v="0.35"/>
    <x v="1"/>
    <x v="7"/>
    <x v="0"/>
    <x v="14"/>
    <x v="0"/>
    <x v="3"/>
    <x v="1"/>
    <n v="2"/>
    <n v="26313"/>
    <n v="2.6313E-2"/>
    <n v="43252"/>
    <x v="0"/>
  </r>
  <r>
    <n v="60000144"/>
    <x v="37"/>
    <x v="1"/>
    <x v="0"/>
    <x v="8"/>
    <x v="0"/>
    <n v="0.15"/>
    <x v="2"/>
    <x v="4"/>
    <x v="2"/>
    <x v="35"/>
    <x v="0"/>
    <x v="3"/>
    <x v="0"/>
    <n v="0"/>
    <n v="35278"/>
    <n v="3.5277999999999997E-2"/>
    <n v="43252"/>
    <x v="0"/>
  </r>
  <r>
    <n v="60000145"/>
    <x v="40"/>
    <x v="1"/>
    <x v="0"/>
    <x v="1"/>
    <x v="0"/>
    <n v="0.16"/>
    <x v="2"/>
    <x v="10"/>
    <x v="11"/>
    <x v="14"/>
    <x v="0"/>
    <x v="3"/>
    <x v="1"/>
    <n v="2"/>
    <n v="72189"/>
    <n v="7.2189000000000003E-2"/>
    <n v="43252"/>
    <x v="0"/>
  </r>
  <r>
    <n v="60000146"/>
    <x v="44"/>
    <x v="0"/>
    <x v="1"/>
    <x v="1"/>
    <x v="0"/>
    <n v="0.19"/>
    <x v="0"/>
    <x v="5"/>
    <x v="6"/>
    <x v="40"/>
    <x v="0"/>
    <x v="3"/>
    <x v="0"/>
    <n v="0"/>
    <n v="47169"/>
    <n v="4.7169000000000003E-2"/>
    <n v="43252"/>
    <x v="0"/>
  </r>
  <r>
    <n v="60000147"/>
    <x v="16"/>
    <x v="1"/>
    <x v="0"/>
    <x v="7"/>
    <x v="0"/>
    <n v="0.37"/>
    <x v="1"/>
    <x v="15"/>
    <x v="12"/>
    <x v="33"/>
    <x v="0"/>
    <x v="3"/>
    <x v="0"/>
    <n v="0"/>
    <n v="33136"/>
    <n v="3.3135999999999999E-2"/>
    <n v="43252"/>
    <x v="0"/>
  </r>
  <r>
    <n v="60000148"/>
    <x v="20"/>
    <x v="0"/>
    <x v="1"/>
    <x v="1"/>
    <x v="0"/>
    <n v="0.18"/>
    <x v="2"/>
    <x v="4"/>
    <x v="4"/>
    <x v="25"/>
    <x v="0"/>
    <x v="3"/>
    <x v="1"/>
    <n v="7"/>
    <n v="60885"/>
    <n v="6.0885000000000002E-2"/>
    <n v="43252"/>
    <x v="0"/>
  </r>
  <r>
    <n v="60000149"/>
    <x v="36"/>
    <x v="0"/>
    <x v="0"/>
    <x v="11"/>
    <x v="0"/>
    <n v="0.2"/>
    <x v="0"/>
    <x v="8"/>
    <x v="2"/>
    <x v="33"/>
    <x v="0"/>
    <x v="3"/>
    <x v="1"/>
    <n v="2"/>
    <n v="74807"/>
    <n v="7.4806999999999998E-2"/>
    <n v="43252"/>
    <x v="0"/>
  </r>
  <r>
    <n v="60000150"/>
    <x v="33"/>
    <x v="1"/>
    <x v="1"/>
    <x v="1"/>
    <x v="0"/>
    <n v="0.1"/>
    <x v="4"/>
    <x v="10"/>
    <x v="7"/>
    <x v="0"/>
    <x v="0"/>
    <x v="3"/>
    <x v="1"/>
    <n v="5"/>
    <n v="60944"/>
    <n v="6.0943999999999998E-2"/>
    <n v="43252"/>
    <x v="0"/>
  </r>
  <r>
    <n v="60000151"/>
    <x v="10"/>
    <x v="0"/>
    <x v="0"/>
    <x v="9"/>
    <x v="0"/>
    <n v="0.23"/>
    <x v="0"/>
    <x v="5"/>
    <x v="12"/>
    <x v="48"/>
    <x v="0"/>
    <x v="3"/>
    <x v="0"/>
    <n v="0"/>
    <n v="58918"/>
    <n v="5.8917999999999998E-2"/>
    <n v="43252"/>
    <x v="0"/>
  </r>
  <r>
    <n v="60000152"/>
    <x v="0"/>
    <x v="0"/>
    <x v="0"/>
    <x v="9"/>
    <x v="0"/>
    <n v="0.35"/>
    <x v="1"/>
    <x v="9"/>
    <x v="8"/>
    <x v="15"/>
    <x v="0"/>
    <x v="3"/>
    <x v="0"/>
    <n v="0"/>
    <n v="37923"/>
    <n v="3.7922999999999998E-2"/>
    <n v="43252"/>
    <x v="0"/>
  </r>
  <r>
    <n v="60000153"/>
    <x v="2"/>
    <x v="1"/>
    <x v="0"/>
    <x v="2"/>
    <x v="0"/>
    <n v="0.36"/>
    <x v="1"/>
    <x v="14"/>
    <x v="1"/>
    <x v="7"/>
    <x v="0"/>
    <x v="3"/>
    <x v="0"/>
    <n v="0"/>
    <n v="75896"/>
    <n v="7.5896000000000005E-2"/>
    <n v="43252"/>
    <x v="0"/>
  </r>
  <r>
    <n v="60000154"/>
    <x v="13"/>
    <x v="1"/>
    <x v="0"/>
    <x v="2"/>
    <x v="0"/>
    <n v="0.16"/>
    <x v="2"/>
    <x v="6"/>
    <x v="1"/>
    <x v="17"/>
    <x v="0"/>
    <x v="3"/>
    <x v="0"/>
    <n v="0"/>
    <n v="39248"/>
    <n v="3.9247999999999998E-2"/>
    <n v="43252"/>
    <x v="0"/>
  </r>
  <r>
    <n v="60000155"/>
    <x v="6"/>
    <x v="1"/>
    <x v="1"/>
    <x v="10"/>
    <x v="0"/>
    <n v="0.32"/>
    <x v="1"/>
    <x v="15"/>
    <x v="6"/>
    <x v="1"/>
    <x v="0"/>
    <x v="3"/>
    <x v="1"/>
    <n v="2"/>
    <n v="61793"/>
    <n v="6.1793000000000001E-2"/>
    <n v="43252"/>
    <x v="0"/>
  </r>
  <r>
    <n v="60000156"/>
    <x v="1"/>
    <x v="1"/>
    <x v="1"/>
    <x v="11"/>
    <x v="0"/>
    <n v="0.35"/>
    <x v="1"/>
    <x v="14"/>
    <x v="10"/>
    <x v="32"/>
    <x v="0"/>
    <x v="3"/>
    <x v="0"/>
    <n v="0"/>
    <n v="84062"/>
    <n v="8.4061999999999998E-2"/>
    <n v="43252"/>
    <x v="0"/>
  </r>
  <r>
    <n v="60000157"/>
    <x v="43"/>
    <x v="1"/>
    <x v="1"/>
    <x v="2"/>
    <x v="0"/>
    <n v="0.11"/>
    <x v="4"/>
    <x v="13"/>
    <x v="6"/>
    <x v="38"/>
    <x v="0"/>
    <x v="3"/>
    <x v="1"/>
    <n v="6"/>
    <n v="50759"/>
    <n v="5.0758999999999999E-2"/>
    <n v="43252"/>
    <x v="0"/>
  </r>
  <r>
    <n v="60000158"/>
    <x v="13"/>
    <x v="1"/>
    <x v="0"/>
    <x v="8"/>
    <x v="0"/>
    <n v="0.31"/>
    <x v="3"/>
    <x v="2"/>
    <x v="4"/>
    <x v="38"/>
    <x v="0"/>
    <x v="3"/>
    <x v="1"/>
    <n v="6"/>
    <n v="29568"/>
    <n v="2.9568000000000001E-2"/>
    <n v="43252"/>
    <x v="0"/>
  </r>
  <r>
    <n v="60000159"/>
    <x v="27"/>
    <x v="0"/>
    <x v="1"/>
    <x v="6"/>
    <x v="0"/>
    <n v="0.27"/>
    <x v="3"/>
    <x v="4"/>
    <x v="7"/>
    <x v="47"/>
    <x v="0"/>
    <x v="3"/>
    <x v="1"/>
    <n v="3"/>
    <n v="71682"/>
    <n v="7.1681999999999996E-2"/>
    <n v="43252"/>
    <x v="0"/>
  </r>
  <r>
    <n v="60000160"/>
    <x v="33"/>
    <x v="1"/>
    <x v="1"/>
    <x v="7"/>
    <x v="0"/>
    <n v="0.19"/>
    <x v="0"/>
    <x v="6"/>
    <x v="12"/>
    <x v="40"/>
    <x v="0"/>
    <x v="3"/>
    <x v="0"/>
    <n v="0"/>
    <n v="70908"/>
    <n v="7.0907999999999999E-2"/>
    <n v="43252"/>
    <x v="0"/>
  </r>
  <r>
    <n v="60000161"/>
    <x v="6"/>
    <x v="1"/>
    <x v="0"/>
    <x v="5"/>
    <x v="0"/>
    <n v="0.27"/>
    <x v="3"/>
    <x v="5"/>
    <x v="12"/>
    <x v="12"/>
    <x v="0"/>
    <x v="3"/>
    <x v="1"/>
    <n v="4"/>
    <n v="62729"/>
    <n v="6.2728999999999993E-2"/>
    <n v="43252"/>
    <x v="0"/>
  </r>
  <r>
    <n v="60000162"/>
    <x v="45"/>
    <x v="0"/>
    <x v="0"/>
    <x v="6"/>
    <x v="0"/>
    <n v="0.21"/>
    <x v="0"/>
    <x v="1"/>
    <x v="12"/>
    <x v="45"/>
    <x v="0"/>
    <x v="3"/>
    <x v="1"/>
    <n v="5"/>
    <n v="51872"/>
    <n v="5.1872000000000001E-2"/>
    <n v="43252"/>
    <x v="0"/>
  </r>
  <r>
    <n v="60000163"/>
    <x v="13"/>
    <x v="0"/>
    <x v="0"/>
    <x v="0"/>
    <x v="0"/>
    <n v="0.37"/>
    <x v="1"/>
    <x v="3"/>
    <x v="3"/>
    <x v="48"/>
    <x v="0"/>
    <x v="3"/>
    <x v="0"/>
    <n v="0"/>
    <n v="41202"/>
    <n v="4.1202000000000003E-2"/>
    <n v="43252"/>
    <x v="0"/>
  </r>
  <r>
    <n v="60000164"/>
    <x v="12"/>
    <x v="1"/>
    <x v="1"/>
    <x v="10"/>
    <x v="0"/>
    <n v="0.33"/>
    <x v="1"/>
    <x v="7"/>
    <x v="4"/>
    <x v="24"/>
    <x v="0"/>
    <x v="3"/>
    <x v="1"/>
    <n v="6"/>
    <n v="54180"/>
    <n v="5.4179999999999999E-2"/>
    <n v="43252"/>
    <x v="0"/>
  </r>
  <r>
    <n v="60000165"/>
    <x v="17"/>
    <x v="1"/>
    <x v="0"/>
    <x v="7"/>
    <x v="0"/>
    <n v="0.12"/>
    <x v="2"/>
    <x v="11"/>
    <x v="8"/>
    <x v="47"/>
    <x v="0"/>
    <x v="3"/>
    <x v="1"/>
    <n v="6"/>
    <n v="59795"/>
    <n v="5.9795000000000001E-2"/>
    <n v="43252"/>
    <x v="0"/>
  </r>
  <r>
    <n v="60000166"/>
    <x v="5"/>
    <x v="1"/>
    <x v="0"/>
    <x v="9"/>
    <x v="0"/>
    <n v="0.37"/>
    <x v="1"/>
    <x v="3"/>
    <x v="11"/>
    <x v="19"/>
    <x v="0"/>
    <x v="3"/>
    <x v="0"/>
    <n v="0"/>
    <n v="26722"/>
    <n v="2.6721999999999999E-2"/>
    <n v="43252"/>
    <x v="0"/>
  </r>
  <r>
    <n v="60000167"/>
    <x v="36"/>
    <x v="1"/>
    <x v="0"/>
    <x v="0"/>
    <x v="0"/>
    <n v="0.36"/>
    <x v="1"/>
    <x v="13"/>
    <x v="7"/>
    <x v="4"/>
    <x v="0"/>
    <x v="3"/>
    <x v="1"/>
    <n v="0"/>
    <n v="39648"/>
    <n v="3.9648000000000003E-2"/>
    <n v="43252"/>
    <x v="0"/>
  </r>
  <r>
    <n v="60000168"/>
    <x v="30"/>
    <x v="1"/>
    <x v="1"/>
    <x v="1"/>
    <x v="0"/>
    <n v="0.35"/>
    <x v="1"/>
    <x v="11"/>
    <x v="4"/>
    <x v="30"/>
    <x v="0"/>
    <x v="3"/>
    <x v="1"/>
    <n v="5"/>
    <n v="63995"/>
    <n v="6.3994999999999996E-2"/>
    <n v="43252"/>
    <x v="0"/>
  </r>
  <r>
    <n v="60000169"/>
    <x v="32"/>
    <x v="1"/>
    <x v="1"/>
    <x v="5"/>
    <x v="0"/>
    <n v="0.25"/>
    <x v="3"/>
    <x v="7"/>
    <x v="7"/>
    <x v="26"/>
    <x v="0"/>
    <x v="3"/>
    <x v="1"/>
    <n v="5"/>
    <n v="76037"/>
    <n v="7.6036999999999993E-2"/>
    <n v="43252"/>
    <x v="0"/>
  </r>
  <r>
    <n v="60000170"/>
    <x v="23"/>
    <x v="0"/>
    <x v="1"/>
    <x v="4"/>
    <x v="0"/>
    <n v="0.17"/>
    <x v="2"/>
    <x v="3"/>
    <x v="1"/>
    <x v="4"/>
    <x v="0"/>
    <x v="3"/>
    <x v="0"/>
    <n v="0"/>
    <n v="56856"/>
    <n v="5.6855999999999997E-2"/>
    <n v="43252"/>
    <x v="0"/>
  </r>
  <r>
    <n v="60000171"/>
    <x v="39"/>
    <x v="0"/>
    <x v="0"/>
    <x v="10"/>
    <x v="0"/>
    <n v="0.33"/>
    <x v="1"/>
    <x v="8"/>
    <x v="2"/>
    <x v="48"/>
    <x v="0"/>
    <x v="3"/>
    <x v="0"/>
    <n v="0"/>
    <n v="60704"/>
    <n v="6.0704000000000001E-2"/>
    <n v="43252"/>
    <x v="0"/>
  </r>
  <r>
    <n v="60000172"/>
    <x v="18"/>
    <x v="1"/>
    <x v="0"/>
    <x v="3"/>
    <x v="0"/>
    <n v="0.25"/>
    <x v="3"/>
    <x v="0"/>
    <x v="0"/>
    <x v="41"/>
    <x v="0"/>
    <x v="3"/>
    <x v="0"/>
    <n v="0"/>
    <n v="50080"/>
    <n v="5.008E-2"/>
    <n v="43252"/>
    <x v="0"/>
  </r>
  <r>
    <n v="60000173"/>
    <x v="19"/>
    <x v="1"/>
    <x v="0"/>
    <x v="7"/>
    <x v="0"/>
    <n v="0.21"/>
    <x v="0"/>
    <x v="10"/>
    <x v="6"/>
    <x v="7"/>
    <x v="0"/>
    <x v="3"/>
    <x v="0"/>
    <n v="0"/>
    <n v="26389"/>
    <n v="2.6388999999999999E-2"/>
    <n v="43252"/>
    <x v="0"/>
  </r>
  <r>
    <n v="60000174"/>
    <x v="26"/>
    <x v="1"/>
    <x v="0"/>
    <x v="3"/>
    <x v="0"/>
    <n v="0.25"/>
    <x v="3"/>
    <x v="14"/>
    <x v="1"/>
    <x v="21"/>
    <x v="0"/>
    <x v="3"/>
    <x v="0"/>
    <n v="0"/>
    <n v="29057"/>
    <n v="2.9056999999999999E-2"/>
    <n v="43252"/>
    <x v="0"/>
  </r>
  <r>
    <n v="60000175"/>
    <x v="30"/>
    <x v="1"/>
    <x v="1"/>
    <x v="2"/>
    <x v="0"/>
    <n v="0.14000000000000001"/>
    <x v="2"/>
    <x v="1"/>
    <x v="6"/>
    <x v="22"/>
    <x v="0"/>
    <x v="3"/>
    <x v="1"/>
    <n v="6"/>
    <n v="33747"/>
    <n v="3.3746999999999999E-2"/>
    <n v="43252"/>
    <x v="0"/>
  </r>
  <r>
    <n v="60000176"/>
    <x v="39"/>
    <x v="1"/>
    <x v="1"/>
    <x v="8"/>
    <x v="0"/>
    <n v="0.27"/>
    <x v="3"/>
    <x v="5"/>
    <x v="8"/>
    <x v="2"/>
    <x v="0"/>
    <x v="3"/>
    <x v="1"/>
    <n v="2"/>
    <n v="39675"/>
    <n v="3.9675000000000002E-2"/>
    <n v="43252"/>
    <x v="0"/>
  </r>
  <r>
    <n v="60000177"/>
    <x v="9"/>
    <x v="0"/>
    <x v="0"/>
    <x v="4"/>
    <x v="0"/>
    <n v="0.34"/>
    <x v="1"/>
    <x v="10"/>
    <x v="7"/>
    <x v="20"/>
    <x v="0"/>
    <x v="3"/>
    <x v="1"/>
    <n v="3"/>
    <n v="32052"/>
    <n v="3.2051999999999997E-2"/>
    <n v="43252"/>
    <x v="0"/>
  </r>
  <r>
    <n v="60000178"/>
    <x v="9"/>
    <x v="1"/>
    <x v="1"/>
    <x v="1"/>
    <x v="0"/>
    <n v="0.31"/>
    <x v="3"/>
    <x v="14"/>
    <x v="2"/>
    <x v="17"/>
    <x v="0"/>
    <x v="3"/>
    <x v="1"/>
    <n v="6"/>
    <n v="84649"/>
    <n v="8.4649000000000002E-2"/>
    <n v="43252"/>
    <x v="0"/>
  </r>
  <r>
    <n v="60000179"/>
    <x v="39"/>
    <x v="0"/>
    <x v="1"/>
    <x v="11"/>
    <x v="0"/>
    <n v="0.27"/>
    <x v="3"/>
    <x v="6"/>
    <x v="12"/>
    <x v="47"/>
    <x v="0"/>
    <x v="3"/>
    <x v="0"/>
    <n v="0"/>
    <n v="54095"/>
    <n v="5.4094999999999997E-2"/>
    <n v="43252"/>
    <x v="0"/>
  </r>
  <r>
    <n v="60000180"/>
    <x v="7"/>
    <x v="0"/>
    <x v="1"/>
    <x v="11"/>
    <x v="0"/>
    <n v="0.33"/>
    <x v="1"/>
    <x v="14"/>
    <x v="1"/>
    <x v="43"/>
    <x v="0"/>
    <x v="3"/>
    <x v="1"/>
    <n v="1"/>
    <n v="77038"/>
    <n v="7.7037999999999995E-2"/>
    <n v="43252"/>
    <x v="0"/>
  </r>
  <r>
    <n v="60000181"/>
    <x v="17"/>
    <x v="1"/>
    <x v="0"/>
    <x v="0"/>
    <x v="0"/>
    <n v="0.12"/>
    <x v="2"/>
    <x v="14"/>
    <x v="0"/>
    <x v="35"/>
    <x v="0"/>
    <x v="3"/>
    <x v="0"/>
    <n v="0"/>
    <n v="51058"/>
    <n v="5.1057999999999999E-2"/>
    <n v="43252"/>
    <x v="0"/>
  </r>
  <r>
    <n v="60000182"/>
    <x v="21"/>
    <x v="0"/>
    <x v="1"/>
    <x v="11"/>
    <x v="0"/>
    <n v="0.11"/>
    <x v="4"/>
    <x v="15"/>
    <x v="0"/>
    <x v="43"/>
    <x v="0"/>
    <x v="3"/>
    <x v="0"/>
    <n v="0"/>
    <n v="84183"/>
    <n v="8.4182999999999994E-2"/>
    <n v="43252"/>
    <x v="0"/>
  </r>
  <r>
    <n v="60000183"/>
    <x v="4"/>
    <x v="0"/>
    <x v="0"/>
    <x v="3"/>
    <x v="0"/>
    <n v="0.33"/>
    <x v="1"/>
    <x v="0"/>
    <x v="12"/>
    <x v="35"/>
    <x v="0"/>
    <x v="3"/>
    <x v="0"/>
    <n v="0"/>
    <n v="48307"/>
    <n v="4.8307000000000003E-2"/>
    <n v="43252"/>
    <x v="0"/>
  </r>
  <r>
    <n v="60000184"/>
    <x v="41"/>
    <x v="1"/>
    <x v="0"/>
    <x v="8"/>
    <x v="0"/>
    <n v="0.25"/>
    <x v="3"/>
    <x v="7"/>
    <x v="4"/>
    <x v="10"/>
    <x v="0"/>
    <x v="3"/>
    <x v="1"/>
    <n v="1"/>
    <n v="26567"/>
    <n v="2.6567E-2"/>
    <n v="43252"/>
    <x v="0"/>
  </r>
  <r>
    <n v="60000185"/>
    <x v="44"/>
    <x v="1"/>
    <x v="1"/>
    <x v="7"/>
    <x v="0"/>
    <n v="0.37"/>
    <x v="1"/>
    <x v="7"/>
    <x v="12"/>
    <x v="1"/>
    <x v="0"/>
    <x v="3"/>
    <x v="1"/>
    <n v="0"/>
    <n v="60974"/>
    <n v="6.0974E-2"/>
    <n v="43252"/>
    <x v="0"/>
  </r>
  <r>
    <n v="60000186"/>
    <x v="1"/>
    <x v="1"/>
    <x v="0"/>
    <x v="2"/>
    <x v="0"/>
    <n v="0.16"/>
    <x v="2"/>
    <x v="6"/>
    <x v="4"/>
    <x v="8"/>
    <x v="0"/>
    <x v="3"/>
    <x v="1"/>
    <n v="2"/>
    <n v="42439"/>
    <n v="4.2438999999999998E-2"/>
    <n v="43252"/>
    <x v="0"/>
  </r>
  <r>
    <n v="60000187"/>
    <x v="26"/>
    <x v="1"/>
    <x v="0"/>
    <x v="1"/>
    <x v="0"/>
    <n v="0.38"/>
    <x v="1"/>
    <x v="12"/>
    <x v="7"/>
    <x v="44"/>
    <x v="0"/>
    <x v="3"/>
    <x v="0"/>
    <n v="0"/>
    <n v="55285"/>
    <n v="5.5285000000000001E-2"/>
    <n v="43252"/>
    <x v="0"/>
  </r>
  <r>
    <n v="60000188"/>
    <x v="10"/>
    <x v="1"/>
    <x v="1"/>
    <x v="1"/>
    <x v="0"/>
    <n v="0.17"/>
    <x v="2"/>
    <x v="5"/>
    <x v="4"/>
    <x v="13"/>
    <x v="0"/>
    <x v="3"/>
    <x v="1"/>
    <n v="4"/>
    <n v="53544"/>
    <n v="5.3544000000000001E-2"/>
    <n v="43252"/>
    <x v="0"/>
  </r>
  <r>
    <n v="60000189"/>
    <x v="35"/>
    <x v="1"/>
    <x v="0"/>
    <x v="0"/>
    <x v="0"/>
    <n v="0.26"/>
    <x v="3"/>
    <x v="11"/>
    <x v="1"/>
    <x v="36"/>
    <x v="0"/>
    <x v="3"/>
    <x v="1"/>
    <n v="7"/>
    <n v="73705"/>
    <n v="7.3705000000000007E-2"/>
    <n v="43252"/>
    <x v="0"/>
  </r>
  <r>
    <n v="60000190"/>
    <x v="15"/>
    <x v="0"/>
    <x v="1"/>
    <x v="10"/>
    <x v="0"/>
    <n v="0.19"/>
    <x v="0"/>
    <x v="5"/>
    <x v="0"/>
    <x v="30"/>
    <x v="0"/>
    <x v="3"/>
    <x v="0"/>
    <n v="0"/>
    <n v="45558"/>
    <n v="4.5558000000000001E-2"/>
    <n v="43252"/>
    <x v="0"/>
  </r>
  <r>
    <n v="60000191"/>
    <x v="23"/>
    <x v="1"/>
    <x v="0"/>
    <x v="10"/>
    <x v="0"/>
    <n v="0.22"/>
    <x v="0"/>
    <x v="7"/>
    <x v="6"/>
    <x v="13"/>
    <x v="0"/>
    <x v="3"/>
    <x v="0"/>
    <n v="0"/>
    <n v="52826"/>
    <n v="5.2825999999999998E-2"/>
    <n v="43252"/>
    <x v="0"/>
  </r>
  <r>
    <n v="60000192"/>
    <x v="44"/>
    <x v="0"/>
    <x v="0"/>
    <x v="5"/>
    <x v="0"/>
    <n v="0.23"/>
    <x v="0"/>
    <x v="9"/>
    <x v="6"/>
    <x v="23"/>
    <x v="0"/>
    <x v="3"/>
    <x v="1"/>
    <n v="1"/>
    <n v="82293"/>
    <n v="8.2293000000000005E-2"/>
    <n v="43252"/>
    <x v="0"/>
  </r>
  <r>
    <n v="60000193"/>
    <x v="30"/>
    <x v="1"/>
    <x v="1"/>
    <x v="3"/>
    <x v="0"/>
    <n v="0.21"/>
    <x v="0"/>
    <x v="2"/>
    <x v="0"/>
    <x v="26"/>
    <x v="0"/>
    <x v="3"/>
    <x v="0"/>
    <n v="0"/>
    <n v="40443"/>
    <n v="4.0443E-2"/>
    <n v="43252"/>
    <x v="0"/>
  </r>
  <r>
    <n v="60000194"/>
    <x v="30"/>
    <x v="0"/>
    <x v="0"/>
    <x v="3"/>
    <x v="0"/>
    <n v="0.18"/>
    <x v="2"/>
    <x v="14"/>
    <x v="2"/>
    <x v="36"/>
    <x v="0"/>
    <x v="3"/>
    <x v="0"/>
    <n v="0"/>
    <n v="43835"/>
    <n v="4.3834999999999999E-2"/>
    <n v="43252"/>
    <x v="0"/>
  </r>
  <r>
    <n v="60000195"/>
    <x v="32"/>
    <x v="1"/>
    <x v="0"/>
    <x v="3"/>
    <x v="0"/>
    <n v="0.3"/>
    <x v="3"/>
    <x v="15"/>
    <x v="6"/>
    <x v="13"/>
    <x v="0"/>
    <x v="3"/>
    <x v="1"/>
    <n v="3"/>
    <n v="49676"/>
    <n v="4.9675999999999998E-2"/>
    <n v="43252"/>
    <x v="0"/>
  </r>
  <r>
    <n v="60000196"/>
    <x v="45"/>
    <x v="1"/>
    <x v="0"/>
    <x v="4"/>
    <x v="0"/>
    <n v="0.16"/>
    <x v="2"/>
    <x v="0"/>
    <x v="9"/>
    <x v="38"/>
    <x v="0"/>
    <x v="3"/>
    <x v="0"/>
    <n v="0"/>
    <n v="58756"/>
    <n v="5.8756000000000003E-2"/>
    <n v="43252"/>
    <x v="0"/>
  </r>
  <r>
    <n v="60000197"/>
    <x v="19"/>
    <x v="1"/>
    <x v="0"/>
    <x v="0"/>
    <x v="0"/>
    <n v="0.22"/>
    <x v="0"/>
    <x v="6"/>
    <x v="0"/>
    <x v="40"/>
    <x v="0"/>
    <x v="3"/>
    <x v="0"/>
    <n v="0"/>
    <n v="44749"/>
    <n v="4.4748999999999997E-2"/>
    <n v="43252"/>
    <x v="0"/>
  </r>
  <r>
    <n v="60000198"/>
    <x v="12"/>
    <x v="0"/>
    <x v="0"/>
    <x v="8"/>
    <x v="0"/>
    <n v="0.3"/>
    <x v="3"/>
    <x v="5"/>
    <x v="5"/>
    <x v="3"/>
    <x v="0"/>
    <x v="3"/>
    <x v="1"/>
    <n v="0"/>
    <n v="51884"/>
    <n v="5.1884E-2"/>
    <n v="43252"/>
    <x v="0"/>
  </r>
  <r>
    <n v="60000199"/>
    <x v="15"/>
    <x v="0"/>
    <x v="0"/>
    <x v="4"/>
    <x v="0"/>
    <n v="0.33"/>
    <x v="1"/>
    <x v="4"/>
    <x v="3"/>
    <x v="9"/>
    <x v="0"/>
    <x v="3"/>
    <x v="0"/>
    <n v="0"/>
    <n v="50267"/>
    <n v="5.0266999999999999E-2"/>
    <n v="43252"/>
    <x v="0"/>
  </r>
  <r>
    <n v="60000200"/>
    <x v="13"/>
    <x v="1"/>
    <x v="1"/>
    <x v="7"/>
    <x v="0"/>
    <n v="0.25"/>
    <x v="3"/>
    <x v="1"/>
    <x v="6"/>
    <x v="1"/>
    <x v="0"/>
    <x v="3"/>
    <x v="0"/>
    <n v="0"/>
    <n v="31636"/>
    <n v="3.1635999999999997E-2"/>
    <n v="43252"/>
    <x v="0"/>
  </r>
  <r>
    <n v="60000201"/>
    <x v="10"/>
    <x v="1"/>
    <x v="0"/>
    <x v="5"/>
    <x v="0"/>
    <n v="0.25"/>
    <x v="3"/>
    <x v="2"/>
    <x v="8"/>
    <x v="8"/>
    <x v="0"/>
    <x v="3"/>
    <x v="1"/>
    <n v="3"/>
    <n v="77924"/>
    <n v="7.7923999999999993E-2"/>
    <n v="43252"/>
    <x v="0"/>
  </r>
  <r>
    <n v="60000202"/>
    <x v="23"/>
    <x v="1"/>
    <x v="0"/>
    <x v="10"/>
    <x v="0"/>
    <n v="0.12"/>
    <x v="2"/>
    <x v="6"/>
    <x v="5"/>
    <x v="1"/>
    <x v="0"/>
    <x v="3"/>
    <x v="1"/>
    <n v="0"/>
    <n v="35126"/>
    <n v="3.5125999999999998E-2"/>
    <n v="43252"/>
    <x v="0"/>
  </r>
  <r>
    <n v="60000203"/>
    <x v="4"/>
    <x v="1"/>
    <x v="0"/>
    <x v="3"/>
    <x v="0"/>
    <n v="0.1"/>
    <x v="4"/>
    <x v="5"/>
    <x v="4"/>
    <x v="16"/>
    <x v="0"/>
    <x v="3"/>
    <x v="1"/>
    <n v="2"/>
    <n v="74576"/>
    <n v="7.4576000000000003E-2"/>
    <n v="43252"/>
    <x v="0"/>
  </r>
  <r>
    <n v="60000204"/>
    <x v="5"/>
    <x v="0"/>
    <x v="1"/>
    <x v="4"/>
    <x v="0"/>
    <n v="0.31"/>
    <x v="3"/>
    <x v="14"/>
    <x v="1"/>
    <x v="28"/>
    <x v="0"/>
    <x v="3"/>
    <x v="0"/>
    <n v="0"/>
    <n v="42426"/>
    <n v="4.2425999999999998E-2"/>
    <n v="43252"/>
    <x v="0"/>
  </r>
  <r>
    <n v="60000205"/>
    <x v="43"/>
    <x v="1"/>
    <x v="1"/>
    <x v="2"/>
    <x v="0"/>
    <n v="0.2"/>
    <x v="0"/>
    <x v="13"/>
    <x v="6"/>
    <x v="38"/>
    <x v="0"/>
    <x v="3"/>
    <x v="0"/>
    <n v="0"/>
    <n v="41369"/>
    <n v="4.1369000000000003E-2"/>
    <n v="43252"/>
    <x v="0"/>
  </r>
  <r>
    <n v="60000206"/>
    <x v="41"/>
    <x v="0"/>
    <x v="0"/>
    <x v="3"/>
    <x v="0"/>
    <n v="0.28999999999999998"/>
    <x v="3"/>
    <x v="4"/>
    <x v="0"/>
    <x v="48"/>
    <x v="0"/>
    <x v="3"/>
    <x v="1"/>
    <n v="2"/>
    <n v="80132"/>
    <n v="8.0131999999999995E-2"/>
    <n v="43252"/>
    <x v="0"/>
  </r>
  <r>
    <n v="60000207"/>
    <x v="35"/>
    <x v="1"/>
    <x v="0"/>
    <x v="10"/>
    <x v="0"/>
    <n v="0.17"/>
    <x v="2"/>
    <x v="3"/>
    <x v="8"/>
    <x v="21"/>
    <x v="0"/>
    <x v="3"/>
    <x v="0"/>
    <n v="0"/>
    <n v="54339"/>
    <n v="5.4338999999999998E-2"/>
    <n v="43252"/>
    <x v="0"/>
  </r>
  <r>
    <n v="60000208"/>
    <x v="34"/>
    <x v="0"/>
    <x v="1"/>
    <x v="2"/>
    <x v="0"/>
    <n v="0.34"/>
    <x v="1"/>
    <x v="0"/>
    <x v="1"/>
    <x v="41"/>
    <x v="0"/>
    <x v="3"/>
    <x v="1"/>
    <n v="2"/>
    <n v="29293"/>
    <n v="2.9293E-2"/>
    <n v="43252"/>
    <x v="0"/>
  </r>
  <r>
    <n v="60000209"/>
    <x v="13"/>
    <x v="0"/>
    <x v="0"/>
    <x v="8"/>
    <x v="0"/>
    <n v="0.35"/>
    <x v="1"/>
    <x v="12"/>
    <x v="1"/>
    <x v="13"/>
    <x v="0"/>
    <x v="3"/>
    <x v="1"/>
    <n v="2"/>
    <n v="49172"/>
    <n v="4.9172E-2"/>
    <n v="43252"/>
    <x v="0"/>
  </r>
  <r>
    <n v="60000210"/>
    <x v="18"/>
    <x v="1"/>
    <x v="0"/>
    <x v="2"/>
    <x v="0"/>
    <n v="0.25"/>
    <x v="3"/>
    <x v="13"/>
    <x v="4"/>
    <x v="12"/>
    <x v="0"/>
    <x v="3"/>
    <x v="1"/>
    <n v="1"/>
    <n v="56939"/>
    <n v="5.6938999999999997E-2"/>
    <n v="43252"/>
    <x v="0"/>
  </r>
  <r>
    <n v="60000211"/>
    <x v="40"/>
    <x v="1"/>
    <x v="1"/>
    <x v="0"/>
    <x v="0"/>
    <n v="0.13"/>
    <x v="2"/>
    <x v="15"/>
    <x v="1"/>
    <x v="46"/>
    <x v="0"/>
    <x v="3"/>
    <x v="1"/>
    <n v="6"/>
    <n v="68211"/>
    <n v="6.8210999999999994E-2"/>
    <n v="43252"/>
    <x v="0"/>
  </r>
  <r>
    <n v="60000212"/>
    <x v="39"/>
    <x v="1"/>
    <x v="0"/>
    <x v="5"/>
    <x v="0"/>
    <n v="0.3"/>
    <x v="3"/>
    <x v="5"/>
    <x v="8"/>
    <x v="46"/>
    <x v="0"/>
    <x v="3"/>
    <x v="1"/>
    <n v="3"/>
    <n v="28402"/>
    <n v="2.8402E-2"/>
    <n v="43252"/>
    <x v="0"/>
  </r>
  <r>
    <n v="60000213"/>
    <x v="32"/>
    <x v="0"/>
    <x v="0"/>
    <x v="0"/>
    <x v="0"/>
    <n v="0.31"/>
    <x v="3"/>
    <x v="11"/>
    <x v="4"/>
    <x v="26"/>
    <x v="0"/>
    <x v="3"/>
    <x v="1"/>
    <n v="7"/>
    <n v="55637"/>
    <n v="5.5636999999999999E-2"/>
    <n v="43252"/>
    <x v="0"/>
  </r>
  <r>
    <n v="60000214"/>
    <x v="10"/>
    <x v="1"/>
    <x v="0"/>
    <x v="0"/>
    <x v="0"/>
    <n v="0.28999999999999998"/>
    <x v="3"/>
    <x v="11"/>
    <x v="0"/>
    <x v="15"/>
    <x v="0"/>
    <x v="3"/>
    <x v="1"/>
    <n v="7"/>
    <n v="60695"/>
    <n v="6.0694999999999999E-2"/>
    <n v="43252"/>
    <x v="0"/>
  </r>
  <r>
    <n v="60000215"/>
    <x v="9"/>
    <x v="0"/>
    <x v="1"/>
    <x v="8"/>
    <x v="0"/>
    <n v="0.35"/>
    <x v="1"/>
    <x v="7"/>
    <x v="5"/>
    <x v="35"/>
    <x v="0"/>
    <x v="3"/>
    <x v="0"/>
    <n v="0"/>
    <n v="48064"/>
    <n v="4.8064000000000003E-2"/>
    <n v="43252"/>
    <x v="0"/>
  </r>
  <r>
    <n v="60000216"/>
    <x v="12"/>
    <x v="0"/>
    <x v="1"/>
    <x v="4"/>
    <x v="0"/>
    <n v="0.37"/>
    <x v="1"/>
    <x v="6"/>
    <x v="5"/>
    <x v="22"/>
    <x v="0"/>
    <x v="3"/>
    <x v="0"/>
    <n v="0"/>
    <n v="65535"/>
    <n v="6.5534999999999996E-2"/>
    <n v="43252"/>
    <x v="0"/>
  </r>
  <r>
    <n v="60000217"/>
    <x v="39"/>
    <x v="0"/>
    <x v="1"/>
    <x v="7"/>
    <x v="0"/>
    <n v="0.21"/>
    <x v="0"/>
    <x v="0"/>
    <x v="10"/>
    <x v="1"/>
    <x v="0"/>
    <x v="3"/>
    <x v="1"/>
    <n v="5"/>
    <n v="29266"/>
    <n v="2.9266E-2"/>
    <n v="43252"/>
    <x v="0"/>
  </r>
  <r>
    <n v="60000218"/>
    <x v="1"/>
    <x v="1"/>
    <x v="0"/>
    <x v="4"/>
    <x v="0"/>
    <n v="0.32"/>
    <x v="1"/>
    <x v="14"/>
    <x v="3"/>
    <x v="6"/>
    <x v="0"/>
    <x v="3"/>
    <x v="1"/>
    <n v="2"/>
    <n v="45406"/>
    <n v="4.5406000000000002E-2"/>
    <n v="43252"/>
    <x v="0"/>
  </r>
  <r>
    <n v="60000219"/>
    <x v="16"/>
    <x v="0"/>
    <x v="1"/>
    <x v="4"/>
    <x v="0"/>
    <n v="0.19"/>
    <x v="0"/>
    <x v="6"/>
    <x v="6"/>
    <x v="28"/>
    <x v="0"/>
    <x v="3"/>
    <x v="0"/>
    <n v="0"/>
    <n v="41428"/>
    <n v="4.1428E-2"/>
    <n v="43252"/>
    <x v="0"/>
  </r>
  <r>
    <n v="60000220"/>
    <x v="10"/>
    <x v="0"/>
    <x v="0"/>
    <x v="1"/>
    <x v="0"/>
    <n v="0.27"/>
    <x v="3"/>
    <x v="1"/>
    <x v="12"/>
    <x v="37"/>
    <x v="0"/>
    <x v="3"/>
    <x v="0"/>
    <n v="0"/>
    <n v="73750"/>
    <n v="7.3749999999999996E-2"/>
    <n v="43252"/>
    <x v="0"/>
  </r>
  <r>
    <n v="60000221"/>
    <x v="11"/>
    <x v="0"/>
    <x v="1"/>
    <x v="6"/>
    <x v="0"/>
    <n v="0.14000000000000001"/>
    <x v="2"/>
    <x v="12"/>
    <x v="10"/>
    <x v="18"/>
    <x v="0"/>
    <x v="3"/>
    <x v="1"/>
    <n v="2"/>
    <n v="72331"/>
    <n v="7.2331000000000006E-2"/>
    <n v="43252"/>
    <x v="0"/>
  </r>
  <r>
    <n v="60000222"/>
    <x v="10"/>
    <x v="1"/>
    <x v="0"/>
    <x v="8"/>
    <x v="0"/>
    <n v="0.2"/>
    <x v="0"/>
    <x v="15"/>
    <x v="12"/>
    <x v="8"/>
    <x v="0"/>
    <x v="3"/>
    <x v="0"/>
    <n v="0"/>
    <n v="35213"/>
    <n v="3.5213000000000001E-2"/>
    <n v="43252"/>
    <x v="0"/>
  </r>
  <r>
    <n v="60000223"/>
    <x v="31"/>
    <x v="0"/>
    <x v="1"/>
    <x v="3"/>
    <x v="0"/>
    <n v="0.13"/>
    <x v="2"/>
    <x v="13"/>
    <x v="12"/>
    <x v="12"/>
    <x v="0"/>
    <x v="3"/>
    <x v="1"/>
    <n v="4"/>
    <n v="82583"/>
    <n v="8.2583000000000004E-2"/>
    <n v="43252"/>
    <x v="0"/>
  </r>
  <r>
    <n v="60000224"/>
    <x v="6"/>
    <x v="0"/>
    <x v="0"/>
    <x v="0"/>
    <x v="0"/>
    <n v="0.28999999999999998"/>
    <x v="3"/>
    <x v="5"/>
    <x v="4"/>
    <x v="34"/>
    <x v="0"/>
    <x v="3"/>
    <x v="1"/>
    <n v="2"/>
    <n v="80511"/>
    <n v="8.0510999999999999E-2"/>
    <n v="43252"/>
    <x v="0"/>
  </r>
  <r>
    <n v="60000225"/>
    <x v="23"/>
    <x v="1"/>
    <x v="0"/>
    <x v="5"/>
    <x v="0"/>
    <n v="0.35"/>
    <x v="1"/>
    <x v="11"/>
    <x v="0"/>
    <x v="16"/>
    <x v="0"/>
    <x v="3"/>
    <x v="1"/>
    <n v="0"/>
    <n v="62373"/>
    <n v="6.2372999999999998E-2"/>
    <n v="43252"/>
    <x v="0"/>
  </r>
  <r>
    <n v="60000226"/>
    <x v="40"/>
    <x v="0"/>
    <x v="1"/>
    <x v="5"/>
    <x v="0"/>
    <n v="0.38"/>
    <x v="1"/>
    <x v="5"/>
    <x v="7"/>
    <x v="47"/>
    <x v="0"/>
    <x v="3"/>
    <x v="1"/>
    <n v="3"/>
    <n v="67931"/>
    <n v="6.7931000000000005E-2"/>
    <n v="43252"/>
    <x v="0"/>
  </r>
  <r>
    <n v="60000227"/>
    <x v="23"/>
    <x v="1"/>
    <x v="0"/>
    <x v="5"/>
    <x v="0"/>
    <n v="0.32"/>
    <x v="1"/>
    <x v="8"/>
    <x v="11"/>
    <x v="30"/>
    <x v="0"/>
    <x v="3"/>
    <x v="0"/>
    <n v="0"/>
    <n v="64359"/>
    <n v="6.4359E-2"/>
    <n v="43252"/>
    <x v="0"/>
  </r>
  <r>
    <n v="60000228"/>
    <x v="17"/>
    <x v="1"/>
    <x v="0"/>
    <x v="5"/>
    <x v="0"/>
    <n v="0.11"/>
    <x v="4"/>
    <x v="5"/>
    <x v="12"/>
    <x v="44"/>
    <x v="0"/>
    <x v="3"/>
    <x v="1"/>
    <n v="7"/>
    <n v="63840"/>
    <n v="6.3839999999999994E-2"/>
    <n v="43252"/>
    <x v="0"/>
  </r>
  <r>
    <n v="60000229"/>
    <x v="9"/>
    <x v="0"/>
    <x v="0"/>
    <x v="0"/>
    <x v="0"/>
    <n v="0.16"/>
    <x v="2"/>
    <x v="3"/>
    <x v="9"/>
    <x v="46"/>
    <x v="0"/>
    <x v="3"/>
    <x v="1"/>
    <n v="4"/>
    <n v="72038"/>
    <n v="7.2038000000000005E-2"/>
    <n v="43252"/>
    <x v="0"/>
  </r>
  <r>
    <n v="60000230"/>
    <x v="23"/>
    <x v="0"/>
    <x v="0"/>
    <x v="6"/>
    <x v="0"/>
    <n v="0.28999999999999998"/>
    <x v="3"/>
    <x v="1"/>
    <x v="3"/>
    <x v="41"/>
    <x v="0"/>
    <x v="3"/>
    <x v="1"/>
    <n v="4"/>
    <n v="26811"/>
    <n v="2.6811000000000001E-2"/>
    <n v="43252"/>
    <x v="0"/>
  </r>
  <r>
    <n v="60000231"/>
    <x v="5"/>
    <x v="0"/>
    <x v="0"/>
    <x v="0"/>
    <x v="0"/>
    <n v="0.24"/>
    <x v="0"/>
    <x v="15"/>
    <x v="4"/>
    <x v="1"/>
    <x v="0"/>
    <x v="3"/>
    <x v="1"/>
    <n v="0"/>
    <n v="23963"/>
    <n v="2.3963000000000002E-2"/>
    <n v="43252"/>
    <x v="0"/>
  </r>
  <r>
    <n v="60000232"/>
    <x v="30"/>
    <x v="1"/>
    <x v="1"/>
    <x v="6"/>
    <x v="0"/>
    <n v="0.31"/>
    <x v="3"/>
    <x v="5"/>
    <x v="0"/>
    <x v="26"/>
    <x v="0"/>
    <x v="3"/>
    <x v="0"/>
    <n v="0"/>
    <n v="32293"/>
    <n v="3.2293000000000002E-2"/>
    <n v="43252"/>
    <x v="0"/>
  </r>
  <r>
    <n v="60000233"/>
    <x v="20"/>
    <x v="0"/>
    <x v="0"/>
    <x v="2"/>
    <x v="0"/>
    <n v="0.19"/>
    <x v="0"/>
    <x v="6"/>
    <x v="7"/>
    <x v="13"/>
    <x v="0"/>
    <x v="3"/>
    <x v="1"/>
    <n v="1"/>
    <n v="69178"/>
    <n v="6.9178000000000003E-2"/>
    <n v="43252"/>
    <x v="0"/>
  </r>
  <r>
    <n v="60000234"/>
    <x v="29"/>
    <x v="0"/>
    <x v="1"/>
    <x v="1"/>
    <x v="0"/>
    <n v="0.25"/>
    <x v="3"/>
    <x v="12"/>
    <x v="12"/>
    <x v="5"/>
    <x v="0"/>
    <x v="3"/>
    <x v="1"/>
    <n v="1"/>
    <n v="52660"/>
    <n v="5.2659999999999998E-2"/>
    <n v="43252"/>
    <x v="0"/>
  </r>
  <r>
    <n v="60000235"/>
    <x v="22"/>
    <x v="1"/>
    <x v="1"/>
    <x v="3"/>
    <x v="0"/>
    <n v="0.27"/>
    <x v="3"/>
    <x v="9"/>
    <x v="1"/>
    <x v="16"/>
    <x v="0"/>
    <x v="3"/>
    <x v="0"/>
    <n v="0"/>
    <n v="40589"/>
    <n v="4.0589E-2"/>
    <n v="43252"/>
    <x v="0"/>
  </r>
  <r>
    <n v="60000236"/>
    <x v="33"/>
    <x v="1"/>
    <x v="1"/>
    <x v="8"/>
    <x v="0"/>
    <n v="0.1"/>
    <x v="4"/>
    <x v="2"/>
    <x v="4"/>
    <x v="19"/>
    <x v="0"/>
    <x v="3"/>
    <x v="1"/>
    <n v="5"/>
    <n v="35339"/>
    <n v="3.5339000000000002E-2"/>
    <n v="43252"/>
    <x v="0"/>
  </r>
  <r>
    <n v="60000237"/>
    <x v="16"/>
    <x v="1"/>
    <x v="1"/>
    <x v="2"/>
    <x v="0"/>
    <n v="0.15"/>
    <x v="2"/>
    <x v="4"/>
    <x v="3"/>
    <x v="23"/>
    <x v="0"/>
    <x v="3"/>
    <x v="0"/>
    <n v="0"/>
    <n v="31305"/>
    <n v="3.1304999999999999E-2"/>
    <n v="43252"/>
    <x v="0"/>
  </r>
  <r>
    <n v="60000238"/>
    <x v="25"/>
    <x v="0"/>
    <x v="1"/>
    <x v="11"/>
    <x v="0"/>
    <n v="0.38"/>
    <x v="1"/>
    <x v="4"/>
    <x v="3"/>
    <x v="8"/>
    <x v="0"/>
    <x v="3"/>
    <x v="1"/>
    <n v="0"/>
    <n v="42758"/>
    <n v="4.2757999999999997E-2"/>
    <n v="43252"/>
    <x v="0"/>
  </r>
  <r>
    <n v="60000239"/>
    <x v="20"/>
    <x v="0"/>
    <x v="1"/>
    <x v="2"/>
    <x v="0"/>
    <n v="0.12"/>
    <x v="2"/>
    <x v="5"/>
    <x v="3"/>
    <x v="35"/>
    <x v="1"/>
    <x v="3"/>
    <x v="0"/>
    <n v="0"/>
    <n v="52307"/>
    <n v="5.2306999999999999E-2"/>
    <n v="43252"/>
    <x v="0"/>
  </r>
  <r>
    <n v="60000240"/>
    <x v="29"/>
    <x v="0"/>
    <x v="1"/>
    <x v="7"/>
    <x v="0"/>
    <n v="0.36"/>
    <x v="1"/>
    <x v="13"/>
    <x v="5"/>
    <x v="48"/>
    <x v="2"/>
    <x v="3"/>
    <x v="0"/>
    <n v="0"/>
    <n v="27291"/>
    <n v="2.7290999999999999E-2"/>
    <n v="43252"/>
    <x v="0"/>
  </r>
  <r>
    <n v="60000241"/>
    <x v="21"/>
    <x v="0"/>
    <x v="0"/>
    <x v="8"/>
    <x v="0"/>
    <n v="0.14000000000000001"/>
    <x v="2"/>
    <x v="1"/>
    <x v="11"/>
    <x v="4"/>
    <x v="0"/>
    <x v="3"/>
    <x v="1"/>
    <n v="3"/>
    <n v="33519"/>
    <n v="3.3519E-2"/>
    <n v="43252"/>
    <x v="0"/>
  </r>
  <r>
    <n v="60000242"/>
    <x v="31"/>
    <x v="0"/>
    <x v="0"/>
    <x v="5"/>
    <x v="0"/>
    <n v="0.11"/>
    <x v="4"/>
    <x v="8"/>
    <x v="12"/>
    <x v="31"/>
    <x v="2"/>
    <x v="3"/>
    <x v="0"/>
    <n v="0"/>
    <n v="36838"/>
    <n v="3.6838000000000003E-2"/>
    <n v="43252"/>
    <x v="0"/>
  </r>
  <r>
    <n v="60000243"/>
    <x v="28"/>
    <x v="1"/>
    <x v="0"/>
    <x v="5"/>
    <x v="0"/>
    <n v="0.14000000000000001"/>
    <x v="2"/>
    <x v="4"/>
    <x v="4"/>
    <x v="16"/>
    <x v="1"/>
    <x v="3"/>
    <x v="1"/>
    <n v="7"/>
    <n v="71082"/>
    <n v="7.1082000000000006E-2"/>
    <n v="43252"/>
    <x v="0"/>
  </r>
  <r>
    <n v="60000244"/>
    <x v="7"/>
    <x v="0"/>
    <x v="0"/>
    <x v="3"/>
    <x v="0"/>
    <n v="0.27"/>
    <x v="3"/>
    <x v="1"/>
    <x v="9"/>
    <x v="39"/>
    <x v="1"/>
    <x v="3"/>
    <x v="0"/>
    <n v="0"/>
    <n v="50431"/>
    <n v="5.0430999999999997E-2"/>
    <n v="43252"/>
    <x v="0"/>
  </r>
  <r>
    <n v="60000245"/>
    <x v="5"/>
    <x v="1"/>
    <x v="0"/>
    <x v="1"/>
    <x v="0"/>
    <n v="0.1"/>
    <x v="4"/>
    <x v="15"/>
    <x v="3"/>
    <x v="23"/>
    <x v="2"/>
    <x v="3"/>
    <x v="1"/>
    <n v="5"/>
    <n v="27793"/>
    <n v="2.7793000000000002E-2"/>
    <n v="43252"/>
    <x v="0"/>
  </r>
  <r>
    <n v="60000246"/>
    <x v="23"/>
    <x v="0"/>
    <x v="0"/>
    <x v="3"/>
    <x v="0"/>
    <n v="0.11"/>
    <x v="4"/>
    <x v="6"/>
    <x v="4"/>
    <x v="0"/>
    <x v="1"/>
    <x v="3"/>
    <x v="1"/>
    <n v="6"/>
    <n v="53157"/>
    <n v="5.3157000000000003E-2"/>
    <n v="43252"/>
    <x v="0"/>
  </r>
  <r>
    <n v="60000247"/>
    <x v="27"/>
    <x v="1"/>
    <x v="0"/>
    <x v="8"/>
    <x v="0"/>
    <n v="0.35"/>
    <x v="1"/>
    <x v="7"/>
    <x v="2"/>
    <x v="44"/>
    <x v="0"/>
    <x v="3"/>
    <x v="1"/>
    <n v="0"/>
    <n v="62433"/>
    <n v="6.2433000000000002E-2"/>
    <n v="43252"/>
    <x v="0"/>
  </r>
  <r>
    <n v="60000248"/>
    <x v="22"/>
    <x v="0"/>
    <x v="0"/>
    <x v="4"/>
    <x v="0"/>
    <n v="0.3"/>
    <x v="3"/>
    <x v="14"/>
    <x v="4"/>
    <x v="17"/>
    <x v="2"/>
    <x v="3"/>
    <x v="0"/>
    <n v="0"/>
    <n v="25103"/>
    <n v="2.5103E-2"/>
    <n v="43252"/>
    <x v="0"/>
  </r>
  <r>
    <n v="60000249"/>
    <x v="0"/>
    <x v="0"/>
    <x v="0"/>
    <x v="11"/>
    <x v="0"/>
    <n v="0.34"/>
    <x v="1"/>
    <x v="14"/>
    <x v="4"/>
    <x v="1"/>
    <x v="1"/>
    <x v="3"/>
    <x v="0"/>
    <n v="0"/>
    <n v="36428"/>
    <n v="3.6428000000000002E-2"/>
    <n v="43252"/>
    <x v="0"/>
  </r>
  <r>
    <n v="60000250"/>
    <x v="24"/>
    <x v="1"/>
    <x v="0"/>
    <x v="8"/>
    <x v="0"/>
    <n v="0.19"/>
    <x v="0"/>
    <x v="5"/>
    <x v="6"/>
    <x v="20"/>
    <x v="1"/>
    <x v="3"/>
    <x v="1"/>
    <n v="2"/>
    <n v="44679"/>
    <n v="4.4679000000000003E-2"/>
    <n v="43252"/>
    <x v="0"/>
  </r>
  <r>
    <n v="60000251"/>
    <x v="23"/>
    <x v="0"/>
    <x v="1"/>
    <x v="0"/>
    <x v="0"/>
    <n v="0.21"/>
    <x v="0"/>
    <x v="13"/>
    <x v="1"/>
    <x v="11"/>
    <x v="2"/>
    <x v="3"/>
    <x v="0"/>
    <n v="0"/>
    <n v="60136"/>
    <n v="6.0136000000000002E-2"/>
    <n v="43252"/>
    <x v="0"/>
  </r>
  <r>
    <n v="60000252"/>
    <x v="38"/>
    <x v="0"/>
    <x v="1"/>
    <x v="0"/>
    <x v="0"/>
    <n v="0.2"/>
    <x v="0"/>
    <x v="15"/>
    <x v="11"/>
    <x v="1"/>
    <x v="0"/>
    <x v="3"/>
    <x v="0"/>
    <n v="0"/>
    <n v="45590"/>
    <n v="4.5589999999999999E-2"/>
    <n v="43252"/>
    <x v="0"/>
  </r>
  <r>
    <n v="60000253"/>
    <x v="10"/>
    <x v="0"/>
    <x v="0"/>
    <x v="3"/>
    <x v="0"/>
    <n v="0.19"/>
    <x v="0"/>
    <x v="8"/>
    <x v="10"/>
    <x v="23"/>
    <x v="2"/>
    <x v="3"/>
    <x v="1"/>
    <n v="3"/>
    <n v="38361"/>
    <n v="3.8360999999999999E-2"/>
    <n v="43252"/>
    <x v="0"/>
  </r>
  <r>
    <n v="60000254"/>
    <x v="37"/>
    <x v="1"/>
    <x v="0"/>
    <x v="9"/>
    <x v="0"/>
    <n v="0.35"/>
    <x v="1"/>
    <x v="11"/>
    <x v="12"/>
    <x v="16"/>
    <x v="2"/>
    <x v="3"/>
    <x v="0"/>
    <n v="0"/>
    <n v="42979"/>
    <n v="4.2979000000000003E-2"/>
    <n v="43252"/>
    <x v="0"/>
  </r>
  <r>
    <n v="60000255"/>
    <x v="32"/>
    <x v="0"/>
    <x v="1"/>
    <x v="1"/>
    <x v="0"/>
    <n v="0.36"/>
    <x v="1"/>
    <x v="3"/>
    <x v="12"/>
    <x v="26"/>
    <x v="1"/>
    <x v="3"/>
    <x v="0"/>
    <n v="0"/>
    <n v="55189"/>
    <n v="5.5189000000000002E-2"/>
    <n v="43252"/>
    <x v="0"/>
  </r>
  <r>
    <n v="60000256"/>
    <x v="12"/>
    <x v="0"/>
    <x v="0"/>
    <x v="6"/>
    <x v="0"/>
    <n v="0.15"/>
    <x v="2"/>
    <x v="14"/>
    <x v="6"/>
    <x v="1"/>
    <x v="0"/>
    <x v="3"/>
    <x v="0"/>
    <n v="0"/>
    <n v="44547"/>
    <n v="4.4547000000000003E-2"/>
    <n v="43252"/>
    <x v="0"/>
  </r>
  <r>
    <n v="60000257"/>
    <x v="31"/>
    <x v="1"/>
    <x v="1"/>
    <x v="0"/>
    <x v="0"/>
    <n v="0.21"/>
    <x v="0"/>
    <x v="9"/>
    <x v="8"/>
    <x v="21"/>
    <x v="1"/>
    <x v="3"/>
    <x v="0"/>
    <n v="0"/>
    <n v="36625"/>
    <n v="3.6624999999999998E-2"/>
    <n v="43252"/>
    <x v="0"/>
  </r>
  <r>
    <n v="60000258"/>
    <x v="20"/>
    <x v="0"/>
    <x v="0"/>
    <x v="11"/>
    <x v="0"/>
    <n v="0.33"/>
    <x v="1"/>
    <x v="6"/>
    <x v="1"/>
    <x v="21"/>
    <x v="0"/>
    <x v="3"/>
    <x v="1"/>
    <n v="4"/>
    <n v="51401"/>
    <n v="5.1401000000000002E-2"/>
    <n v="43252"/>
    <x v="0"/>
  </r>
  <r>
    <n v="60000259"/>
    <x v="36"/>
    <x v="1"/>
    <x v="0"/>
    <x v="10"/>
    <x v="0"/>
    <n v="0.12"/>
    <x v="2"/>
    <x v="2"/>
    <x v="5"/>
    <x v="17"/>
    <x v="0"/>
    <x v="3"/>
    <x v="1"/>
    <n v="4"/>
    <n v="43733"/>
    <n v="4.3733000000000001E-2"/>
    <n v="43252"/>
    <x v="0"/>
  </r>
  <r>
    <n v="60000260"/>
    <x v="42"/>
    <x v="0"/>
    <x v="0"/>
    <x v="4"/>
    <x v="0"/>
    <n v="0.19"/>
    <x v="0"/>
    <x v="8"/>
    <x v="7"/>
    <x v="39"/>
    <x v="1"/>
    <x v="3"/>
    <x v="1"/>
    <n v="0"/>
    <n v="52142"/>
    <n v="5.2142000000000001E-2"/>
    <n v="43252"/>
    <x v="0"/>
  </r>
  <r>
    <n v="60000261"/>
    <x v="15"/>
    <x v="1"/>
    <x v="0"/>
    <x v="10"/>
    <x v="0"/>
    <n v="0.25"/>
    <x v="3"/>
    <x v="4"/>
    <x v="4"/>
    <x v="48"/>
    <x v="2"/>
    <x v="3"/>
    <x v="1"/>
    <n v="0"/>
    <n v="68355"/>
    <n v="6.8354999999999999E-2"/>
    <n v="43252"/>
    <x v="0"/>
  </r>
  <r>
    <n v="60000262"/>
    <x v="36"/>
    <x v="0"/>
    <x v="0"/>
    <x v="4"/>
    <x v="0"/>
    <n v="0.35"/>
    <x v="1"/>
    <x v="7"/>
    <x v="2"/>
    <x v="5"/>
    <x v="2"/>
    <x v="3"/>
    <x v="1"/>
    <n v="6"/>
    <n v="64273"/>
    <n v="6.4272999999999997E-2"/>
    <n v="43252"/>
    <x v="0"/>
  </r>
  <r>
    <n v="60000263"/>
    <x v="20"/>
    <x v="1"/>
    <x v="0"/>
    <x v="5"/>
    <x v="0"/>
    <n v="0.23"/>
    <x v="0"/>
    <x v="5"/>
    <x v="10"/>
    <x v="36"/>
    <x v="0"/>
    <x v="3"/>
    <x v="0"/>
    <n v="0"/>
    <n v="73415"/>
    <n v="7.3414999999999994E-2"/>
    <n v="43252"/>
    <x v="0"/>
  </r>
  <r>
    <n v="60000264"/>
    <x v="40"/>
    <x v="0"/>
    <x v="1"/>
    <x v="4"/>
    <x v="0"/>
    <n v="0.32"/>
    <x v="1"/>
    <x v="2"/>
    <x v="1"/>
    <x v="14"/>
    <x v="1"/>
    <x v="3"/>
    <x v="1"/>
    <n v="7"/>
    <n v="28009"/>
    <n v="2.8008999999999999E-2"/>
    <n v="43252"/>
    <x v="0"/>
  </r>
  <r>
    <n v="60000265"/>
    <x v="16"/>
    <x v="0"/>
    <x v="0"/>
    <x v="6"/>
    <x v="0"/>
    <n v="0.32"/>
    <x v="1"/>
    <x v="5"/>
    <x v="7"/>
    <x v="11"/>
    <x v="0"/>
    <x v="3"/>
    <x v="0"/>
    <n v="0"/>
    <n v="50117"/>
    <n v="5.0117000000000002E-2"/>
    <n v="43252"/>
    <x v="0"/>
  </r>
  <r>
    <n v="60000266"/>
    <x v="18"/>
    <x v="1"/>
    <x v="1"/>
    <x v="9"/>
    <x v="0"/>
    <n v="0.24"/>
    <x v="0"/>
    <x v="0"/>
    <x v="9"/>
    <x v="46"/>
    <x v="1"/>
    <x v="3"/>
    <x v="1"/>
    <n v="5"/>
    <n v="73685"/>
    <n v="7.3685E-2"/>
    <n v="43252"/>
    <x v="0"/>
  </r>
  <r>
    <n v="60000267"/>
    <x v="26"/>
    <x v="0"/>
    <x v="1"/>
    <x v="9"/>
    <x v="0"/>
    <n v="0.19"/>
    <x v="0"/>
    <x v="0"/>
    <x v="0"/>
    <x v="27"/>
    <x v="1"/>
    <x v="3"/>
    <x v="1"/>
    <n v="3"/>
    <n v="75872"/>
    <n v="7.5871999999999995E-2"/>
    <n v="43252"/>
    <x v="0"/>
  </r>
  <r>
    <n v="60000268"/>
    <x v="35"/>
    <x v="1"/>
    <x v="0"/>
    <x v="7"/>
    <x v="0"/>
    <n v="0.35"/>
    <x v="1"/>
    <x v="0"/>
    <x v="12"/>
    <x v="7"/>
    <x v="0"/>
    <x v="3"/>
    <x v="0"/>
    <n v="0"/>
    <n v="81531"/>
    <n v="8.1531000000000006E-2"/>
    <n v="43252"/>
    <x v="0"/>
  </r>
  <r>
    <n v="60000269"/>
    <x v="15"/>
    <x v="1"/>
    <x v="1"/>
    <x v="2"/>
    <x v="0"/>
    <n v="0.34"/>
    <x v="1"/>
    <x v="8"/>
    <x v="3"/>
    <x v="17"/>
    <x v="2"/>
    <x v="3"/>
    <x v="1"/>
    <n v="5"/>
    <n v="74132"/>
    <n v="7.4132000000000003E-2"/>
    <n v="43252"/>
    <x v="0"/>
  </r>
  <r>
    <n v="60000270"/>
    <x v="5"/>
    <x v="1"/>
    <x v="0"/>
    <x v="3"/>
    <x v="0"/>
    <n v="0.33"/>
    <x v="1"/>
    <x v="13"/>
    <x v="3"/>
    <x v="34"/>
    <x v="2"/>
    <x v="3"/>
    <x v="1"/>
    <n v="1"/>
    <n v="42932"/>
    <n v="4.2931999999999998E-2"/>
    <n v="43252"/>
    <x v="0"/>
  </r>
  <r>
    <n v="60000271"/>
    <x v="24"/>
    <x v="1"/>
    <x v="1"/>
    <x v="7"/>
    <x v="0"/>
    <n v="0.16"/>
    <x v="2"/>
    <x v="15"/>
    <x v="11"/>
    <x v="14"/>
    <x v="1"/>
    <x v="3"/>
    <x v="0"/>
    <n v="0"/>
    <n v="62947"/>
    <n v="6.2947000000000003E-2"/>
    <n v="43252"/>
    <x v="0"/>
  </r>
  <r>
    <n v="60000272"/>
    <x v="41"/>
    <x v="1"/>
    <x v="0"/>
    <x v="3"/>
    <x v="0"/>
    <n v="0.17"/>
    <x v="2"/>
    <x v="5"/>
    <x v="8"/>
    <x v="42"/>
    <x v="0"/>
    <x v="3"/>
    <x v="0"/>
    <n v="0"/>
    <n v="56032"/>
    <n v="5.6031999999999998E-2"/>
    <n v="43252"/>
    <x v="0"/>
  </r>
  <r>
    <n v="60000273"/>
    <x v="25"/>
    <x v="1"/>
    <x v="1"/>
    <x v="3"/>
    <x v="0"/>
    <n v="0.21"/>
    <x v="0"/>
    <x v="7"/>
    <x v="0"/>
    <x v="24"/>
    <x v="1"/>
    <x v="3"/>
    <x v="0"/>
    <n v="0"/>
    <n v="67233"/>
    <n v="6.7233000000000001E-2"/>
    <n v="43252"/>
    <x v="0"/>
  </r>
  <r>
    <n v="60000274"/>
    <x v="37"/>
    <x v="0"/>
    <x v="1"/>
    <x v="10"/>
    <x v="0"/>
    <n v="0.27"/>
    <x v="3"/>
    <x v="5"/>
    <x v="5"/>
    <x v="48"/>
    <x v="0"/>
    <x v="3"/>
    <x v="1"/>
    <n v="6"/>
    <n v="42157"/>
    <n v="4.2157E-2"/>
    <n v="43252"/>
    <x v="0"/>
  </r>
  <r>
    <n v="60000275"/>
    <x v="15"/>
    <x v="1"/>
    <x v="0"/>
    <x v="11"/>
    <x v="0"/>
    <n v="0.35"/>
    <x v="1"/>
    <x v="6"/>
    <x v="1"/>
    <x v="44"/>
    <x v="1"/>
    <x v="3"/>
    <x v="1"/>
    <n v="2"/>
    <n v="80127"/>
    <n v="8.0127000000000004E-2"/>
    <n v="43252"/>
    <x v="0"/>
  </r>
  <r>
    <n v="60000276"/>
    <x v="4"/>
    <x v="1"/>
    <x v="0"/>
    <x v="0"/>
    <x v="0"/>
    <n v="0.22"/>
    <x v="0"/>
    <x v="0"/>
    <x v="9"/>
    <x v="20"/>
    <x v="1"/>
    <x v="3"/>
    <x v="1"/>
    <n v="5"/>
    <n v="63859"/>
    <n v="6.3858999999999999E-2"/>
    <n v="43252"/>
    <x v="0"/>
  </r>
  <r>
    <n v="60000277"/>
    <x v="12"/>
    <x v="1"/>
    <x v="0"/>
    <x v="4"/>
    <x v="0"/>
    <n v="0.19"/>
    <x v="0"/>
    <x v="0"/>
    <x v="2"/>
    <x v="39"/>
    <x v="1"/>
    <x v="3"/>
    <x v="1"/>
    <n v="4"/>
    <n v="56370"/>
    <n v="5.6370000000000003E-2"/>
    <n v="43252"/>
    <x v="0"/>
  </r>
  <r>
    <n v="60000278"/>
    <x v="40"/>
    <x v="0"/>
    <x v="1"/>
    <x v="11"/>
    <x v="0"/>
    <n v="0.35"/>
    <x v="1"/>
    <x v="5"/>
    <x v="2"/>
    <x v="24"/>
    <x v="0"/>
    <x v="3"/>
    <x v="1"/>
    <n v="4"/>
    <n v="45869"/>
    <n v="4.5869E-2"/>
    <n v="43252"/>
    <x v="0"/>
  </r>
  <r>
    <n v="60000279"/>
    <x v="13"/>
    <x v="1"/>
    <x v="0"/>
    <x v="7"/>
    <x v="0"/>
    <n v="0.28000000000000003"/>
    <x v="3"/>
    <x v="14"/>
    <x v="1"/>
    <x v="28"/>
    <x v="0"/>
    <x v="3"/>
    <x v="1"/>
    <n v="0"/>
    <n v="61650"/>
    <n v="6.1650000000000003E-2"/>
    <n v="43252"/>
    <x v="0"/>
  </r>
  <r>
    <n v="60000280"/>
    <x v="7"/>
    <x v="0"/>
    <x v="1"/>
    <x v="8"/>
    <x v="0"/>
    <n v="0.19"/>
    <x v="0"/>
    <x v="9"/>
    <x v="5"/>
    <x v="47"/>
    <x v="0"/>
    <x v="3"/>
    <x v="0"/>
    <n v="0"/>
    <n v="54763"/>
    <n v="5.4762999999999999E-2"/>
    <n v="43252"/>
    <x v="0"/>
  </r>
  <r>
    <n v="60000281"/>
    <x v="39"/>
    <x v="0"/>
    <x v="0"/>
    <x v="6"/>
    <x v="0"/>
    <n v="0.14000000000000001"/>
    <x v="2"/>
    <x v="13"/>
    <x v="0"/>
    <x v="25"/>
    <x v="1"/>
    <x v="3"/>
    <x v="0"/>
    <n v="0"/>
    <n v="84890"/>
    <n v="8.4889999999999993E-2"/>
    <n v="43252"/>
    <x v="0"/>
  </r>
  <r>
    <n v="60000282"/>
    <x v="27"/>
    <x v="1"/>
    <x v="0"/>
    <x v="5"/>
    <x v="0"/>
    <n v="0.11"/>
    <x v="4"/>
    <x v="3"/>
    <x v="4"/>
    <x v="13"/>
    <x v="1"/>
    <x v="3"/>
    <x v="1"/>
    <n v="6"/>
    <n v="62574"/>
    <n v="6.2574000000000005E-2"/>
    <n v="43252"/>
    <x v="0"/>
  </r>
  <r>
    <n v="60000283"/>
    <x v="30"/>
    <x v="0"/>
    <x v="1"/>
    <x v="3"/>
    <x v="0"/>
    <n v="0.37"/>
    <x v="1"/>
    <x v="9"/>
    <x v="4"/>
    <x v="0"/>
    <x v="0"/>
    <x v="3"/>
    <x v="0"/>
    <n v="0"/>
    <n v="25808"/>
    <n v="2.5808000000000001E-2"/>
    <n v="43252"/>
    <x v="0"/>
  </r>
  <r>
    <n v="60000284"/>
    <x v="34"/>
    <x v="0"/>
    <x v="1"/>
    <x v="2"/>
    <x v="0"/>
    <n v="0.16"/>
    <x v="2"/>
    <x v="9"/>
    <x v="5"/>
    <x v="19"/>
    <x v="1"/>
    <x v="3"/>
    <x v="0"/>
    <n v="0"/>
    <n v="40642"/>
    <n v="4.0641999999999998E-2"/>
    <n v="43252"/>
    <x v="0"/>
  </r>
  <r>
    <n v="60000285"/>
    <x v="28"/>
    <x v="1"/>
    <x v="0"/>
    <x v="8"/>
    <x v="0"/>
    <n v="0.19"/>
    <x v="0"/>
    <x v="8"/>
    <x v="9"/>
    <x v="37"/>
    <x v="0"/>
    <x v="3"/>
    <x v="0"/>
    <n v="0"/>
    <n v="79634"/>
    <n v="7.9633999999999996E-2"/>
    <n v="43252"/>
    <x v="0"/>
  </r>
  <r>
    <n v="60000286"/>
    <x v="27"/>
    <x v="1"/>
    <x v="0"/>
    <x v="1"/>
    <x v="0"/>
    <n v="0.25"/>
    <x v="3"/>
    <x v="3"/>
    <x v="10"/>
    <x v="39"/>
    <x v="0"/>
    <x v="3"/>
    <x v="1"/>
    <n v="7"/>
    <n v="45068"/>
    <n v="4.5067999999999997E-2"/>
    <n v="43252"/>
    <x v="0"/>
  </r>
  <r>
    <n v="60000287"/>
    <x v="31"/>
    <x v="1"/>
    <x v="0"/>
    <x v="8"/>
    <x v="0"/>
    <n v="0.21"/>
    <x v="0"/>
    <x v="12"/>
    <x v="0"/>
    <x v="49"/>
    <x v="0"/>
    <x v="3"/>
    <x v="0"/>
    <n v="0"/>
    <n v="71844"/>
    <n v="7.1844000000000005E-2"/>
    <n v="43252"/>
    <x v="0"/>
  </r>
  <r>
    <n v="60000288"/>
    <x v="5"/>
    <x v="0"/>
    <x v="1"/>
    <x v="9"/>
    <x v="0"/>
    <n v="0.27"/>
    <x v="3"/>
    <x v="12"/>
    <x v="7"/>
    <x v="19"/>
    <x v="1"/>
    <x v="3"/>
    <x v="0"/>
    <n v="0"/>
    <n v="23846"/>
    <n v="2.3845999999999999E-2"/>
    <n v="43252"/>
    <x v="0"/>
  </r>
  <r>
    <n v="60000289"/>
    <x v="6"/>
    <x v="0"/>
    <x v="0"/>
    <x v="9"/>
    <x v="0"/>
    <n v="0.28000000000000003"/>
    <x v="3"/>
    <x v="0"/>
    <x v="8"/>
    <x v="26"/>
    <x v="1"/>
    <x v="3"/>
    <x v="0"/>
    <n v="0"/>
    <n v="68805"/>
    <n v="6.8805000000000005E-2"/>
    <n v="43252"/>
    <x v="0"/>
  </r>
  <r>
    <n v="60000290"/>
    <x v="30"/>
    <x v="1"/>
    <x v="1"/>
    <x v="5"/>
    <x v="0"/>
    <n v="0.3"/>
    <x v="3"/>
    <x v="1"/>
    <x v="11"/>
    <x v="0"/>
    <x v="2"/>
    <x v="3"/>
    <x v="1"/>
    <n v="6"/>
    <n v="79400"/>
    <n v="7.9399999999999998E-2"/>
    <n v="43252"/>
    <x v="0"/>
  </r>
  <r>
    <n v="60000291"/>
    <x v="6"/>
    <x v="0"/>
    <x v="0"/>
    <x v="7"/>
    <x v="0"/>
    <n v="0.36"/>
    <x v="1"/>
    <x v="1"/>
    <x v="1"/>
    <x v="40"/>
    <x v="1"/>
    <x v="3"/>
    <x v="1"/>
    <n v="3"/>
    <n v="65258"/>
    <n v="6.5257999999999997E-2"/>
    <n v="43252"/>
    <x v="0"/>
  </r>
  <r>
    <n v="60000292"/>
    <x v="13"/>
    <x v="0"/>
    <x v="0"/>
    <x v="10"/>
    <x v="0"/>
    <n v="0.13"/>
    <x v="2"/>
    <x v="3"/>
    <x v="10"/>
    <x v="39"/>
    <x v="2"/>
    <x v="3"/>
    <x v="1"/>
    <n v="7"/>
    <n v="79127"/>
    <n v="7.9127000000000003E-2"/>
    <n v="43252"/>
    <x v="0"/>
  </r>
  <r>
    <n v="60000293"/>
    <x v="3"/>
    <x v="0"/>
    <x v="1"/>
    <x v="6"/>
    <x v="0"/>
    <n v="0.27"/>
    <x v="3"/>
    <x v="12"/>
    <x v="3"/>
    <x v="41"/>
    <x v="0"/>
    <x v="3"/>
    <x v="0"/>
    <n v="0"/>
    <n v="54971"/>
    <n v="5.4970999999999999E-2"/>
    <n v="43252"/>
    <x v="0"/>
  </r>
  <r>
    <n v="60000294"/>
    <x v="24"/>
    <x v="1"/>
    <x v="0"/>
    <x v="10"/>
    <x v="0"/>
    <n v="0.27"/>
    <x v="3"/>
    <x v="11"/>
    <x v="3"/>
    <x v="42"/>
    <x v="2"/>
    <x v="3"/>
    <x v="0"/>
    <n v="0"/>
    <n v="35141"/>
    <n v="3.5140999999999999E-2"/>
    <n v="43252"/>
    <x v="0"/>
  </r>
  <r>
    <n v="60000295"/>
    <x v="32"/>
    <x v="1"/>
    <x v="1"/>
    <x v="6"/>
    <x v="0"/>
    <n v="0.27"/>
    <x v="3"/>
    <x v="15"/>
    <x v="5"/>
    <x v="34"/>
    <x v="2"/>
    <x v="3"/>
    <x v="0"/>
    <n v="0"/>
    <n v="31060"/>
    <n v="3.1060000000000001E-2"/>
    <n v="43252"/>
    <x v="0"/>
  </r>
  <r>
    <n v="60000296"/>
    <x v="43"/>
    <x v="0"/>
    <x v="1"/>
    <x v="9"/>
    <x v="0"/>
    <n v="0.13"/>
    <x v="2"/>
    <x v="11"/>
    <x v="1"/>
    <x v="7"/>
    <x v="1"/>
    <x v="3"/>
    <x v="1"/>
    <n v="0"/>
    <n v="66888"/>
    <n v="6.6888000000000003E-2"/>
    <n v="43252"/>
    <x v="0"/>
  </r>
  <r>
    <n v="60000297"/>
    <x v="3"/>
    <x v="1"/>
    <x v="1"/>
    <x v="9"/>
    <x v="0"/>
    <n v="0.16"/>
    <x v="2"/>
    <x v="10"/>
    <x v="2"/>
    <x v="36"/>
    <x v="1"/>
    <x v="3"/>
    <x v="0"/>
    <n v="0"/>
    <n v="31251"/>
    <n v="3.1251000000000001E-2"/>
    <n v="43252"/>
    <x v="0"/>
  </r>
  <r>
    <n v="60000298"/>
    <x v="9"/>
    <x v="0"/>
    <x v="0"/>
    <x v="11"/>
    <x v="0"/>
    <n v="0.32"/>
    <x v="1"/>
    <x v="15"/>
    <x v="9"/>
    <x v="15"/>
    <x v="1"/>
    <x v="3"/>
    <x v="1"/>
    <n v="5"/>
    <n v="71949"/>
    <n v="7.1948999999999999E-2"/>
    <n v="43252"/>
    <x v="0"/>
  </r>
  <r>
    <n v="60000299"/>
    <x v="20"/>
    <x v="0"/>
    <x v="0"/>
    <x v="6"/>
    <x v="0"/>
    <n v="0.1"/>
    <x v="4"/>
    <x v="9"/>
    <x v="10"/>
    <x v="33"/>
    <x v="2"/>
    <x v="3"/>
    <x v="1"/>
    <n v="3"/>
    <n v="78768"/>
    <n v="7.8768000000000005E-2"/>
    <n v="43252"/>
    <x v="0"/>
  </r>
  <r>
    <n v="60000300"/>
    <x v="5"/>
    <x v="1"/>
    <x v="1"/>
    <x v="3"/>
    <x v="0"/>
    <n v="0.28999999999999998"/>
    <x v="3"/>
    <x v="14"/>
    <x v="7"/>
    <x v="43"/>
    <x v="1"/>
    <x v="3"/>
    <x v="0"/>
    <n v="0"/>
    <n v="66516"/>
    <n v="6.6516000000000006E-2"/>
    <n v="43252"/>
    <x v="0"/>
  </r>
  <r>
    <n v="60000301"/>
    <x v="15"/>
    <x v="0"/>
    <x v="0"/>
    <x v="6"/>
    <x v="0"/>
    <n v="0.25"/>
    <x v="3"/>
    <x v="8"/>
    <x v="10"/>
    <x v="20"/>
    <x v="0"/>
    <x v="3"/>
    <x v="0"/>
    <n v="0"/>
    <n v="80286"/>
    <n v="8.0285999999999996E-2"/>
    <n v="43252"/>
    <x v="0"/>
  </r>
  <r>
    <n v="60000302"/>
    <x v="9"/>
    <x v="1"/>
    <x v="0"/>
    <x v="5"/>
    <x v="0"/>
    <n v="0.36"/>
    <x v="1"/>
    <x v="8"/>
    <x v="3"/>
    <x v="17"/>
    <x v="2"/>
    <x v="3"/>
    <x v="1"/>
    <n v="7"/>
    <n v="27132"/>
    <n v="2.7132E-2"/>
    <n v="43252"/>
    <x v="0"/>
  </r>
  <r>
    <n v="60000303"/>
    <x v="30"/>
    <x v="0"/>
    <x v="1"/>
    <x v="4"/>
    <x v="0"/>
    <n v="0.31"/>
    <x v="3"/>
    <x v="9"/>
    <x v="5"/>
    <x v="45"/>
    <x v="1"/>
    <x v="3"/>
    <x v="1"/>
    <n v="5"/>
    <n v="47731"/>
    <n v="4.7731000000000003E-2"/>
    <n v="43252"/>
    <x v="0"/>
  </r>
  <r>
    <n v="60000304"/>
    <x v="44"/>
    <x v="0"/>
    <x v="0"/>
    <x v="4"/>
    <x v="0"/>
    <n v="0.33"/>
    <x v="1"/>
    <x v="2"/>
    <x v="10"/>
    <x v="37"/>
    <x v="1"/>
    <x v="3"/>
    <x v="1"/>
    <n v="0"/>
    <n v="36561"/>
    <n v="3.6561000000000003E-2"/>
    <n v="43252"/>
    <x v="0"/>
  </r>
  <r>
    <n v="60000305"/>
    <x v="18"/>
    <x v="1"/>
    <x v="0"/>
    <x v="1"/>
    <x v="0"/>
    <n v="0.26"/>
    <x v="3"/>
    <x v="3"/>
    <x v="0"/>
    <x v="12"/>
    <x v="2"/>
    <x v="3"/>
    <x v="0"/>
    <n v="0"/>
    <n v="67604"/>
    <n v="6.7603999999999997E-2"/>
    <n v="43252"/>
    <x v="0"/>
  </r>
  <r>
    <n v="60000306"/>
    <x v="7"/>
    <x v="1"/>
    <x v="1"/>
    <x v="8"/>
    <x v="0"/>
    <n v="0.13"/>
    <x v="2"/>
    <x v="4"/>
    <x v="7"/>
    <x v="14"/>
    <x v="0"/>
    <x v="3"/>
    <x v="1"/>
    <n v="3"/>
    <n v="65598"/>
    <n v="6.5598000000000004E-2"/>
    <n v="43252"/>
    <x v="0"/>
  </r>
  <r>
    <n v="60000307"/>
    <x v="17"/>
    <x v="0"/>
    <x v="0"/>
    <x v="7"/>
    <x v="0"/>
    <n v="0.17"/>
    <x v="2"/>
    <x v="13"/>
    <x v="11"/>
    <x v="44"/>
    <x v="0"/>
    <x v="3"/>
    <x v="1"/>
    <n v="0"/>
    <n v="34810"/>
    <n v="3.4810000000000001E-2"/>
    <n v="43252"/>
    <x v="0"/>
  </r>
  <r>
    <n v="60000308"/>
    <x v="29"/>
    <x v="0"/>
    <x v="1"/>
    <x v="7"/>
    <x v="0"/>
    <n v="0.32"/>
    <x v="1"/>
    <x v="15"/>
    <x v="1"/>
    <x v="37"/>
    <x v="1"/>
    <x v="3"/>
    <x v="0"/>
    <n v="0"/>
    <n v="71181"/>
    <n v="7.1180999999999994E-2"/>
    <n v="43252"/>
    <x v="0"/>
  </r>
  <r>
    <n v="60000309"/>
    <x v="17"/>
    <x v="0"/>
    <x v="1"/>
    <x v="11"/>
    <x v="0"/>
    <n v="0.13"/>
    <x v="2"/>
    <x v="5"/>
    <x v="3"/>
    <x v="23"/>
    <x v="2"/>
    <x v="3"/>
    <x v="0"/>
    <n v="0"/>
    <n v="27743"/>
    <n v="2.7743E-2"/>
    <n v="43252"/>
    <x v="0"/>
  </r>
  <r>
    <n v="60000310"/>
    <x v="22"/>
    <x v="1"/>
    <x v="1"/>
    <x v="9"/>
    <x v="0"/>
    <n v="0.26"/>
    <x v="3"/>
    <x v="4"/>
    <x v="11"/>
    <x v="0"/>
    <x v="0"/>
    <x v="3"/>
    <x v="1"/>
    <n v="7"/>
    <n v="33018"/>
    <n v="3.3017999999999999E-2"/>
    <n v="43252"/>
    <x v="0"/>
  </r>
  <r>
    <n v="60000311"/>
    <x v="35"/>
    <x v="1"/>
    <x v="0"/>
    <x v="0"/>
    <x v="0"/>
    <n v="0.36"/>
    <x v="1"/>
    <x v="0"/>
    <x v="2"/>
    <x v="45"/>
    <x v="2"/>
    <x v="3"/>
    <x v="1"/>
    <n v="4"/>
    <n v="81977"/>
    <n v="8.1976999999999994E-2"/>
    <n v="43252"/>
    <x v="0"/>
  </r>
  <r>
    <n v="60000312"/>
    <x v="12"/>
    <x v="0"/>
    <x v="0"/>
    <x v="11"/>
    <x v="0"/>
    <n v="0.17"/>
    <x v="2"/>
    <x v="10"/>
    <x v="8"/>
    <x v="41"/>
    <x v="2"/>
    <x v="3"/>
    <x v="1"/>
    <n v="3"/>
    <n v="40365"/>
    <n v="4.0364999999999998E-2"/>
    <n v="43252"/>
    <x v="0"/>
  </r>
  <r>
    <n v="60000313"/>
    <x v="27"/>
    <x v="1"/>
    <x v="0"/>
    <x v="10"/>
    <x v="0"/>
    <n v="0.35"/>
    <x v="1"/>
    <x v="7"/>
    <x v="10"/>
    <x v="36"/>
    <x v="1"/>
    <x v="3"/>
    <x v="1"/>
    <n v="0"/>
    <n v="24396"/>
    <n v="2.4396000000000001E-2"/>
    <n v="43252"/>
    <x v="0"/>
  </r>
  <r>
    <n v="60000314"/>
    <x v="43"/>
    <x v="0"/>
    <x v="1"/>
    <x v="7"/>
    <x v="0"/>
    <n v="0.34"/>
    <x v="1"/>
    <x v="15"/>
    <x v="11"/>
    <x v="20"/>
    <x v="1"/>
    <x v="3"/>
    <x v="0"/>
    <n v="0"/>
    <n v="60089"/>
    <n v="6.0088999999999997E-2"/>
    <n v="43252"/>
    <x v="0"/>
  </r>
  <r>
    <n v="60000315"/>
    <x v="29"/>
    <x v="1"/>
    <x v="1"/>
    <x v="7"/>
    <x v="0"/>
    <n v="0.37"/>
    <x v="1"/>
    <x v="5"/>
    <x v="4"/>
    <x v="12"/>
    <x v="1"/>
    <x v="3"/>
    <x v="0"/>
    <n v="0"/>
    <n v="80153"/>
    <n v="8.0153000000000002E-2"/>
    <n v="43252"/>
    <x v="0"/>
  </r>
  <r>
    <n v="60000316"/>
    <x v="42"/>
    <x v="1"/>
    <x v="1"/>
    <x v="4"/>
    <x v="0"/>
    <n v="0.17"/>
    <x v="2"/>
    <x v="6"/>
    <x v="10"/>
    <x v="43"/>
    <x v="0"/>
    <x v="3"/>
    <x v="0"/>
    <n v="0"/>
    <n v="30014"/>
    <n v="3.0013999999999999E-2"/>
    <n v="43252"/>
    <x v="0"/>
  </r>
  <r>
    <n v="60000317"/>
    <x v="38"/>
    <x v="1"/>
    <x v="0"/>
    <x v="3"/>
    <x v="0"/>
    <n v="0.3"/>
    <x v="3"/>
    <x v="8"/>
    <x v="12"/>
    <x v="17"/>
    <x v="0"/>
    <x v="3"/>
    <x v="1"/>
    <n v="3"/>
    <n v="59887"/>
    <n v="5.9887000000000003E-2"/>
    <n v="43252"/>
    <x v="0"/>
  </r>
  <r>
    <n v="60000318"/>
    <x v="18"/>
    <x v="1"/>
    <x v="1"/>
    <x v="3"/>
    <x v="0"/>
    <n v="0.19"/>
    <x v="0"/>
    <x v="8"/>
    <x v="11"/>
    <x v="39"/>
    <x v="2"/>
    <x v="3"/>
    <x v="0"/>
    <n v="0"/>
    <n v="54530"/>
    <n v="5.4530000000000002E-2"/>
    <n v="43252"/>
    <x v="0"/>
  </r>
  <r>
    <n v="60000319"/>
    <x v="16"/>
    <x v="0"/>
    <x v="0"/>
    <x v="11"/>
    <x v="0"/>
    <n v="0.34"/>
    <x v="1"/>
    <x v="7"/>
    <x v="3"/>
    <x v="34"/>
    <x v="1"/>
    <x v="3"/>
    <x v="0"/>
    <n v="0"/>
    <n v="69493"/>
    <n v="6.9492999999999999E-2"/>
    <n v="43252"/>
    <x v="0"/>
  </r>
  <r>
    <n v="60000320"/>
    <x v="24"/>
    <x v="0"/>
    <x v="0"/>
    <x v="1"/>
    <x v="0"/>
    <n v="0.25"/>
    <x v="3"/>
    <x v="13"/>
    <x v="3"/>
    <x v="45"/>
    <x v="1"/>
    <x v="3"/>
    <x v="0"/>
    <n v="0"/>
    <n v="59545"/>
    <n v="5.9545000000000001E-2"/>
    <n v="43252"/>
    <x v="0"/>
  </r>
  <r>
    <n v="60000321"/>
    <x v="42"/>
    <x v="0"/>
    <x v="0"/>
    <x v="6"/>
    <x v="0"/>
    <n v="0.23"/>
    <x v="0"/>
    <x v="7"/>
    <x v="9"/>
    <x v="28"/>
    <x v="1"/>
    <x v="3"/>
    <x v="0"/>
    <n v="0"/>
    <n v="44617"/>
    <n v="4.4616999999999997E-2"/>
    <n v="43252"/>
    <x v="0"/>
  </r>
  <r>
    <n v="60000322"/>
    <x v="41"/>
    <x v="1"/>
    <x v="0"/>
    <x v="10"/>
    <x v="0"/>
    <n v="0.16"/>
    <x v="2"/>
    <x v="4"/>
    <x v="12"/>
    <x v="34"/>
    <x v="1"/>
    <x v="3"/>
    <x v="1"/>
    <n v="4"/>
    <n v="73689"/>
    <n v="7.3689000000000004E-2"/>
    <n v="43252"/>
    <x v="0"/>
  </r>
  <r>
    <n v="60000323"/>
    <x v="17"/>
    <x v="0"/>
    <x v="1"/>
    <x v="10"/>
    <x v="0"/>
    <n v="0.16"/>
    <x v="2"/>
    <x v="14"/>
    <x v="1"/>
    <x v="2"/>
    <x v="0"/>
    <x v="3"/>
    <x v="1"/>
    <n v="6"/>
    <n v="40223"/>
    <n v="4.0223000000000002E-2"/>
    <n v="43252"/>
    <x v="0"/>
  </r>
  <r>
    <n v="60000324"/>
    <x v="44"/>
    <x v="1"/>
    <x v="0"/>
    <x v="7"/>
    <x v="0"/>
    <n v="0.18"/>
    <x v="2"/>
    <x v="1"/>
    <x v="7"/>
    <x v="3"/>
    <x v="0"/>
    <x v="3"/>
    <x v="0"/>
    <n v="0"/>
    <n v="57482"/>
    <n v="5.7481999999999998E-2"/>
    <n v="43252"/>
    <x v="0"/>
  </r>
  <r>
    <n v="60000325"/>
    <x v="38"/>
    <x v="1"/>
    <x v="0"/>
    <x v="0"/>
    <x v="0"/>
    <n v="0.27"/>
    <x v="3"/>
    <x v="1"/>
    <x v="7"/>
    <x v="12"/>
    <x v="2"/>
    <x v="3"/>
    <x v="1"/>
    <n v="7"/>
    <n v="64281"/>
    <n v="6.4281000000000005E-2"/>
    <n v="43252"/>
    <x v="0"/>
  </r>
  <r>
    <n v="60000326"/>
    <x v="40"/>
    <x v="1"/>
    <x v="0"/>
    <x v="0"/>
    <x v="0"/>
    <n v="0.12"/>
    <x v="2"/>
    <x v="9"/>
    <x v="4"/>
    <x v="3"/>
    <x v="0"/>
    <x v="3"/>
    <x v="1"/>
    <n v="2"/>
    <n v="71618"/>
    <n v="7.1618000000000001E-2"/>
    <n v="43252"/>
    <x v="0"/>
  </r>
  <r>
    <n v="60000327"/>
    <x v="5"/>
    <x v="1"/>
    <x v="0"/>
    <x v="8"/>
    <x v="0"/>
    <n v="0.15"/>
    <x v="2"/>
    <x v="13"/>
    <x v="12"/>
    <x v="17"/>
    <x v="2"/>
    <x v="3"/>
    <x v="0"/>
    <n v="0"/>
    <n v="26318"/>
    <n v="2.6318000000000001E-2"/>
    <n v="43252"/>
    <x v="0"/>
  </r>
  <r>
    <n v="60000328"/>
    <x v="17"/>
    <x v="0"/>
    <x v="1"/>
    <x v="0"/>
    <x v="0"/>
    <n v="0.1"/>
    <x v="4"/>
    <x v="2"/>
    <x v="12"/>
    <x v="18"/>
    <x v="0"/>
    <x v="3"/>
    <x v="1"/>
    <n v="4"/>
    <n v="46356"/>
    <n v="4.6356000000000001E-2"/>
    <n v="43252"/>
    <x v="0"/>
  </r>
  <r>
    <n v="60000329"/>
    <x v="11"/>
    <x v="1"/>
    <x v="1"/>
    <x v="9"/>
    <x v="0"/>
    <n v="0.28000000000000003"/>
    <x v="3"/>
    <x v="6"/>
    <x v="7"/>
    <x v="18"/>
    <x v="0"/>
    <x v="3"/>
    <x v="0"/>
    <n v="0"/>
    <n v="81647"/>
    <n v="8.1646999999999997E-2"/>
    <n v="43252"/>
    <x v="0"/>
  </r>
  <r>
    <n v="60000330"/>
    <x v="24"/>
    <x v="1"/>
    <x v="0"/>
    <x v="8"/>
    <x v="0"/>
    <n v="0.14000000000000001"/>
    <x v="2"/>
    <x v="9"/>
    <x v="8"/>
    <x v="21"/>
    <x v="1"/>
    <x v="3"/>
    <x v="1"/>
    <n v="3"/>
    <n v="54648"/>
    <n v="5.4648000000000002E-2"/>
    <n v="43252"/>
    <x v="0"/>
  </r>
  <r>
    <n v="60000331"/>
    <x v="12"/>
    <x v="1"/>
    <x v="0"/>
    <x v="2"/>
    <x v="0"/>
    <n v="0.24"/>
    <x v="0"/>
    <x v="5"/>
    <x v="11"/>
    <x v="10"/>
    <x v="0"/>
    <x v="3"/>
    <x v="1"/>
    <n v="7"/>
    <n v="81653"/>
    <n v="8.1653000000000003E-2"/>
    <n v="43252"/>
    <x v="0"/>
  </r>
  <r>
    <n v="60000332"/>
    <x v="43"/>
    <x v="1"/>
    <x v="0"/>
    <x v="1"/>
    <x v="0"/>
    <n v="0.38"/>
    <x v="1"/>
    <x v="0"/>
    <x v="12"/>
    <x v="25"/>
    <x v="1"/>
    <x v="3"/>
    <x v="1"/>
    <n v="7"/>
    <n v="77875"/>
    <n v="7.7875E-2"/>
    <n v="43252"/>
    <x v="0"/>
  </r>
  <r>
    <n v="60000333"/>
    <x v="45"/>
    <x v="0"/>
    <x v="0"/>
    <x v="2"/>
    <x v="0"/>
    <n v="0.11"/>
    <x v="4"/>
    <x v="0"/>
    <x v="7"/>
    <x v="47"/>
    <x v="2"/>
    <x v="3"/>
    <x v="0"/>
    <n v="0"/>
    <n v="45273"/>
    <n v="4.5273000000000001E-2"/>
    <n v="43252"/>
    <x v="0"/>
  </r>
  <r>
    <n v="60000334"/>
    <x v="12"/>
    <x v="0"/>
    <x v="1"/>
    <x v="6"/>
    <x v="0"/>
    <n v="0.25"/>
    <x v="3"/>
    <x v="13"/>
    <x v="2"/>
    <x v="32"/>
    <x v="1"/>
    <x v="3"/>
    <x v="1"/>
    <n v="3"/>
    <n v="61595"/>
    <n v="6.1594999999999997E-2"/>
    <n v="43252"/>
    <x v="0"/>
  </r>
  <r>
    <n v="60000335"/>
    <x v="6"/>
    <x v="0"/>
    <x v="0"/>
    <x v="7"/>
    <x v="0"/>
    <n v="0.14000000000000001"/>
    <x v="2"/>
    <x v="3"/>
    <x v="1"/>
    <x v="38"/>
    <x v="1"/>
    <x v="3"/>
    <x v="0"/>
    <n v="0"/>
    <n v="63891"/>
    <n v="6.3891000000000003E-2"/>
    <n v="43252"/>
    <x v="0"/>
  </r>
  <r>
    <n v="60000336"/>
    <x v="27"/>
    <x v="1"/>
    <x v="1"/>
    <x v="7"/>
    <x v="0"/>
    <n v="0.35"/>
    <x v="1"/>
    <x v="6"/>
    <x v="10"/>
    <x v="22"/>
    <x v="2"/>
    <x v="3"/>
    <x v="1"/>
    <n v="3"/>
    <n v="82738"/>
    <n v="8.2738000000000006E-2"/>
    <n v="43252"/>
    <x v="0"/>
  </r>
  <r>
    <n v="60000337"/>
    <x v="16"/>
    <x v="0"/>
    <x v="1"/>
    <x v="8"/>
    <x v="0"/>
    <n v="0.2"/>
    <x v="0"/>
    <x v="1"/>
    <x v="6"/>
    <x v="11"/>
    <x v="2"/>
    <x v="3"/>
    <x v="1"/>
    <n v="0"/>
    <n v="70406"/>
    <n v="7.0405999999999996E-2"/>
    <n v="43252"/>
    <x v="0"/>
  </r>
  <r>
    <n v="60000338"/>
    <x v="1"/>
    <x v="1"/>
    <x v="1"/>
    <x v="6"/>
    <x v="0"/>
    <n v="0.24"/>
    <x v="0"/>
    <x v="7"/>
    <x v="2"/>
    <x v="2"/>
    <x v="0"/>
    <x v="3"/>
    <x v="0"/>
    <n v="0"/>
    <n v="32704"/>
    <n v="3.2703999999999997E-2"/>
    <n v="43252"/>
    <x v="0"/>
  </r>
  <r>
    <n v="60000339"/>
    <x v="41"/>
    <x v="0"/>
    <x v="0"/>
    <x v="4"/>
    <x v="0"/>
    <n v="0.18"/>
    <x v="2"/>
    <x v="4"/>
    <x v="1"/>
    <x v="42"/>
    <x v="2"/>
    <x v="3"/>
    <x v="1"/>
    <n v="5"/>
    <n v="55853"/>
    <n v="5.5853E-2"/>
    <n v="43252"/>
    <x v="0"/>
  </r>
  <r>
    <n v="60000340"/>
    <x v="38"/>
    <x v="1"/>
    <x v="0"/>
    <x v="10"/>
    <x v="0"/>
    <n v="0.21"/>
    <x v="0"/>
    <x v="2"/>
    <x v="10"/>
    <x v="22"/>
    <x v="2"/>
    <x v="3"/>
    <x v="1"/>
    <n v="1"/>
    <n v="68248"/>
    <n v="6.8248000000000003E-2"/>
    <n v="43252"/>
    <x v="0"/>
  </r>
  <r>
    <n v="60000341"/>
    <x v="35"/>
    <x v="0"/>
    <x v="1"/>
    <x v="1"/>
    <x v="0"/>
    <n v="0.21"/>
    <x v="0"/>
    <x v="3"/>
    <x v="5"/>
    <x v="47"/>
    <x v="2"/>
    <x v="3"/>
    <x v="1"/>
    <n v="7"/>
    <n v="66416"/>
    <n v="6.6416000000000003E-2"/>
    <n v="43252"/>
    <x v="0"/>
  </r>
  <r>
    <n v="60000342"/>
    <x v="13"/>
    <x v="0"/>
    <x v="0"/>
    <x v="9"/>
    <x v="0"/>
    <n v="0.31"/>
    <x v="3"/>
    <x v="7"/>
    <x v="0"/>
    <x v="7"/>
    <x v="1"/>
    <x v="3"/>
    <x v="0"/>
    <n v="0"/>
    <n v="30843"/>
    <n v="3.0842999999999999E-2"/>
    <n v="43252"/>
    <x v="0"/>
  </r>
  <r>
    <n v="60000343"/>
    <x v="20"/>
    <x v="0"/>
    <x v="0"/>
    <x v="7"/>
    <x v="0"/>
    <n v="0.33"/>
    <x v="1"/>
    <x v="2"/>
    <x v="12"/>
    <x v="35"/>
    <x v="1"/>
    <x v="3"/>
    <x v="1"/>
    <n v="1"/>
    <n v="75103"/>
    <n v="7.5103000000000003E-2"/>
    <n v="43252"/>
    <x v="0"/>
  </r>
  <r>
    <n v="60000344"/>
    <x v="32"/>
    <x v="0"/>
    <x v="1"/>
    <x v="9"/>
    <x v="0"/>
    <n v="0.3"/>
    <x v="3"/>
    <x v="13"/>
    <x v="0"/>
    <x v="42"/>
    <x v="1"/>
    <x v="3"/>
    <x v="0"/>
    <n v="0"/>
    <n v="25142"/>
    <n v="2.5142000000000001E-2"/>
    <n v="43252"/>
    <x v="0"/>
  </r>
  <r>
    <n v="60000345"/>
    <x v="30"/>
    <x v="1"/>
    <x v="0"/>
    <x v="8"/>
    <x v="0"/>
    <n v="0.25"/>
    <x v="3"/>
    <x v="11"/>
    <x v="5"/>
    <x v="32"/>
    <x v="2"/>
    <x v="3"/>
    <x v="0"/>
    <n v="0"/>
    <n v="66513"/>
    <n v="6.6513000000000003E-2"/>
    <n v="43252"/>
    <x v="0"/>
  </r>
  <r>
    <n v="60000346"/>
    <x v="4"/>
    <x v="0"/>
    <x v="1"/>
    <x v="6"/>
    <x v="0"/>
    <n v="0.24"/>
    <x v="0"/>
    <x v="9"/>
    <x v="12"/>
    <x v="4"/>
    <x v="1"/>
    <x v="3"/>
    <x v="0"/>
    <n v="0"/>
    <n v="27384"/>
    <n v="2.7383999999999999E-2"/>
    <n v="43252"/>
    <x v="0"/>
  </r>
  <r>
    <n v="60000347"/>
    <x v="25"/>
    <x v="0"/>
    <x v="0"/>
    <x v="1"/>
    <x v="0"/>
    <n v="0.23"/>
    <x v="0"/>
    <x v="5"/>
    <x v="11"/>
    <x v="25"/>
    <x v="1"/>
    <x v="3"/>
    <x v="1"/>
    <n v="6"/>
    <n v="38490"/>
    <n v="3.8490000000000003E-2"/>
    <n v="43252"/>
    <x v="0"/>
  </r>
  <r>
    <n v="60000348"/>
    <x v="13"/>
    <x v="0"/>
    <x v="0"/>
    <x v="5"/>
    <x v="0"/>
    <n v="0.11"/>
    <x v="4"/>
    <x v="10"/>
    <x v="2"/>
    <x v="17"/>
    <x v="2"/>
    <x v="3"/>
    <x v="1"/>
    <n v="7"/>
    <n v="82763"/>
    <n v="8.2763000000000003E-2"/>
    <n v="43252"/>
    <x v="0"/>
  </r>
  <r>
    <n v="60000349"/>
    <x v="4"/>
    <x v="0"/>
    <x v="0"/>
    <x v="6"/>
    <x v="0"/>
    <n v="0.36"/>
    <x v="1"/>
    <x v="8"/>
    <x v="12"/>
    <x v="40"/>
    <x v="0"/>
    <x v="3"/>
    <x v="1"/>
    <n v="3"/>
    <n v="43345"/>
    <n v="4.3345000000000002E-2"/>
    <n v="43252"/>
    <x v="0"/>
  </r>
  <r>
    <n v="60000350"/>
    <x v="14"/>
    <x v="1"/>
    <x v="0"/>
    <x v="5"/>
    <x v="0"/>
    <n v="0.32"/>
    <x v="1"/>
    <x v="1"/>
    <x v="5"/>
    <x v="26"/>
    <x v="2"/>
    <x v="3"/>
    <x v="0"/>
    <n v="0"/>
    <n v="24990"/>
    <n v="2.4989999999999998E-2"/>
    <n v="43252"/>
    <x v="0"/>
  </r>
  <r>
    <n v="60000351"/>
    <x v="36"/>
    <x v="0"/>
    <x v="0"/>
    <x v="0"/>
    <x v="0"/>
    <n v="0.18"/>
    <x v="2"/>
    <x v="0"/>
    <x v="12"/>
    <x v="48"/>
    <x v="2"/>
    <x v="3"/>
    <x v="0"/>
    <n v="0"/>
    <n v="25961"/>
    <n v="2.5961000000000001E-2"/>
    <n v="43252"/>
    <x v="0"/>
  </r>
  <r>
    <n v="60000352"/>
    <x v="8"/>
    <x v="0"/>
    <x v="0"/>
    <x v="3"/>
    <x v="0"/>
    <n v="0.38"/>
    <x v="1"/>
    <x v="11"/>
    <x v="3"/>
    <x v="29"/>
    <x v="0"/>
    <x v="3"/>
    <x v="1"/>
    <n v="4"/>
    <n v="37228"/>
    <n v="3.7227999999999997E-2"/>
    <n v="43252"/>
    <x v="0"/>
  </r>
  <r>
    <n v="60000353"/>
    <x v="24"/>
    <x v="1"/>
    <x v="0"/>
    <x v="8"/>
    <x v="0"/>
    <n v="0.28999999999999998"/>
    <x v="3"/>
    <x v="1"/>
    <x v="6"/>
    <x v="44"/>
    <x v="1"/>
    <x v="3"/>
    <x v="0"/>
    <n v="0"/>
    <n v="26244"/>
    <n v="2.6244E-2"/>
    <n v="43252"/>
    <x v="0"/>
  </r>
  <r>
    <n v="60000354"/>
    <x v="42"/>
    <x v="0"/>
    <x v="0"/>
    <x v="6"/>
    <x v="0"/>
    <n v="0.35"/>
    <x v="1"/>
    <x v="12"/>
    <x v="10"/>
    <x v="42"/>
    <x v="2"/>
    <x v="3"/>
    <x v="1"/>
    <n v="6"/>
    <n v="69760"/>
    <n v="6.9760000000000003E-2"/>
    <n v="43252"/>
    <x v="0"/>
  </r>
  <r>
    <n v="60000355"/>
    <x v="33"/>
    <x v="0"/>
    <x v="1"/>
    <x v="8"/>
    <x v="0"/>
    <n v="0.36"/>
    <x v="1"/>
    <x v="13"/>
    <x v="10"/>
    <x v="0"/>
    <x v="0"/>
    <x v="3"/>
    <x v="1"/>
    <n v="2"/>
    <n v="49433"/>
    <n v="4.9432999999999998E-2"/>
    <n v="43252"/>
    <x v="0"/>
  </r>
  <r>
    <n v="60000356"/>
    <x v="38"/>
    <x v="1"/>
    <x v="0"/>
    <x v="0"/>
    <x v="0"/>
    <n v="0.37"/>
    <x v="1"/>
    <x v="6"/>
    <x v="8"/>
    <x v="22"/>
    <x v="0"/>
    <x v="3"/>
    <x v="0"/>
    <n v="0"/>
    <n v="32841"/>
    <n v="3.2841000000000002E-2"/>
    <n v="43252"/>
    <x v="0"/>
  </r>
  <r>
    <n v="60000357"/>
    <x v="18"/>
    <x v="0"/>
    <x v="1"/>
    <x v="7"/>
    <x v="0"/>
    <n v="0.35"/>
    <x v="1"/>
    <x v="5"/>
    <x v="9"/>
    <x v="25"/>
    <x v="0"/>
    <x v="3"/>
    <x v="0"/>
    <n v="0"/>
    <n v="26497"/>
    <n v="2.6497E-2"/>
    <n v="43252"/>
    <x v="0"/>
  </r>
  <r>
    <n v="60000358"/>
    <x v="14"/>
    <x v="0"/>
    <x v="0"/>
    <x v="3"/>
    <x v="0"/>
    <n v="0.37"/>
    <x v="1"/>
    <x v="11"/>
    <x v="6"/>
    <x v="8"/>
    <x v="0"/>
    <x v="3"/>
    <x v="1"/>
    <n v="3"/>
    <n v="24475"/>
    <n v="2.4475E-2"/>
    <n v="43252"/>
    <x v="0"/>
  </r>
  <r>
    <n v="60000359"/>
    <x v="31"/>
    <x v="0"/>
    <x v="0"/>
    <x v="3"/>
    <x v="0"/>
    <n v="0.35"/>
    <x v="1"/>
    <x v="9"/>
    <x v="0"/>
    <x v="32"/>
    <x v="2"/>
    <x v="3"/>
    <x v="0"/>
    <n v="0"/>
    <n v="61193"/>
    <n v="6.1192999999999997E-2"/>
    <n v="43252"/>
    <x v="0"/>
  </r>
  <r>
    <n v="60000360"/>
    <x v="43"/>
    <x v="1"/>
    <x v="1"/>
    <x v="1"/>
    <x v="0"/>
    <n v="0.14000000000000001"/>
    <x v="2"/>
    <x v="10"/>
    <x v="5"/>
    <x v="6"/>
    <x v="0"/>
    <x v="3"/>
    <x v="1"/>
    <n v="6"/>
    <n v="55051"/>
    <n v="5.5051000000000003E-2"/>
    <n v="43252"/>
    <x v="0"/>
  </r>
  <r>
    <n v="60000361"/>
    <x v="14"/>
    <x v="0"/>
    <x v="0"/>
    <x v="0"/>
    <x v="0"/>
    <n v="0.28000000000000003"/>
    <x v="3"/>
    <x v="2"/>
    <x v="0"/>
    <x v="27"/>
    <x v="1"/>
    <x v="3"/>
    <x v="0"/>
    <n v="0"/>
    <n v="36268"/>
    <n v="3.6268000000000002E-2"/>
    <n v="43252"/>
    <x v="0"/>
  </r>
  <r>
    <n v="60000362"/>
    <x v="23"/>
    <x v="0"/>
    <x v="1"/>
    <x v="0"/>
    <x v="0"/>
    <n v="0.21"/>
    <x v="0"/>
    <x v="7"/>
    <x v="10"/>
    <x v="1"/>
    <x v="2"/>
    <x v="3"/>
    <x v="1"/>
    <n v="5"/>
    <n v="62522"/>
    <n v="6.2521999999999994E-2"/>
    <n v="43252"/>
    <x v="0"/>
  </r>
  <r>
    <n v="60000363"/>
    <x v="32"/>
    <x v="0"/>
    <x v="1"/>
    <x v="10"/>
    <x v="0"/>
    <n v="0.16"/>
    <x v="2"/>
    <x v="8"/>
    <x v="6"/>
    <x v="22"/>
    <x v="0"/>
    <x v="3"/>
    <x v="0"/>
    <n v="0"/>
    <n v="74630"/>
    <n v="7.4630000000000002E-2"/>
    <n v="43252"/>
    <x v="0"/>
  </r>
  <r>
    <n v="60000364"/>
    <x v="22"/>
    <x v="0"/>
    <x v="1"/>
    <x v="9"/>
    <x v="0"/>
    <n v="0.14000000000000001"/>
    <x v="2"/>
    <x v="13"/>
    <x v="10"/>
    <x v="2"/>
    <x v="2"/>
    <x v="3"/>
    <x v="1"/>
    <n v="0"/>
    <n v="39889"/>
    <n v="3.9889000000000001E-2"/>
    <n v="43252"/>
    <x v="0"/>
  </r>
  <r>
    <n v="60000365"/>
    <x v="28"/>
    <x v="1"/>
    <x v="1"/>
    <x v="7"/>
    <x v="0"/>
    <n v="0.28999999999999998"/>
    <x v="3"/>
    <x v="2"/>
    <x v="8"/>
    <x v="5"/>
    <x v="1"/>
    <x v="3"/>
    <x v="1"/>
    <n v="5"/>
    <n v="27928"/>
    <n v="2.7928000000000001E-2"/>
    <n v="43252"/>
    <x v="0"/>
  </r>
  <r>
    <n v="60000366"/>
    <x v="31"/>
    <x v="0"/>
    <x v="1"/>
    <x v="4"/>
    <x v="0"/>
    <n v="0.25"/>
    <x v="3"/>
    <x v="5"/>
    <x v="10"/>
    <x v="16"/>
    <x v="0"/>
    <x v="3"/>
    <x v="1"/>
    <n v="1"/>
    <n v="49493"/>
    <n v="4.9493000000000002E-2"/>
    <n v="43252"/>
    <x v="0"/>
  </r>
  <r>
    <n v="60000367"/>
    <x v="34"/>
    <x v="0"/>
    <x v="1"/>
    <x v="3"/>
    <x v="0"/>
    <n v="0.16"/>
    <x v="2"/>
    <x v="0"/>
    <x v="7"/>
    <x v="43"/>
    <x v="0"/>
    <x v="3"/>
    <x v="0"/>
    <n v="0"/>
    <n v="64826"/>
    <n v="6.4825999999999995E-2"/>
    <n v="43252"/>
    <x v="0"/>
  </r>
  <r>
    <n v="60000368"/>
    <x v="43"/>
    <x v="0"/>
    <x v="0"/>
    <x v="2"/>
    <x v="0"/>
    <n v="0.14000000000000001"/>
    <x v="2"/>
    <x v="2"/>
    <x v="11"/>
    <x v="14"/>
    <x v="2"/>
    <x v="3"/>
    <x v="1"/>
    <n v="3"/>
    <n v="54304"/>
    <n v="5.4303999999999998E-2"/>
    <n v="43252"/>
    <x v="0"/>
  </r>
  <r>
    <n v="60000369"/>
    <x v="32"/>
    <x v="1"/>
    <x v="1"/>
    <x v="2"/>
    <x v="0"/>
    <n v="0.28999999999999998"/>
    <x v="3"/>
    <x v="2"/>
    <x v="10"/>
    <x v="27"/>
    <x v="2"/>
    <x v="3"/>
    <x v="0"/>
    <n v="0"/>
    <n v="80617"/>
    <n v="8.0616999999999994E-2"/>
    <n v="43252"/>
    <x v="0"/>
  </r>
  <r>
    <n v="60000370"/>
    <x v="23"/>
    <x v="0"/>
    <x v="0"/>
    <x v="5"/>
    <x v="0"/>
    <n v="0.19"/>
    <x v="0"/>
    <x v="8"/>
    <x v="0"/>
    <x v="23"/>
    <x v="2"/>
    <x v="3"/>
    <x v="0"/>
    <n v="0"/>
    <n v="74854"/>
    <n v="7.4854000000000004E-2"/>
    <n v="43252"/>
    <x v="0"/>
  </r>
  <r>
    <n v="60000371"/>
    <x v="44"/>
    <x v="1"/>
    <x v="1"/>
    <x v="7"/>
    <x v="0"/>
    <n v="0.16"/>
    <x v="2"/>
    <x v="12"/>
    <x v="11"/>
    <x v="4"/>
    <x v="1"/>
    <x v="3"/>
    <x v="0"/>
    <n v="0"/>
    <n v="49343"/>
    <n v="4.9342999999999998E-2"/>
    <n v="43252"/>
    <x v="0"/>
  </r>
  <r>
    <n v="60000372"/>
    <x v="10"/>
    <x v="1"/>
    <x v="1"/>
    <x v="3"/>
    <x v="0"/>
    <n v="0.16"/>
    <x v="2"/>
    <x v="10"/>
    <x v="7"/>
    <x v="25"/>
    <x v="2"/>
    <x v="3"/>
    <x v="1"/>
    <n v="4"/>
    <n v="80425"/>
    <n v="8.0424999999999996E-2"/>
    <n v="43252"/>
    <x v="0"/>
  </r>
  <r>
    <n v="60000373"/>
    <x v="12"/>
    <x v="1"/>
    <x v="0"/>
    <x v="9"/>
    <x v="0"/>
    <n v="0.19"/>
    <x v="0"/>
    <x v="15"/>
    <x v="3"/>
    <x v="31"/>
    <x v="0"/>
    <x v="3"/>
    <x v="1"/>
    <n v="0"/>
    <n v="28635"/>
    <n v="2.8635000000000001E-2"/>
    <n v="43252"/>
    <x v="0"/>
  </r>
  <r>
    <n v="60000374"/>
    <x v="37"/>
    <x v="0"/>
    <x v="0"/>
    <x v="10"/>
    <x v="0"/>
    <n v="0.26"/>
    <x v="3"/>
    <x v="13"/>
    <x v="11"/>
    <x v="34"/>
    <x v="2"/>
    <x v="3"/>
    <x v="0"/>
    <n v="0"/>
    <n v="28074"/>
    <n v="2.8074000000000002E-2"/>
    <n v="43252"/>
    <x v="0"/>
  </r>
  <r>
    <n v="60000375"/>
    <x v="15"/>
    <x v="1"/>
    <x v="0"/>
    <x v="9"/>
    <x v="0"/>
    <n v="0.34"/>
    <x v="1"/>
    <x v="13"/>
    <x v="8"/>
    <x v="20"/>
    <x v="1"/>
    <x v="3"/>
    <x v="1"/>
    <n v="3"/>
    <n v="68445"/>
    <n v="6.8445000000000006E-2"/>
    <n v="43252"/>
    <x v="0"/>
  </r>
  <r>
    <n v="60000376"/>
    <x v="12"/>
    <x v="1"/>
    <x v="1"/>
    <x v="8"/>
    <x v="0"/>
    <n v="0.25"/>
    <x v="3"/>
    <x v="5"/>
    <x v="11"/>
    <x v="38"/>
    <x v="1"/>
    <x v="3"/>
    <x v="0"/>
    <n v="0"/>
    <n v="84067"/>
    <n v="8.4067000000000003E-2"/>
    <n v="43252"/>
    <x v="0"/>
  </r>
  <r>
    <n v="60000377"/>
    <x v="19"/>
    <x v="0"/>
    <x v="1"/>
    <x v="5"/>
    <x v="0"/>
    <n v="0.11"/>
    <x v="4"/>
    <x v="3"/>
    <x v="2"/>
    <x v="36"/>
    <x v="0"/>
    <x v="3"/>
    <x v="0"/>
    <n v="0"/>
    <n v="83731"/>
    <n v="8.3731E-2"/>
    <n v="43252"/>
    <x v="0"/>
  </r>
  <r>
    <n v="60000378"/>
    <x v="25"/>
    <x v="1"/>
    <x v="1"/>
    <x v="6"/>
    <x v="0"/>
    <n v="0.27"/>
    <x v="3"/>
    <x v="10"/>
    <x v="8"/>
    <x v="11"/>
    <x v="0"/>
    <x v="3"/>
    <x v="1"/>
    <n v="1"/>
    <n v="28557"/>
    <n v="2.8556999999999999E-2"/>
    <n v="43252"/>
    <x v="0"/>
  </r>
  <r>
    <n v="60000379"/>
    <x v="2"/>
    <x v="1"/>
    <x v="0"/>
    <x v="5"/>
    <x v="0"/>
    <n v="0.35"/>
    <x v="1"/>
    <x v="6"/>
    <x v="11"/>
    <x v="3"/>
    <x v="2"/>
    <x v="3"/>
    <x v="1"/>
    <n v="5"/>
    <n v="79614"/>
    <n v="7.9614000000000004E-2"/>
    <n v="43252"/>
    <x v="0"/>
  </r>
  <r>
    <n v="60000380"/>
    <x v="8"/>
    <x v="0"/>
    <x v="0"/>
    <x v="6"/>
    <x v="0"/>
    <n v="0.3"/>
    <x v="3"/>
    <x v="3"/>
    <x v="10"/>
    <x v="20"/>
    <x v="1"/>
    <x v="3"/>
    <x v="0"/>
    <n v="0"/>
    <n v="54684"/>
    <n v="5.4684000000000003E-2"/>
    <n v="43252"/>
    <x v="0"/>
  </r>
  <r>
    <n v="60000381"/>
    <x v="21"/>
    <x v="1"/>
    <x v="0"/>
    <x v="6"/>
    <x v="0"/>
    <n v="0.31"/>
    <x v="3"/>
    <x v="3"/>
    <x v="6"/>
    <x v="45"/>
    <x v="2"/>
    <x v="3"/>
    <x v="1"/>
    <n v="7"/>
    <n v="27227"/>
    <n v="2.7227000000000001E-2"/>
    <n v="43252"/>
    <x v="0"/>
  </r>
  <r>
    <n v="60000382"/>
    <x v="20"/>
    <x v="1"/>
    <x v="0"/>
    <x v="4"/>
    <x v="0"/>
    <n v="0.13"/>
    <x v="2"/>
    <x v="5"/>
    <x v="7"/>
    <x v="10"/>
    <x v="1"/>
    <x v="3"/>
    <x v="0"/>
    <n v="0"/>
    <n v="32045"/>
    <n v="3.2044999999999997E-2"/>
    <n v="43252"/>
    <x v="0"/>
  </r>
  <r>
    <n v="60000383"/>
    <x v="43"/>
    <x v="0"/>
    <x v="1"/>
    <x v="3"/>
    <x v="0"/>
    <n v="0.28000000000000003"/>
    <x v="3"/>
    <x v="1"/>
    <x v="8"/>
    <x v="48"/>
    <x v="2"/>
    <x v="3"/>
    <x v="0"/>
    <n v="0"/>
    <n v="25551"/>
    <n v="2.5551000000000001E-2"/>
    <n v="43252"/>
    <x v="0"/>
  </r>
  <r>
    <n v="60000384"/>
    <x v="12"/>
    <x v="0"/>
    <x v="1"/>
    <x v="6"/>
    <x v="0"/>
    <n v="0.2"/>
    <x v="0"/>
    <x v="13"/>
    <x v="7"/>
    <x v="42"/>
    <x v="0"/>
    <x v="3"/>
    <x v="0"/>
    <n v="0"/>
    <n v="43464"/>
    <n v="4.3464000000000003E-2"/>
    <n v="43252"/>
    <x v="0"/>
  </r>
  <r>
    <n v="60000385"/>
    <x v="12"/>
    <x v="1"/>
    <x v="1"/>
    <x v="3"/>
    <x v="0"/>
    <n v="0.3"/>
    <x v="3"/>
    <x v="14"/>
    <x v="4"/>
    <x v="10"/>
    <x v="2"/>
    <x v="3"/>
    <x v="1"/>
    <n v="5"/>
    <n v="41890"/>
    <n v="4.1889999999999997E-2"/>
    <n v="43252"/>
    <x v="0"/>
  </r>
  <r>
    <n v="60000386"/>
    <x v="43"/>
    <x v="1"/>
    <x v="0"/>
    <x v="6"/>
    <x v="0"/>
    <n v="0.17"/>
    <x v="2"/>
    <x v="6"/>
    <x v="0"/>
    <x v="18"/>
    <x v="1"/>
    <x v="3"/>
    <x v="1"/>
    <n v="7"/>
    <n v="36063"/>
    <n v="3.6062999999999998E-2"/>
    <n v="43252"/>
    <x v="0"/>
  </r>
  <r>
    <n v="60000387"/>
    <x v="33"/>
    <x v="0"/>
    <x v="0"/>
    <x v="3"/>
    <x v="0"/>
    <n v="0.24"/>
    <x v="0"/>
    <x v="3"/>
    <x v="2"/>
    <x v="32"/>
    <x v="0"/>
    <x v="3"/>
    <x v="0"/>
    <n v="0"/>
    <n v="80040"/>
    <n v="8.004E-2"/>
    <n v="43252"/>
    <x v="0"/>
  </r>
  <r>
    <n v="60000388"/>
    <x v="20"/>
    <x v="1"/>
    <x v="1"/>
    <x v="0"/>
    <x v="0"/>
    <n v="0.32"/>
    <x v="1"/>
    <x v="10"/>
    <x v="5"/>
    <x v="0"/>
    <x v="2"/>
    <x v="3"/>
    <x v="1"/>
    <n v="1"/>
    <n v="72998"/>
    <n v="7.2997999999999993E-2"/>
    <n v="43252"/>
    <x v="0"/>
  </r>
  <r>
    <n v="60000389"/>
    <x v="34"/>
    <x v="1"/>
    <x v="0"/>
    <x v="8"/>
    <x v="0"/>
    <n v="0.12"/>
    <x v="2"/>
    <x v="9"/>
    <x v="10"/>
    <x v="18"/>
    <x v="2"/>
    <x v="3"/>
    <x v="0"/>
    <n v="0"/>
    <n v="66477"/>
    <n v="6.6476999999999994E-2"/>
    <n v="43252"/>
    <x v="0"/>
  </r>
  <r>
    <n v="60000390"/>
    <x v="26"/>
    <x v="1"/>
    <x v="1"/>
    <x v="6"/>
    <x v="0"/>
    <n v="0.13"/>
    <x v="2"/>
    <x v="6"/>
    <x v="8"/>
    <x v="19"/>
    <x v="2"/>
    <x v="3"/>
    <x v="1"/>
    <n v="7"/>
    <n v="48518"/>
    <n v="4.8517999999999999E-2"/>
    <n v="43252"/>
    <x v="0"/>
  </r>
  <r>
    <n v="60000391"/>
    <x v="28"/>
    <x v="0"/>
    <x v="0"/>
    <x v="9"/>
    <x v="0"/>
    <n v="0.14000000000000001"/>
    <x v="2"/>
    <x v="13"/>
    <x v="12"/>
    <x v="5"/>
    <x v="1"/>
    <x v="3"/>
    <x v="1"/>
    <n v="4"/>
    <n v="34127"/>
    <n v="3.4126999999999998E-2"/>
    <n v="43252"/>
    <x v="0"/>
  </r>
  <r>
    <n v="60000392"/>
    <x v="20"/>
    <x v="0"/>
    <x v="0"/>
    <x v="5"/>
    <x v="0"/>
    <n v="0.21"/>
    <x v="0"/>
    <x v="1"/>
    <x v="8"/>
    <x v="1"/>
    <x v="0"/>
    <x v="3"/>
    <x v="0"/>
    <n v="0"/>
    <n v="64482"/>
    <n v="6.4481999999999998E-2"/>
    <n v="43252"/>
    <x v="0"/>
  </r>
  <r>
    <n v="60000393"/>
    <x v="34"/>
    <x v="1"/>
    <x v="1"/>
    <x v="7"/>
    <x v="0"/>
    <n v="0.21"/>
    <x v="0"/>
    <x v="9"/>
    <x v="2"/>
    <x v="29"/>
    <x v="1"/>
    <x v="3"/>
    <x v="1"/>
    <n v="6"/>
    <n v="54672"/>
    <n v="5.4671999999999998E-2"/>
    <n v="43252"/>
    <x v="0"/>
  </r>
  <r>
    <n v="60000394"/>
    <x v="30"/>
    <x v="1"/>
    <x v="1"/>
    <x v="3"/>
    <x v="0"/>
    <n v="0.17"/>
    <x v="2"/>
    <x v="5"/>
    <x v="8"/>
    <x v="0"/>
    <x v="2"/>
    <x v="3"/>
    <x v="1"/>
    <n v="4"/>
    <n v="51554"/>
    <n v="5.1554000000000003E-2"/>
    <n v="43252"/>
    <x v="0"/>
  </r>
  <r>
    <n v="60000395"/>
    <x v="45"/>
    <x v="1"/>
    <x v="0"/>
    <x v="8"/>
    <x v="0"/>
    <n v="0.37"/>
    <x v="1"/>
    <x v="7"/>
    <x v="1"/>
    <x v="11"/>
    <x v="0"/>
    <x v="3"/>
    <x v="0"/>
    <n v="0"/>
    <n v="44090"/>
    <n v="4.4089999999999997E-2"/>
    <n v="43252"/>
    <x v="0"/>
  </r>
  <r>
    <n v="60000396"/>
    <x v="10"/>
    <x v="0"/>
    <x v="1"/>
    <x v="6"/>
    <x v="0"/>
    <n v="0.23"/>
    <x v="0"/>
    <x v="7"/>
    <x v="0"/>
    <x v="11"/>
    <x v="0"/>
    <x v="3"/>
    <x v="0"/>
    <n v="0"/>
    <n v="81393"/>
    <n v="8.1392999999999993E-2"/>
    <n v="43252"/>
    <x v="0"/>
  </r>
  <r>
    <n v="60000397"/>
    <x v="34"/>
    <x v="1"/>
    <x v="1"/>
    <x v="2"/>
    <x v="0"/>
    <n v="0.33"/>
    <x v="1"/>
    <x v="10"/>
    <x v="0"/>
    <x v="14"/>
    <x v="0"/>
    <x v="3"/>
    <x v="1"/>
    <n v="1"/>
    <n v="35847"/>
    <n v="3.5846999999999997E-2"/>
    <n v="43252"/>
    <x v="0"/>
  </r>
  <r>
    <n v="60000398"/>
    <x v="10"/>
    <x v="1"/>
    <x v="1"/>
    <x v="9"/>
    <x v="0"/>
    <n v="0.27"/>
    <x v="3"/>
    <x v="10"/>
    <x v="5"/>
    <x v="38"/>
    <x v="0"/>
    <x v="3"/>
    <x v="1"/>
    <n v="3"/>
    <n v="73014"/>
    <n v="7.3013999999999996E-2"/>
    <n v="43252"/>
    <x v="0"/>
  </r>
  <r>
    <n v="60000399"/>
    <x v="3"/>
    <x v="0"/>
    <x v="0"/>
    <x v="11"/>
    <x v="0"/>
    <n v="0.16"/>
    <x v="2"/>
    <x v="11"/>
    <x v="6"/>
    <x v="18"/>
    <x v="0"/>
    <x v="3"/>
    <x v="1"/>
    <n v="2"/>
    <n v="48965"/>
    <n v="4.8965000000000002E-2"/>
    <n v="43252"/>
    <x v="0"/>
  </r>
  <r>
    <n v="60000400"/>
    <x v="35"/>
    <x v="0"/>
    <x v="0"/>
    <x v="10"/>
    <x v="0"/>
    <n v="0.15"/>
    <x v="2"/>
    <x v="11"/>
    <x v="8"/>
    <x v="10"/>
    <x v="1"/>
    <x v="3"/>
    <x v="0"/>
    <n v="0"/>
    <n v="23504"/>
    <n v="2.3504000000000001E-2"/>
    <n v="43252"/>
    <x v="0"/>
  </r>
  <r>
    <n v="60000401"/>
    <x v="5"/>
    <x v="0"/>
    <x v="0"/>
    <x v="3"/>
    <x v="0"/>
    <n v="0.12"/>
    <x v="2"/>
    <x v="4"/>
    <x v="3"/>
    <x v="37"/>
    <x v="0"/>
    <x v="3"/>
    <x v="0"/>
    <n v="0"/>
    <n v="28997"/>
    <n v="2.8996999999999998E-2"/>
    <n v="43252"/>
    <x v="0"/>
  </r>
  <r>
    <n v="60000402"/>
    <x v="35"/>
    <x v="1"/>
    <x v="1"/>
    <x v="6"/>
    <x v="0"/>
    <n v="0.37"/>
    <x v="1"/>
    <x v="3"/>
    <x v="2"/>
    <x v="7"/>
    <x v="0"/>
    <x v="3"/>
    <x v="1"/>
    <n v="0"/>
    <n v="29285"/>
    <n v="2.9284999999999999E-2"/>
    <n v="43252"/>
    <x v="0"/>
  </r>
  <r>
    <n v="60000403"/>
    <x v="6"/>
    <x v="0"/>
    <x v="0"/>
    <x v="11"/>
    <x v="0"/>
    <n v="0.14000000000000001"/>
    <x v="2"/>
    <x v="3"/>
    <x v="2"/>
    <x v="16"/>
    <x v="2"/>
    <x v="3"/>
    <x v="0"/>
    <n v="0"/>
    <n v="47552"/>
    <n v="4.7551999999999997E-2"/>
    <n v="43252"/>
    <x v="0"/>
  </r>
  <r>
    <n v="60000404"/>
    <x v="9"/>
    <x v="1"/>
    <x v="0"/>
    <x v="7"/>
    <x v="0"/>
    <n v="0.36"/>
    <x v="1"/>
    <x v="10"/>
    <x v="5"/>
    <x v="43"/>
    <x v="2"/>
    <x v="3"/>
    <x v="1"/>
    <n v="7"/>
    <n v="69505"/>
    <n v="6.9504999999999997E-2"/>
    <n v="43252"/>
    <x v="0"/>
  </r>
  <r>
    <n v="60000405"/>
    <x v="17"/>
    <x v="0"/>
    <x v="1"/>
    <x v="6"/>
    <x v="0"/>
    <n v="0.12"/>
    <x v="2"/>
    <x v="10"/>
    <x v="0"/>
    <x v="19"/>
    <x v="2"/>
    <x v="3"/>
    <x v="0"/>
    <n v="0"/>
    <n v="67632"/>
    <n v="6.7631999999999998E-2"/>
    <n v="43252"/>
    <x v="0"/>
  </r>
  <r>
    <n v="60000406"/>
    <x v="35"/>
    <x v="1"/>
    <x v="0"/>
    <x v="0"/>
    <x v="0"/>
    <n v="0.21"/>
    <x v="0"/>
    <x v="8"/>
    <x v="11"/>
    <x v="40"/>
    <x v="1"/>
    <x v="3"/>
    <x v="0"/>
    <n v="0"/>
    <n v="60132"/>
    <n v="6.0131999999999998E-2"/>
    <n v="43252"/>
    <x v="0"/>
  </r>
  <r>
    <n v="60000407"/>
    <x v="43"/>
    <x v="1"/>
    <x v="1"/>
    <x v="8"/>
    <x v="0"/>
    <n v="0.38"/>
    <x v="1"/>
    <x v="1"/>
    <x v="4"/>
    <x v="48"/>
    <x v="0"/>
    <x v="3"/>
    <x v="1"/>
    <n v="6"/>
    <n v="81351"/>
    <n v="8.1351000000000007E-2"/>
    <n v="43252"/>
    <x v="0"/>
  </r>
  <r>
    <n v="60000408"/>
    <x v="40"/>
    <x v="0"/>
    <x v="0"/>
    <x v="7"/>
    <x v="0"/>
    <n v="0.32"/>
    <x v="1"/>
    <x v="1"/>
    <x v="12"/>
    <x v="10"/>
    <x v="0"/>
    <x v="3"/>
    <x v="1"/>
    <n v="1"/>
    <n v="56880"/>
    <n v="5.688E-2"/>
    <n v="43252"/>
    <x v="0"/>
  </r>
  <r>
    <n v="60000409"/>
    <x v="28"/>
    <x v="1"/>
    <x v="1"/>
    <x v="0"/>
    <x v="0"/>
    <n v="0.3"/>
    <x v="3"/>
    <x v="3"/>
    <x v="7"/>
    <x v="18"/>
    <x v="1"/>
    <x v="3"/>
    <x v="1"/>
    <n v="1"/>
    <n v="58453"/>
    <n v="5.8452999999999998E-2"/>
    <n v="43252"/>
    <x v="0"/>
  </r>
  <r>
    <n v="60000410"/>
    <x v="27"/>
    <x v="1"/>
    <x v="1"/>
    <x v="5"/>
    <x v="0"/>
    <n v="0.2"/>
    <x v="0"/>
    <x v="6"/>
    <x v="10"/>
    <x v="39"/>
    <x v="1"/>
    <x v="3"/>
    <x v="1"/>
    <n v="5"/>
    <n v="67984"/>
    <n v="6.7984000000000003E-2"/>
    <n v="43252"/>
    <x v="0"/>
  </r>
  <r>
    <n v="60000411"/>
    <x v="18"/>
    <x v="0"/>
    <x v="0"/>
    <x v="10"/>
    <x v="0"/>
    <n v="0.32"/>
    <x v="1"/>
    <x v="11"/>
    <x v="10"/>
    <x v="42"/>
    <x v="0"/>
    <x v="3"/>
    <x v="1"/>
    <n v="1"/>
    <n v="72612"/>
    <n v="7.2611999999999996E-2"/>
    <n v="43252"/>
    <x v="0"/>
  </r>
  <r>
    <n v="60000412"/>
    <x v="38"/>
    <x v="1"/>
    <x v="1"/>
    <x v="1"/>
    <x v="0"/>
    <n v="0.33"/>
    <x v="1"/>
    <x v="9"/>
    <x v="7"/>
    <x v="13"/>
    <x v="2"/>
    <x v="3"/>
    <x v="0"/>
    <n v="0"/>
    <n v="27132"/>
    <n v="2.7132E-2"/>
    <n v="43252"/>
    <x v="0"/>
  </r>
  <r>
    <n v="60000413"/>
    <x v="24"/>
    <x v="0"/>
    <x v="1"/>
    <x v="3"/>
    <x v="0"/>
    <n v="0.36"/>
    <x v="1"/>
    <x v="7"/>
    <x v="12"/>
    <x v="31"/>
    <x v="0"/>
    <x v="3"/>
    <x v="0"/>
    <n v="0"/>
    <n v="42131"/>
    <n v="4.2131000000000002E-2"/>
    <n v="43252"/>
    <x v="0"/>
  </r>
  <r>
    <n v="60000414"/>
    <x v="21"/>
    <x v="1"/>
    <x v="0"/>
    <x v="4"/>
    <x v="0"/>
    <n v="0.21"/>
    <x v="0"/>
    <x v="3"/>
    <x v="4"/>
    <x v="33"/>
    <x v="1"/>
    <x v="3"/>
    <x v="1"/>
    <n v="4"/>
    <n v="31293"/>
    <n v="3.1293000000000001E-2"/>
    <n v="43252"/>
    <x v="0"/>
  </r>
  <r>
    <n v="60000415"/>
    <x v="43"/>
    <x v="0"/>
    <x v="0"/>
    <x v="8"/>
    <x v="0"/>
    <n v="0.28000000000000003"/>
    <x v="3"/>
    <x v="14"/>
    <x v="10"/>
    <x v="13"/>
    <x v="0"/>
    <x v="3"/>
    <x v="1"/>
    <n v="4"/>
    <n v="50744"/>
    <n v="5.0743999999999997E-2"/>
    <n v="43252"/>
    <x v="0"/>
  </r>
  <r>
    <n v="60000416"/>
    <x v="27"/>
    <x v="0"/>
    <x v="1"/>
    <x v="7"/>
    <x v="0"/>
    <n v="0.3"/>
    <x v="3"/>
    <x v="5"/>
    <x v="10"/>
    <x v="1"/>
    <x v="2"/>
    <x v="3"/>
    <x v="0"/>
    <n v="0"/>
    <n v="27824"/>
    <n v="2.7824000000000002E-2"/>
    <n v="43252"/>
    <x v="0"/>
  </r>
  <r>
    <n v="60000417"/>
    <x v="3"/>
    <x v="0"/>
    <x v="1"/>
    <x v="3"/>
    <x v="0"/>
    <n v="0.19"/>
    <x v="0"/>
    <x v="8"/>
    <x v="7"/>
    <x v="48"/>
    <x v="0"/>
    <x v="3"/>
    <x v="1"/>
    <n v="3"/>
    <n v="37576"/>
    <n v="3.7575999999999998E-2"/>
    <n v="43252"/>
    <x v="0"/>
  </r>
  <r>
    <n v="60000418"/>
    <x v="8"/>
    <x v="0"/>
    <x v="0"/>
    <x v="7"/>
    <x v="0"/>
    <n v="0.2"/>
    <x v="0"/>
    <x v="11"/>
    <x v="11"/>
    <x v="21"/>
    <x v="0"/>
    <x v="3"/>
    <x v="0"/>
    <n v="0"/>
    <n v="28458"/>
    <n v="2.8458000000000001E-2"/>
    <n v="43252"/>
    <x v="0"/>
  </r>
  <r>
    <n v="60000419"/>
    <x v="38"/>
    <x v="0"/>
    <x v="1"/>
    <x v="10"/>
    <x v="0"/>
    <n v="0.18"/>
    <x v="2"/>
    <x v="6"/>
    <x v="10"/>
    <x v="11"/>
    <x v="1"/>
    <x v="3"/>
    <x v="0"/>
    <n v="0"/>
    <n v="23995"/>
    <n v="2.3994999999999999E-2"/>
    <n v="43252"/>
    <x v="0"/>
  </r>
  <r>
    <n v="60000420"/>
    <x v="19"/>
    <x v="1"/>
    <x v="0"/>
    <x v="3"/>
    <x v="0"/>
    <n v="0.26"/>
    <x v="3"/>
    <x v="11"/>
    <x v="4"/>
    <x v="2"/>
    <x v="1"/>
    <x v="3"/>
    <x v="1"/>
    <n v="5"/>
    <n v="23626"/>
    <n v="2.3626000000000001E-2"/>
    <n v="43252"/>
    <x v="0"/>
  </r>
  <r>
    <n v="60000421"/>
    <x v="4"/>
    <x v="1"/>
    <x v="1"/>
    <x v="5"/>
    <x v="0"/>
    <n v="0.1"/>
    <x v="4"/>
    <x v="5"/>
    <x v="0"/>
    <x v="43"/>
    <x v="2"/>
    <x v="3"/>
    <x v="1"/>
    <n v="5"/>
    <n v="24556"/>
    <n v="2.4556000000000001E-2"/>
    <n v="43252"/>
    <x v="0"/>
  </r>
  <r>
    <n v="60000422"/>
    <x v="26"/>
    <x v="0"/>
    <x v="0"/>
    <x v="8"/>
    <x v="0"/>
    <n v="0.12"/>
    <x v="2"/>
    <x v="13"/>
    <x v="1"/>
    <x v="30"/>
    <x v="2"/>
    <x v="3"/>
    <x v="1"/>
    <n v="7"/>
    <n v="36555"/>
    <n v="3.6554999999999997E-2"/>
    <n v="43252"/>
    <x v="0"/>
  </r>
  <r>
    <n v="60000423"/>
    <x v="7"/>
    <x v="1"/>
    <x v="0"/>
    <x v="10"/>
    <x v="0"/>
    <n v="0.3"/>
    <x v="3"/>
    <x v="11"/>
    <x v="6"/>
    <x v="36"/>
    <x v="1"/>
    <x v="3"/>
    <x v="0"/>
    <n v="0"/>
    <n v="61440"/>
    <n v="6.1440000000000002E-2"/>
    <n v="43252"/>
    <x v="0"/>
  </r>
  <r>
    <n v="60000424"/>
    <x v="16"/>
    <x v="1"/>
    <x v="1"/>
    <x v="0"/>
    <x v="0"/>
    <n v="0.16"/>
    <x v="2"/>
    <x v="5"/>
    <x v="12"/>
    <x v="4"/>
    <x v="1"/>
    <x v="3"/>
    <x v="1"/>
    <n v="7"/>
    <n v="38307"/>
    <n v="3.8307000000000001E-2"/>
    <n v="43252"/>
    <x v="0"/>
  </r>
  <r>
    <n v="60000425"/>
    <x v="18"/>
    <x v="1"/>
    <x v="0"/>
    <x v="7"/>
    <x v="0"/>
    <n v="0.24"/>
    <x v="0"/>
    <x v="9"/>
    <x v="4"/>
    <x v="10"/>
    <x v="0"/>
    <x v="3"/>
    <x v="0"/>
    <n v="0"/>
    <n v="49359"/>
    <n v="4.9359E-2"/>
    <n v="43252"/>
    <x v="0"/>
  </r>
  <r>
    <n v="60000426"/>
    <x v="8"/>
    <x v="1"/>
    <x v="1"/>
    <x v="0"/>
    <x v="0"/>
    <n v="0.1"/>
    <x v="4"/>
    <x v="6"/>
    <x v="10"/>
    <x v="44"/>
    <x v="2"/>
    <x v="3"/>
    <x v="1"/>
    <n v="4"/>
    <n v="73142"/>
    <n v="7.3141999999999999E-2"/>
    <n v="43252"/>
    <x v="0"/>
  </r>
  <r>
    <n v="60000427"/>
    <x v="9"/>
    <x v="1"/>
    <x v="1"/>
    <x v="11"/>
    <x v="0"/>
    <n v="0.22"/>
    <x v="0"/>
    <x v="15"/>
    <x v="6"/>
    <x v="2"/>
    <x v="0"/>
    <x v="3"/>
    <x v="1"/>
    <n v="4"/>
    <n v="36101"/>
    <n v="3.6101000000000001E-2"/>
    <n v="43252"/>
    <x v="0"/>
  </r>
  <r>
    <n v="60000428"/>
    <x v="20"/>
    <x v="1"/>
    <x v="1"/>
    <x v="1"/>
    <x v="0"/>
    <n v="0.35"/>
    <x v="1"/>
    <x v="0"/>
    <x v="11"/>
    <x v="8"/>
    <x v="1"/>
    <x v="3"/>
    <x v="1"/>
    <n v="5"/>
    <n v="25090"/>
    <n v="2.5090000000000001E-2"/>
    <n v="43252"/>
    <x v="0"/>
  </r>
  <r>
    <n v="60000429"/>
    <x v="43"/>
    <x v="0"/>
    <x v="1"/>
    <x v="7"/>
    <x v="0"/>
    <n v="0.33"/>
    <x v="1"/>
    <x v="12"/>
    <x v="5"/>
    <x v="1"/>
    <x v="1"/>
    <x v="3"/>
    <x v="0"/>
    <n v="0"/>
    <n v="41042"/>
    <n v="4.1042000000000002E-2"/>
    <n v="43252"/>
    <x v="0"/>
  </r>
  <r>
    <n v="60000430"/>
    <x v="11"/>
    <x v="0"/>
    <x v="1"/>
    <x v="11"/>
    <x v="0"/>
    <n v="0.21"/>
    <x v="0"/>
    <x v="12"/>
    <x v="1"/>
    <x v="23"/>
    <x v="0"/>
    <x v="3"/>
    <x v="0"/>
    <n v="0"/>
    <n v="60451"/>
    <n v="6.0450999999999998E-2"/>
    <n v="43252"/>
    <x v="0"/>
  </r>
  <r>
    <n v="60000431"/>
    <x v="27"/>
    <x v="0"/>
    <x v="1"/>
    <x v="0"/>
    <x v="0"/>
    <n v="0.12"/>
    <x v="2"/>
    <x v="9"/>
    <x v="9"/>
    <x v="47"/>
    <x v="0"/>
    <x v="3"/>
    <x v="1"/>
    <n v="6"/>
    <n v="26178"/>
    <n v="2.6178E-2"/>
    <n v="43252"/>
    <x v="0"/>
  </r>
  <r>
    <n v="60000432"/>
    <x v="10"/>
    <x v="1"/>
    <x v="0"/>
    <x v="2"/>
    <x v="0"/>
    <n v="0.22"/>
    <x v="0"/>
    <x v="13"/>
    <x v="5"/>
    <x v="8"/>
    <x v="0"/>
    <x v="3"/>
    <x v="1"/>
    <n v="1"/>
    <n v="57367"/>
    <n v="5.7367000000000001E-2"/>
    <n v="43252"/>
    <x v="0"/>
  </r>
  <r>
    <n v="60000433"/>
    <x v="11"/>
    <x v="0"/>
    <x v="1"/>
    <x v="10"/>
    <x v="0"/>
    <n v="0.33"/>
    <x v="1"/>
    <x v="3"/>
    <x v="11"/>
    <x v="15"/>
    <x v="2"/>
    <x v="3"/>
    <x v="0"/>
    <n v="0"/>
    <n v="70761"/>
    <n v="7.0761000000000004E-2"/>
    <n v="43252"/>
    <x v="0"/>
  </r>
  <r>
    <n v="60000434"/>
    <x v="37"/>
    <x v="0"/>
    <x v="0"/>
    <x v="9"/>
    <x v="0"/>
    <n v="0.13"/>
    <x v="2"/>
    <x v="6"/>
    <x v="8"/>
    <x v="17"/>
    <x v="0"/>
    <x v="3"/>
    <x v="1"/>
    <n v="2"/>
    <n v="26855"/>
    <n v="2.6855E-2"/>
    <n v="43252"/>
    <x v="0"/>
  </r>
  <r>
    <n v="60000435"/>
    <x v="19"/>
    <x v="1"/>
    <x v="0"/>
    <x v="7"/>
    <x v="0"/>
    <n v="0.33"/>
    <x v="1"/>
    <x v="0"/>
    <x v="6"/>
    <x v="8"/>
    <x v="2"/>
    <x v="3"/>
    <x v="0"/>
    <n v="0"/>
    <n v="78889"/>
    <n v="7.8889000000000001E-2"/>
    <n v="43252"/>
    <x v="0"/>
  </r>
  <r>
    <n v="60000436"/>
    <x v="29"/>
    <x v="1"/>
    <x v="0"/>
    <x v="0"/>
    <x v="0"/>
    <n v="0.38"/>
    <x v="1"/>
    <x v="5"/>
    <x v="11"/>
    <x v="19"/>
    <x v="1"/>
    <x v="3"/>
    <x v="1"/>
    <n v="3"/>
    <n v="34581"/>
    <n v="3.4581000000000001E-2"/>
    <n v="43252"/>
    <x v="0"/>
  </r>
  <r>
    <n v="60000437"/>
    <x v="18"/>
    <x v="0"/>
    <x v="1"/>
    <x v="10"/>
    <x v="0"/>
    <n v="0.37"/>
    <x v="1"/>
    <x v="7"/>
    <x v="9"/>
    <x v="26"/>
    <x v="0"/>
    <x v="3"/>
    <x v="0"/>
    <n v="0"/>
    <n v="38750"/>
    <n v="3.875E-2"/>
    <n v="43252"/>
    <x v="0"/>
  </r>
  <r>
    <n v="60000438"/>
    <x v="23"/>
    <x v="0"/>
    <x v="1"/>
    <x v="6"/>
    <x v="0"/>
    <n v="0.15"/>
    <x v="2"/>
    <x v="1"/>
    <x v="8"/>
    <x v="31"/>
    <x v="0"/>
    <x v="3"/>
    <x v="1"/>
    <n v="3"/>
    <n v="27003"/>
    <n v="2.7002999999999999E-2"/>
    <n v="43252"/>
    <x v="0"/>
  </r>
  <r>
    <n v="60000439"/>
    <x v="12"/>
    <x v="1"/>
    <x v="0"/>
    <x v="5"/>
    <x v="0"/>
    <n v="0.1"/>
    <x v="4"/>
    <x v="1"/>
    <x v="6"/>
    <x v="33"/>
    <x v="1"/>
    <x v="3"/>
    <x v="1"/>
    <n v="7"/>
    <n v="35593"/>
    <n v="3.5593E-2"/>
    <n v="43252"/>
    <x v="0"/>
  </r>
  <r>
    <n v="60000440"/>
    <x v="9"/>
    <x v="0"/>
    <x v="0"/>
    <x v="10"/>
    <x v="1"/>
    <n v="0.18"/>
    <x v="2"/>
    <x v="6"/>
    <x v="0"/>
    <x v="18"/>
    <x v="2"/>
    <x v="3"/>
    <x v="1"/>
    <n v="4"/>
    <n v="54011"/>
    <n v="5.4011000000000003E-2"/>
    <n v="43252"/>
    <x v="0"/>
  </r>
  <r>
    <n v="60000441"/>
    <x v="12"/>
    <x v="0"/>
    <x v="0"/>
    <x v="11"/>
    <x v="1"/>
    <n v="0.1"/>
    <x v="4"/>
    <x v="5"/>
    <x v="8"/>
    <x v="3"/>
    <x v="2"/>
    <x v="3"/>
    <x v="1"/>
    <n v="0"/>
    <n v="39860"/>
    <n v="3.986E-2"/>
    <n v="43252"/>
    <x v="0"/>
  </r>
  <r>
    <n v="60000442"/>
    <x v="35"/>
    <x v="1"/>
    <x v="1"/>
    <x v="11"/>
    <x v="0"/>
    <n v="0.35"/>
    <x v="1"/>
    <x v="7"/>
    <x v="1"/>
    <x v="20"/>
    <x v="0"/>
    <x v="3"/>
    <x v="0"/>
    <n v="0"/>
    <n v="78921"/>
    <n v="7.8921000000000005E-2"/>
    <n v="43252"/>
    <x v="0"/>
  </r>
  <r>
    <n v="60000443"/>
    <x v="36"/>
    <x v="1"/>
    <x v="1"/>
    <x v="0"/>
    <x v="0"/>
    <n v="0.37"/>
    <x v="1"/>
    <x v="14"/>
    <x v="4"/>
    <x v="17"/>
    <x v="0"/>
    <x v="3"/>
    <x v="1"/>
    <n v="3"/>
    <n v="49834"/>
    <n v="4.9834000000000003E-2"/>
    <n v="43252"/>
    <x v="0"/>
  </r>
  <r>
    <n v="60000444"/>
    <x v="28"/>
    <x v="1"/>
    <x v="0"/>
    <x v="7"/>
    <x v="2"/>
    <n v="0.19"/>
    <x v="0"/>
    <x v="8"/>
    <x v="10"/>
    <x v="20"/>
    <x v="2"/>
    <x v="3"/>
    <x v="0"/>
    <n v="0"/>
    <n v="37822"/>
    <n v="3.7822000000000001E-2"/>
    <n v="43252"/>
    <x v="0"/>
  </r>
  <r>
    <n v="60000445"/>
    <x v="32"/>
    <x v="0"/>
    <x v="1"/>
    <x v="5"/>
    <x v="0"/>
    <n v="0.3"/>
    <x v="3"/>
    <x v="7"/>
    <x v="3"/>
    <x v="24"/>
    <x v="2"/>
    <x v="3"/>
    <x v="0"/>
    <n v="0"/>
    <n v="38296"/>
    <n v="3.8295999999999997E-2"/>
    <n v="43252"/>
    <x v="0"/>
  </r>
  <r>
    <n v="60000446"/>
    <x v="34"/>
    <x v="1"/>
    <x v="1"/>
    <x v="3"/>
    <x v="0"/>
    <n v="0.14000000000000001"/>
    <x v="2"/>
    <x v="2"/>
    <x v="4"/>
    <x v="20"/>
    <x v="1"/>
    <x v="3"/>
    <x v="1"/>
    <n v="0"/>
    <n v="78541"/>
    <n v="7.8541E-2"/>
    <n v="43252"/>
    <x v="0"/>
  </r>
  <r>
    <n v="60000447"/>
    <x v="11"/>
    <x v="0"/>
    <x v="1"/>
    <x v="6"/>
    <x v="2"/>
    <n v="0.3"/>
    <x v="3"/>
    <x v="1"/>
    <x v="10"/>
    <x v="32"/>
    <x v="0"/>
    <x v="3"/>
    <x v="0"/>
    <n v="0"/>
    <n v="79092"/>
    <n v="7.9091999999999996E-2"/>
    <n v="43252"/>
    <x v="0"/>
  </r>
  <r>
    <n v="60000448"/>
    <x v="15"/>
    <x v="0"/>
    <x v="1"/>
    <x v="2"/>
    <x v="1"/>
    <n v="0.18"/>
    <x v="2"/>
    <x v="5"/>
    <x v="9"/>
    <x v="31"/>
    <x v="0"/>
    <x v="3"/>
    <x v="1"/>
    <n v="7"/>
    <n v="76003"/>
    <n v="7.6003000000000001E-2"/>
    <n v="43252"/>
    <x v="0"/>
  </r>
  <r>
    <n v="60000449"/>
    <x v="34"/>
    <x v="1"/>
    <x v="0"/>
    <x v="10"/>
    <x v="0"/>
    <n v="0.34"/>
    <x v="1"/>
    <x v="12"/>
    <x v="6"/>
    <x v="7"/>
    <x v="2"/>
    <x v="3"/>
    <x v="1"/>
    <n v="6"/>
    <n v="46543"/>
    <n v="4.6543000000000001E-2"/>
    <n v="43252"/>
    <x v="0"/>
  </r>
  <r>
    <n v="60000450"/>
    <x v="11"/>
    <x v="1"/>
    <x v="1"/>
    <x v="10"/>
    <x v="0"/>
    <n v="0.18"/>
    <x v="2"/>
    <x v="0"/>
    <x v="7"/>
    <x v="37"/>
    <x v="1"/>
    <x v="3"/>
    <x v="0"/>
    <n v="0"/>
    <n v="81088"/>
    <n v="8.1087999999999993E-2"/>
    <n v="43252"/>
    <x v="0"/>
  </r>
  <r>
    <n v="60000451"/>
    <x v="24"/>
    <x v="1"/>
    <x v="1"/>
    <x v="4"/>
    <x v="0"/>
    <n v="0.32"/>
    <x v="1"/>
    <x v="11"/>
    <x v="1"/>
    <x v="20"/>
    <x v="1"/>
    <x v="3"/>
    <x v="1"/>
    <n v="1"/>
    <n v="69209"/>
    <n v="6.9209000000000007E-2"/>
    <n v="43252"/>
    <x v="0"/>
  </r>
  <r>
    <n v="60000452"/>
    <x v="26"/>
    <x v="0"/>
    <x v="1"/>
    <x v="4"/>
    <x v="2"/>
    <n v="0.31"/>
    <x v="3"/>
    <x v="4"/>
    <x v="0"/>
    <x v="9"/>
    <x v="2"/>
    <x v="3"/>
    <x v="1"/>
    <n v="2"/>
    <n v="33431"/>
    <n v="3.3431000000000002E-2"/>
    <n v="43252"/>
    <x v="0"/>
  </r>
  <r>
    <n v="60000453"/>
    <x v="2"/>
    <x v="0"/>
    <x v="0"/>
    <x v="9"/>
    <x v="2"/>
    <n v="0.17"/>
    <x v="2"/>
    <x v="10"/>
    <x v="12"/>
    <x v="20"/>
    <x v="1"/>
    <x v="3"/>
    <x v="1"/>
    <n v="0"/>
    <n v="59716"/>
    <n v="5.9715999999999998E-2"/>
    <n v="43252"/>
    <x v="0"/>
  </r>
  <r>
    <n v="60000454"/>
    <x v="5"/>
    <x v="0"/>
    <x v="0"/>
    <x v="9"/>
    <x v="2"/>
    <n v="0.32"/>
    <x v="1"/>
    <x v="2"/>
    <x v="5"/>
    <x v="19"/>
    <x v="1"/>
    <x v="3"/>
    <x v="1"/>
    <n v="4"/>
    <n v="84839"/>
    <n v="8.4838999999999998E-2"/>
    <n v="43252"/>
    <x v="0"/>
  </r>
  <r>
    <n v="60000455"/>
    <x v="21"/>
    <x v="1"/>
    <x v="1"/>
    <x v="1"/>
    <x v="1"/>
    <n v="0.35"/>
    <x v="1"/>
    <x v="7"/>
    <x v="0"/>
    <x v="15"/>
    <x v="0"/>
    <x v="3"/>
    <x v="0"/>
    <n v="0"/>
    <n v="52981"/>
    <n v="5.2981E-2"/>
    <n v="43252"/>
    <x v="0"/>
  </r>
  <r>
    <n v="60000456"/>
    <x v="5"/>
    <x v="0"/>
    <x v="0"/>
    <x v="9"/>
    <x v="0"/>
    <n v="0.25"/>
    <x v="3"/>
    <x v="5"/>
    <x v="7"/>
    <x v="49"/>
    <x v="0"/>
    <x v="3"/>
    <x v="0"/>
    <n v="0"/>
    <n v="75264"/>
    <n v="7.5263999999999998E-2"/>
    <n v="43252"/>
    <x v="0"/>
  </r>
  <r>
    <n v="60000457"/>
    <x v="27"/>
    <x v="0"/>
    <x v="1"/>
    <x v="9"/>
    <x v="2"/>
    <n v="0.17"/>
    <x v="2"/>
    <x v="10"/>
    <x v="7"/>
    <x v="22"/>
    <x v="2"/>
    <x v="3"/>
    <x v="0"/>
    <n v="0"/>
    <n v="40112"/>
    <n v="4.0112000000000002E-2"/>
    <n v="43252"/>
    <x v="0"/>
  </r>
  <r>
    <n v="60000458"/>
    <x v="10"/>
    <x v="0"/>
    <x v="1"/>
    <x v="1"/>
    <x v="1"/>
    <n v="0.32"/>
    <x v="1"/>
    <x v="4"/>
    <x v="3"/>
    <x v="6"/>
    <x v="2"/>
    <x v="3"/>
    <x v="1"/>
    <n v="1"/>
    <n v="35550"/>
    <n v="3.5549999999999998E-2"/>
    <n v="43252"/>
    <x v="0"/>
  </r>
  <r>
    <n v="60000459"/>
    <x v="12"/>
    <x v="1"/>
    <x v="1"/>
    <x v="11"/>
    <x v="1"/>
    <n v="0.13"/>
    <x v="2"/>
    <x v="3"/>
    <x v="5"/>
    <x v="33"/>
    <x v="0"/>
    <x v="3"/>
    <x v="0"/>
    <n v="0"/>
    <n v="31234"/>
    <n v="3.1234000000000001E-2"/>
    <n v="43252"/>
    <x v="0"/>
  </r>
  <r>
    <n v="60000460"/>
    <x v="0"/>
    <x v="0"/>
    <x v="0"/>
    <x v="11"/>
    <x v="0"/>
    <n v="0.15"/>
    <x v="2"/>
    <x v="11"/>
    <x v="4"/>
    <x v="15"/>
    <x v="0"/>
    <x v="3"/>
    <x v="1"/>
    <n v="5"/>
    <n v="47650"/>
    <n v="4.7649999999999998E-2"/>
    <n v="43252"/>
    <x v="0"/>
  </r>
  <r>
    <n v="60000461"/>
    <x v="4"/>
    <x v="0"/>
    <x v="0"/>
    <x v="8"/>
    <x v="1"/>
    <n v="0.28999999999999998"/>
    <x v="3"/>
    <x v="5"/>
    <x v="0"/>
    <x v="6"/>
    <x v="1"/>
    <x v="3"/>
    <x v="0"/>
    <n v="0"/>
    <n v="74390"/>
    <n v="7.4389999999999998E-2"/>
    <n v="43252"/>
    <x v="0"/>
  </r>
  <r>
    <n v="60000462"/>
    <x v="33"/>
    <x v="1"/>
    <x v="1"/>
    <x v="4"/>
    <x v="2"/>
    <n v="0.27"/>
    <x v="3"/>
    <x v="9"/>
    <x v="7"/>
    <x v="21"/>
    <x v="2"/>
    <x v="3"/>
    <x v="1"/>
    <n v="1"/>
    <n v="31964"/>
    <n v="3.1963999999999999E-2"/>
    <n v="43252"/>
    <x v="0"/>
  </r>
  <r>
    <n v="60000463"/>
    <x v="40"/>
    <x v="1"/>
    <x v="1"/>
    <x v="5"/>
    <x v="2"/>
    <n v="0.18"/>
    <x v="2"/>
    <x v="3"/>
    <x v="11"/>
    <x v="29"/>
    <x v="2"/>
    <x v="3"/>
    <x v="0"/>
    <n v="0"/>
    <n v="36758"/>
    <n v="3.6757999999999999E-2"/>
    <n v="43252"/>
    <x v="0"/>
  </r>
  <r>
    <n v="60000464"/>
    <x v="11"/>
    <x v="0"/>
    <x v="1"/>
    <x v="10"/>
    <x v="0"/>
    <n v="0.2"/>
    <x v="0"/>
    <x v="3"/>
    <x v="8"/>
    <x v="11"/>
    <x v="1"/>
    <x v="3"/>
    <x v="1"/>
    <n v="3"/>
    <n v="74360"/>
    <n v="7.4359999999999996E-2"/>
    <n v="43252"/>
    <x v="0"/>
  </r>
  <r>
    <n v="60000465"/>
    <x v="42"/>
    <x v="1"/>
    <x v="1"/>
    <x v="6"/>
    <x v="2"/>
    <n v="0.15"/>
    <x v="2"/>
    <x v="2"/>
    <x v="7"/>
    <x v="36"/>
    <x v="2"/>
    <x v="3"/>
    <x v="1"/>
    <n v="6"/>
    <n v="38342"/>
    <n v="3.8342000000000001E-2"/>
    <n v="43252"/>
    <x v="0"/>
  </r>
  <r>
    <n v="60000466"/>
    <x v="8"/>
    <x v="1"/>
    <x v="0"/>
    <x v="5"/>
    <x v="2"/>
    <n v="0.25"/>
    <x v="3"/>
    <x v="5"/>
    <x v="3"/>
    <x v="7"/>
    <x v="2"/>
    <x v="3"/>
    <x v="0"/>
    <n v="0"/>
    <n v="23348"/>
    <n v="2.3348000000000001E-2"/>
    <n v="43252"/>
    <x v="0"/>
  </r>
  <r>
    <n v="60000467"/>
    <x v="26"/>
    <x v="1"/>
    <x v="0"/>
    <x v="4"/>
    <x v="2"/>
    <n v="0.1"/>
    <x v="4"/>
    <x v="1"/>
    <x v="9"/>
    <x v="27"/>
    <x v="2"/>
    <x v="3"/>
    <x v="0"/>
    <n v="0"/>
    <n v="59192"/>
    <n v="5.9192000000000002E-2"/>
    <n v="43252"/>
    <x v="0"/>
  </r>
  <r>
    <n v="60000468"/>
    <x v="44"/>
    <x v="0"/>
    <x v="0"/>
    <x v="9"/>
    <x v="0"/>
    <n v="0.13"/>
    <x v="2"/>
    <x v="6"/>
    <x v="1"/>
    <x v="6"/>
    <x v="1"/>
    <x v="3"/>
    <x v="1"/>
    <n v="6"/>
    <n v="84233"/>
    <n v="8.4233000000000002E-2"/>
    <n v="43252"/>
    <x v="0"/>
  </r>
  <r>
    <n v="60000469"/>
    <x v="42"/>
    <x v="0"/>
    <x v="1"/>
    <x v="3"/>
    <x v="0"/>
    <n v="0.28000000000000003"/>
    <x v="3"/>
    <x v="2"/>
    <x v="2"/>
    <x v="19"/>
    <x v="0"/>
    <x v="3"/>
    <x v="1"/>
    <n v="6"/>
    <n v="68066"/>
    <n v="6.8066000000000002E-2"/>
    <n v="43252"/>
    <x v="0"/>
  </r>
  <r>
    <n v="60000470"/>
    <x v="6"/>
    <x v="1"/>
    <x v="0"/>
    <x v="0"/>
    <x v="0"/>
    <n v="0.23"/>
    <x v="0"/>
    <x v="12"/>
    <x v="2"/>
    <x v="18"/>
    <x v="2"/>
    <x v="3"/>
    <x v="1"/>
    <n v="6"/>
    <n v="76494"/>
    <n v="7.6494000000000006E-2"/>
    <n v="43252"/>
    <x v="0"/>
  </r>
  <r>
    <n v="60000471"/>
    <x v="9"/>
    <x v="1"/>
    <x v="0"/>
    <x v="6"/>
    <x v="1"/>
    <n v="0.13"/>
    <x v="2"/>
    <x v="5"/>
    <x v="12"/>
    <x v="31"/>
    <x v="2"/>
    <x v="3"/>
    <x v="1"/>
    <n v="6"/>
    <n v="34053"/>
    <n v="3.4053E-2"/>
    <n v="43252"/>
    <x v="0"/>
  </r>
  <r>
    <n v="60000472"/>
    <x v="30"/>
    <x v="1"/>
    <x v="0"/>
    <x v="3"/>
    <x v="2"/>
    <n v="0.32"/>
    <x v="1"/>
    <x v="2"/>
    <x v="1"/>
    <x v="40"/>
    <x v="2"/>
    <x v="3"/>
    <x v="0"/>
    <n v="0"/>
    <n v="79293"/>
    <n v="7.9293000000000002E-2"/>
    <n v="43252"/>
    <x v="0"/>
  </r>
  <r>
    <n v="60000473"/>
    <x v="28"/>
    <x v="1"/>
    <x v="1"/>
    <x v="3"/>
    <x v="2"/>
    <n v="0.23"/>
    <x v="0"/>
    <x v="10"/>
    <x v="1"/>
    <x v="48"/>
    <x v="1"/>
    <x v="3"/>
    <x v="0"/>
    <n v="0"/>
    <n v="25683"/>
    <n v="2.5683000000000001E-2"/>
    <n v="43252"/>
    <x v="0"/>
  </r>
  <r>
    <n v="60000474"/>
    <x v="22"/>
    <x v="1"/>
    <x v="0"/>
    <x v="3"/>
    <x v="0"/>
    <n v="0.15"/>
    <x v="2"/>
    <x v="15"/>
    <x v="12"/>
    <x v="35"/>
    <x v="2"/>
    <x v="3"/>
    <x v="0"/>
    <n v="0"/>
    <n v="57179"/>
    <n v="5.7179000000000001E-2"/>
    <n v="43252"/>
    <x v="0"/>
  </r>
  <r>
    <n v="60000475"/>
    <x v="30"/>
    <x v="1"/>
    <x v="1"/>
    <x v="10"/>
    <x v="2"/>
    <n v="0.2"/>
    <x v="0"/>
    <x v="7"/>
    <x v="2"/>
    <x v="46"/>
    <x v="2"/>
    <x v="3"/>
    <x v="1"/>
    <n v="3"/>
    <n v="75455"/>
    <n v="7.5454999999999994E-2"/>
    <n v="43252"/>
    <x v="0"/>
  </r>
  <r>
    <n v="60000476"/>
    <x v="44"/>
    <x v="1"/>
    <x v="0"/>
    <x v="8"/>
    <x v="1"/>
    <n v="0.31"/>
    <x v="3"/>
    <x v="7"/>
    <x v="0"/>
    <x v="35"/>
    <x v="1"/>
    <x v="3"/>
    <x v="1"/>
    <n v="3"/>
    <n v="84609"/>
    <n v="8.4609000000000004E-2"/>
    <n v="43252"/>
    <x v="0"/>
  </r>
  <r>
    <n v="60000477"/>
    <x v="19"/>
    <x v="0"/>
    <x v="1"/>
    <x v="1"/>
    <x v="2"/>
    <n v="0.11"/>
    <x v="4"/>
    <x v="5"/>
    <x v="2"/>
    <x v="43"/>
    <x v="0"/>
    <x v="3"/>
    <x v="1"/>
    <n v="5"/>
    <n v="55080"/>
    <n v="5.5079999999999997E-2"/>
    <n v="43252"/>
    <x v="0"/>
  </r>
  <r>
    <n v="60000478"/>
    <x v="45"/>
    <x v="1"/>
    <x v="0"/>
    <x v="6"/>
    <x v="0"/>
    <n v="0.35"/>
    <x v="1"/>
    <x v="14"/>
    <x v="3"/>
    <x v="19"/>
    <x v="0"/>
    <x v="3"/>
    <x v="1"/>
    <n v="3"/>
    <n v="56686"/>
    <n v="5.6686E-2"/>
    <n v="43252"/>
    <x v="0"/>
  </r>
  <r>
    <n v="60000479"/>
    <x v="2"/>
    <x v="1"/>
    <x v="0"/>
    <x v="5"/>
    <x v="0"/>
    <n v="0.35"/>
    <x v="1"/>
    <x v="9"/>
    <x v="2"/>
    <x v="19"/>
    <x v="0"/>
    <x v="3"/>
    <x v="1"/>
    <n v="5"/>
    <n v="61577"/>
    <n v="6.1577E-2"/>
    <n v="43252"/>
    <x v="0"/>
  </r>
  <r>
    <n v="60000480"/>
    <x v="2"/>
    <x v="1"/>
    <x v="0"/>
    <x v="3"/>
    <x v="2"/>
    <n v="0.2"/>
    <x v="0"/>
    <x v="10"/>
    <x v="1"/>
    <x v="31"/>
    <x v="0"/>
    <x v="3"/>
    <x v="0"/>
    <n v="0"/>
    <n v="56751"/>
    <n v="5.6751000000000003E-2"/>
    <n v="43252"/>
    <x v="0"/>
  </r>
  <r>
    <n v="60000481"/>
    <x v="30"/>
    <x v="0"/>
    <x v="0"/>
    <x v="7"/>
    <x v="0"/>
    <n v="0.32"/>
    <x v="1"/>
    <x v="4"/>
    <x v="6"/>
    <x v="41"/>
    <x v="1"/>
    <x v="3"/>
    <x v="1"/>
    <n v="3"/>
    <n v="68563"/>
    <n v="6.8562999999999999E-2"/>
    <n v="43252"/>
    <x v="0"/>
  </r>
  <r>
    <n v="60000482"/>
    <x v="24"/>
    <x v="0"/>
    <x v="0"/>
    <x v="5"/>
    <x v="0"/>
    <n v="0.31"/>
    <x v="3"/>
    <x v="7"/>
    <x v="1"/>
    <x v="22"/>
    <x v="0"/>
    <x v="3"/>
    <x v="1"/>
    <n v="3"/>
    <n v="71105"/>
    <n v="7.1105000000000002E-2"/>
    <n v="43252"/>
    <x v="0"/>
  </r>
  <r>
    <n v="60000483"/>
    <x v="21"/>
    <x v="1"/>
    <x v="1"/>
    <x v="8"/>
    <x v="2"/>
    <n v="0.35"/>
    <x v="1"/>
    <x v="14"/>
    <x v="1"/>
    <x v="4"/>
    <x v="1"/>
    <x v="3"/>
    <x v="1"/>
    <n v="1"/>
    <n v="60253"/>
    <n v="6.0253000000000001E-2"/>
    <n v="43252"/>
    <x v="0"/>
  </r>
  <r>
    <n v="60000484"/>
    <x v="31"/>
    <x v="1"/>
    <x v="0"/>
    <x v="3"/>
    <x v="0"/>
    <n v="0.3"/>
    <x v="3"/>
    <x v="1"/>
    <x v="12"/>
    <x v="37"/>
    <x v="1"/>
    <x v="3"/>
    <x v="1"/>
    <n v="1"/>
    <n v="80860"/>
    <n v="8.0860000000000001E-2"/>
    <n v="43252"/>
    <x v="0"/>
  </r>
  <r>
    <n v="60000485"/>
    <x v="7"/>
    <x v="0"/>
    <x v="1"/>
    <x v="11"/>
    <x v="0"/>
    <n v="0.11"/>
    <x v="4"/>
    <x v="0"/>
    <x v="12"/>
    <x v="48"/>
    <x v="1"/>
    <x v="3"/>
    <x v="0"/>
    <n v="0"/>
    <n v="48374"/>
    <n v="4.8374E-2"/>
    <n v="43252"/>
    <x v="0"/>
  </r>
  <r>
    <n v="60000486"/>
    <x v="4"/>
    <x v="0"/>
    <x v="0"/>
    <x v="9"/>
    <x v="0"/>
    <n v="0.14000000000000001"/>
    <x v="2"/>
    <x v="10"/>
    <x v="7"/>
    <x v="12"/>
    <x v="2"/>
    <x v="3"/>
    <x v="0"/>
    <n v="0"/>
    <n v="51538"/>
    <n v="5.1538E-2"/>
    <n v="43252"/>
    <x v="0"/>
  </r>
  <r>
    <n v="60000487"/>
    <x v="3"/>
    <x v="1"/>
    <x v="1"/>
    <x v="4"/>
    <x v="2"/>
    <n v="0.18"/>
    <x v="2"/>
    <x v="11"/>
    <x v="8"/>
    <x v="45"/>
    <x v="1"/>
    <x v="3"/>
    <x v="1"/>
    <n v="1"/>
    <n v="39944"/>
    <n v="3.9944E-2"/>
    <n v="43252"/>
    <x v="0"/>
  </r>
  <r>
    <n v="60000488"/>
    <x v="36"/>
    <x v="0"/>
    <x v="0"/>
    <x v="9"/>
    <x v="2"/>
    <n v="0.11"/>
    <x v="4"/>
    <x v="15"/>
    <x v="1"/>
    <x v="31"/>
    <x v="0"/>
    <x v="3"/>
    <x v="1"/>
    <n v="2"/>
    <n v="84587"/>
    <n v="8.4586999999999996E-2"/>
    <n v="43252"/>
    <x v="0"/>
  </r>
  <r>
    <n v="60000489"/>
    <x v="14"/>
    <x v="1"/>
    <x v="1"/>
    <x v="5"/>
    <x v="1"/>
    <n v="0.36"/>
    <x v="1"/>
    <x v="13"/>
    <x v="6"/>
    <x v="0"/>
    <x v="1"/>
    <x v="3"/>
    <x v="1"/>
    <n v="0"/>
    <n v="30344"/>
    <n v="3.0343999999999999E-2"/>
    <n v="43252"/>
    <x v="0"/>
  </r>
  <r>
    <n v="60000490"/>
    <x v="25"/>
    <x v="0"/>
    <x v="0"/>
    <x v="9"/>
    <x v="1"/>
    <n v="0.24"/>
    <x v="0"/>
    <x v="3"/>
    <x v="10"/>
    <x v="17"/>
    <x v="1"/>
    <x v="3"/>
    <x v="1"/>
    <n v="2"/>
    <n v="37773"/>
    <n v="3.7773000000000001E-2"/>
    <n v="43252"/>
    <x v="0"/>
  </r>
  <r>
    <n v="60000491"/>
    <x v="19"/>
    <x v="1"/>
    <x v="0"/>
    <x v="5"/>
    <x v="0"/>
    <n v="0.32"/>
    <x v="1"/>
    <x v="13"/>
    <x v="3"/>
    <x v="42"/>
    <x v="1"/>
    <x v="3"/>
    <x v="1"/>
    <n v="7"/>
    <n v="54503"/>
    <n v="5.4503000000000003E-2"/>
    <n v="43252"/>
    <x v="0"/>
  </r>
  <r>
    <n v="60000492"/>
    <x v="7"/>
    <x v="0"/>
    <x v="0"/>
    <x v="6"/>
    <x v="1"/>
    <n v="0.17"/>
    <x v="2"/>
    <x v="7"/>
    <x v="7"/>
    <x v="3"/>
    <x v="1"/>
    <x v="3"/>
    <x v="1"/>
    <n v="2"/>
    <n v="69843"/>
    <n v="6.9843000000000002E-2"/>
    <n v="43252"/>
    <x v="0"/>
  </r>
  <r>
    <n v="60000493"/>
    <x v="6"/>
    <x v="0"/>
    <x v="1"/>
    <x v="10"/>
    <x v="2"/>
    <n v="0.26"/>
    <x v="3"/>
    <x v="1"/>
    <x v="3"/>
    <x v="32"/>
    <x v="1"/>
    <x v="3"/>
    <x v="1"/>
    <n v="2"/>
    <n v="52179"/>
    <n v="5.2179000000000003E-2"/>
    <n v="43252"/>
    <x v="0"/>
  </r>
  <r>
    <n v="60000494"/>
    <x v="37"/>
    <x v="0"/>
    <x v="0"/>
    <x v="4"/>
    <x v="1"/>
    <n v="0.28999999999999998"/>
    <x v="3"/>
    <x v="8"/>
    <x v="4"/>
    <x v="47"/>
    <x v="0"/>
    <x v="3"/>
    <x v="0"/>
    <n v="0"/>
    <n v="74828"/>
    <n v="7.4828000000000006E-2"/>
    <n v="43252"/>
    <x v="0"/>
  </r>
  <r>
    <n v="60000495"/>
    <x v="18"/>
    <x v="0"/>
    <x v="1"/>
    <x v="7"/>
    <x v="2"/>
    <n v="0.1"/>
    <x v="4"/>
    <x v="15"/>
    <x v="9"/>
    <x v="24"/>
    <x v="1"/>
    <x v="3"/>
    <x v="1"/>
    <n v="0"/>
    <n v="33616"/>
    <n v="3.3616E-2"/>
    <n v="43252"/>
    <x v="0"/>
  </r>
  <r>
    <n v="60000496"/>
    <x v="35"/>
    <x v="0"/>
    <x v="1"/>
    <x v="10"/>
    <x v="0"/>
    <n v="0.18"/>
    <x v="2"/>
    <x v="4"/>
    <x v="8"/>
    <x v="23"/>
    <x v="2"/>
    <x v="3"/>
    <x v="0"/>
    <n v="0"/>
    <n v="26557"/>
    <n v="2.6557000000000001E-2"/>
    <n v="43252"/>
    <x v="0"/>
  </r>
  <r>
    <n v="60000497"/>
    <x v="10"/>
    <x v="0"/>
    <x v="1"/>
    <x v="4"/>
    <x v="0"/>
    <n v="0.3"/>
    <x v="3"/>
    <x v="9"/>
    <x v="12"/>
    <x v="14"/>
    <x v="0"/>
    <x v="3"/>
    <x v="0"/>
    <n v="0"/>
    <n v="62858"/>
    <n v="6.2857999999999997E-2"/>
    <n v="43252"/>
    <x v="0"/>
  </r>
  <r>
    <n v="60000498"/>
    <x v="16"/>
    <x v="1"/>
    <x v="1"/>
    <x v="0"/>
    <x v="0"/>
    <n v="0.33"/>
    <x v="1"/>
    <x v="5"/>
    <x v="2"/>
    <x v="18"/>
    <x v="1"/>
    <x v="3"/>
    <x v="1"/>
    <n v="1"/>
    <n v="61560"/>
    <n v="6.1559999999999997E-2"/>
    <n v="43252"/>
    <x v="0"/>
  </r>
  <r>
    <n v="60000499"/>
    <x v="9"/>
    <x v="1"/>
    <x v="0"/>
    <x v="0"/>
    <x v="0"/>
    <n v="0.18"/>
    <x v="2"/>
    <x v="7"/>
    <x v="12"/>
    <x v="30"/>
    <x v="2"/>
    <x v="3"/>
    <x v="0"/>
    <n v="0"/>
    <n v="79005"/>
    <n v="7.9005000000000006E-2"/>
    <n v="43252"/>
    <x v="0"/>
  </r>
  <r>
    <n v="60000500"/>
    <x v="14"/>
    <x v="1"/>
    <x v="1"/>
    <x v="0"/>
    <x v="2"/>
    <n v="0.28000000000000003"/>
    <x v="3"/>
    <x v="7"/>
    <x v="4"/>
    <x v="22"/>
    <x v="1"/>
    <x v="3"/>
    <x v="0"/>
    <n v="0"/>
    <n v="28323"/>
    <n v="2.8323000000000001E-2"/>
    <n v="43252"/>
    <x v="0"/>
  </r>
  <r>
    <n v="60000501"/>
    <x v="28"/>
    <x v="1"/>
    <x v="0"/>
    <x v="4"/>
    <x v="1"/>
    <n v="0.18"/>
    <x v="2"/>
    <x v="14"/>
    <x v="1"/>
    <x v="46"/>
    <x v="2"/>
    <x v="3"/>
    <x v="1"/>
    <n v="4"/>
    <n v="52056"/>
    <n v="5.2055999999999998E-2"/>
    <n v="43252"/>
    <x v="0"/>
  </r>
  <r>
    <n v="60000502"/>
    <x v="40"/>
    <x v="0"/>
    <x v="1"/>
    <x v="4"/>
    <x v="2"/>
    <n v="0.31"/>
    <x v="3"/>
    <x v="12"/>
    <x v="3"/>
    <x v="38"/>
    <x v="1"/>
    <x v="3"/>
    <x v="0"/>
    <n v="0"/>
    <n v="39339"/>
    <n v="3.9338999999999999E-2"/>
    <n v="43252"/>
    <x v="0"/>
  </r>
  <r>
    <n v="60000503"/>
    <x v="0"/>
    <x v="1"/>
    <x v="1"/>
    <x v="10"/>
    <x v="2"/>
    <n v="0.27"/>
    <x v="3"/>
    <x v="9"/>
    <x v="1"/>
    <x v="12"/>
    <x v="1"/>
    <x v="3"/>
    <x v="0"/>
    <n v="0"/>
    <n v="41199"/>
    <n v="4.1199E-2"/>
    <n v="43252"/>
    <x v="0"/>
  </r>
  <r>
    <n v="60000504"/>
    <x v="0"/>
    <x v="1"/>
    <x v="1"/>
    <x v="11"/>
    <x v="1"/>
    <n v="0.17"/>
    <x v="2"/>
    <x v="10"/>
    <x v="10"/>
    <x v="24"/>
    <x v="0"/>
    <x v="3"/>
    <x v="0"/>
    <n v="0"/>
    <n v="49602"/>
    <n v="4.9602E-2"/>
    <n v="43252"/>
    <x v="0"/>
  </r>
  <r>
    <n v="60000505"/>
    <x v="33"/>
    <x v="0"/>
    <x v="1"/>
    <x v="3"/>
    <x v="2"/>
    <n v="0.2"/>
    <x v="0"/>
    <x v="15"/>
    <x v="4"/>
    <x v="6"/>
    <x v="0"/>
    <x v="3"/>
    <x v="0"/>
    <n v="0"/>
    <n v="36760"/>
    <n v="3.6760000000000001E-2"/>
    <n v="43252"/>
    <x v="0"/>
  </r>
  <r>
    <n v="60000506"/>
    <x v="27"/>
    <x v="0"/>
    <x v="0"/>
    <x v="2"/>
    <x v="2"/>
    <n v="0.34"/>
    <x v="1"/>
    <x v="5"/>
    <x v="9"/>
    <x v="12"/>
    <x v="1"/>
    <x v="3"/>
    <x v="0"/>
    <n v="0"/>
    <n v="79375"/>
    <n v="7.9375000000000001E-2"/>
    <n v="43252"/>
    <x v="0"/>
  </r>
  <r>
    <n v="60000507"/>
    <x v="26"/>
    <x v="0"/>
    <x v="0"/>
    <x v="5"/>
    <x v="2"/>
    <n v="0.28000000000000003"/>
    <x v="3"/>
    <x v="10"/>
    <x v="5"/>
    <x v="38"/>
    <x v="2"/>
    <x v="3"/>
    <x v="1"/>
    <n v="7"/>
    <n v="77696"/>
    <n v="7.7696000000000001E-2"/>
    <n v="43252"/>
    <x v="0"/>
  </r>
  <r>
    <n v="60000508"/>
    <x v="28"/>
    <x v="1"/>
    <x v="0"/>
    <x v="6"/>
    <x v="1"/>
    <n v="0.35"/>
    <x v="1"/>
    <x v="3"/>
    <x v="2"/>
    <x v="37"/>
    <x v="2"/>
    <x v="3"/>
    <x v="0"/>
    <n v="0"/>
    <n v="81384"/>
    <n v="8.1383999999999998E-2"/>
    <n v="43252"/>
    <x v="0"/>
  </r>
  <r>
    <n v="60000509"/>
    <x v="16"/>
    <x v="0"/>
    <x v="0"/>
    <x v="11"/>
    <x v="1"/>
    <n v="0.36"/>
    <x v="1"/>
    <x v="2"/>
    <x v="4"/>
    <x v="12"/>
    <x v="0"/>
    <x v="3"/>
    <x v="1"/>
    <n v="0"/>
    <n v="64585"/>
    <n v="6.4585000000000004E-2"/>
    <n v="43252"/>
    <x v="0"/>
  </r>
  <r>
    <n v="60000510"/>
    <x v="16"/>
    <x v="1"/>
    <x v="0"/>
    <x v="8"/>
    <x v="2"/>
    <n v="0.38"/>
    <x v="1"/>
    <x v="6"/>
    <x v="3"/>
    <x v="49"/>
    <x v="1"/>
    <x v="3"/>
    <x v="1"/>
    <n v="6"/>
    <n v="26416"/>
    <n v="2.6415999999999999E-2"/>
    <n v="43252"/>
    <x v="0"/>
  </r>
  <r>
    <n v="60000511"/>
    <x v="11"/>
    <x v="1"/>
    <x v="1"/>
    <x v="1"/>
    <x v="1"/>
    <n v="0.27"/>
    <x v="3"/>
    <x v="6"/>
    <x v="5"/>
    <x v="27"/>
    <x v="1"/>
    <x v="3"/>
    <x v="1"/>
    <n v="2"/>
    <n v="64046"/>
    <n v="6.4046000000000006E-2"/>
    <n v="43252"/>
    <x v="0"/>
  </r>
  <r>
    <n v="60000512"/>
    <x v="2"/>
    <x v="0"/>
    <x v="1"/>
    <x v="10"/>
    <x v="2"/>
    <n v="0.35"/>
    <x v="1"/>
    <x v="2"/>
    <x v="4"/>
    <x v="14"/>
    <x v="2"/>
    <x v="3"/>
    <x v="1"/>
    <n v="7"/>
    <n v="24939"/>
    <n v="2.4938999999999999E-2"/>
    <n v="43252"/>
    <x v="0"/>
  </r>
  <r>
    <n v="60000513"/>
    <x v="15"/>
    <x v="0"/>
    <x v="0"/>
    <x v="1"/>
    <x v="2"/>
    <n v="0.35"/>
    <x v="1"/>
    <x v="5"/>
    <x v="1"/>
    <x v="19"/>
    <x v="0"/>
    <x v="3"/>
    <x v="0"/>
    <n v="0"/>
    <n v="79838"/>
    <n v="7.9838000000000006E-2"/>
    <n v="43252"/>
    <x v="0"/>
  </r>
  <r>
    <n v="60000514"/>
    <x v="17"/>
    <x v="0"/>
    <x v="1"/>
    <x v="4"/>
    <x v="0"/>
    <n v="0.19"/>
    <x v="0"/>
    <x v="15"/>
    <x v="1"/>
    <x v="41"/>
    <x v="0"/>
    <x v="3"/>
    <x v="1"/>
    <n v="7"/>
    <n v="28883"/>
    <n v="2.8882999999999999E-2"/>
    <n v="43252"/>
    <x v="0"/>
  </r>
  <r>
    <n v="60000515"/>
    <x v="6"/>
    <x v="0"/>
    <x v="1"/>
    <x v="4"/>
    <x v="2"/>
    <n v="0.25"/>
    <x v="3"/>
    <x v="9"/>
    <x v="6"/>
    <x v="37"/>
    <x v="1"/>
    <x v="3"/>
    <x v="1"/>
    <n v="0"/>
    <n v="82172"/>
    <n v="8.2171999999999995E-2"/>
    <n v="43252"/>
    <x v="0"/>
  </r>
  <r>
    <n v="60000516"/>
    <x v="16"/>
    <x v="0"/>
    <x v="0"/>
    <x v="8"/>
    <x v="0"/>
    <n v="0.18"/>
    <x v="2"/>
    <x v="13"/>
    <x v="0"/>
    <x v="7"/>
    <x v="1"/>
    <x v="3"/>
    <x v="0"/>
    <n v="0"/>
    <n v="49849"/>
    <n v="4.9848999999999997E-2"/>
    <n v="43252"/>
    <x v="0"/>
  </r>
  <r>
    <n v="60000517"/>
    <x v="16"/>
    <x v="0"/>
    <x v="1"/>
    <x v="9"/>
    <x v="1"/>
    <n v="0.16"/>
    <x v="2"/>
    <x v="5"/>
    <x v="3"/>
    <x v="18"/>
    <x v="1"/>
    <x v="3"/>
    <x v="0"/>
    <n v="0"/>
    <n v="55350"/>
    <n v="5.5350000000000003E-2"/>
    <n v="43252"/>
    <x v="0"/>
  </r>
  <r>
    <n v="60000518"/>
    <x v="30"/>
    <x v="0"/>
    <x v="0"/>
    <x v="2"/>
    <x v="0"/>
    <n v="0.28000000000000003"/>
    <x v="3"/>
    <x v="9"/>
    <x v="10"/>
    <x v="33"/>
    <x v="2"/>
    <x v="3"/>
    <x v="1"/>
    <n v="3"/>
    <n v="78750"/>
    <n v="7.8750000000000001E-2"/>
    <n v="43252"/>
    <x v="0"/>
  </r>
  <r>
    <n v="60000519"/>
    <x v="23"/>
    <x v="1"/>
    <x v="0"/>
    <x v="10"/>
    <x v="0"/>
    <n v="0.17"/>
    <x v="2"/>
    <x v="7"/>
    <x v="5"/>
    <x v="49"/>
    <x v="1"/>
    <x v="3"/>
    <x v="1"/>
    <n v="3"/>
    <n v="76139"/>
    <n v="7.6138999999999998E-2"/>
    <n v="43252"/>
    <x v="0"/>
  </r>
  <r>
    <n v="60000520"/>
    <x v="27"/>
    <x v="1"/>
    <x v="0"/>
    <x v="10"/>
    <x v="1"/>
    <n v="0.32"/>
    <x v="1"/>
    <x v="8"/>
    <x v="1"/>
    <x v="33"/>
    <x v="0"/>
    <x v="3"/>
    <x v="1"/>
    <n v="7"/>
    <n v="44697"/>
    <n v="4.4697000000000001E-2"/>
    <n v="43252"/>
    <x v="0"/>
  </r>
  <r>
    <n v="60000521"/>
    <x v="39"/>
    <x v="1"/>
    <x v="0"/>
    <x v="7"/>
    <x v="0"/>
    <n v="0.32"/>
    <x v="1"/>
    <x v="14"/>
    <x v="2"/>
    <x v="17"/>
    <x v="0"/>
    <x v="3"/>
    <x v="1"/>
    <n v="3"/>
    <n v="29148"/>
    <n v="2.9148E-2"/>
    <n v="43252"/>
    <x v="0"/>
  </r>
  <r>
    <n v="60000522"/>
    <x v="23"/>
    <x v="1"/>
    <x v="1"/>
    <x v="9"/>
    <x v="2"/>
    <n v="0.3"/>
    <x v="3"/>
    <x v="12"/>
    <x v="5"/>
    <x v="43"/>
    <x v="1"/>
    <x v="3"/>
    <x v="1"/>
    <n v="7"/>
    <n v="46375"/>
    <n v="4.6375E-2"/>
    <n v="43252"/>
    <x v="0"/>
  </r>
  <r>
    <n v="60000523"/>
    <x v="39"/>
    <x v="0"/>
    <x v="1"/>
    <x v="3"/>
    <x v="0"/>
    <n v="0.1"/>
    <x v="4"/>
    <x v="13"/>
    <x v="2"/>
    <x v="27"/>
    <x v="0"/>
    <x v="3"/>
    <x v="1"/>
    <n v="6"/>
    <n v="46883"/>
    <n v="4.6883000000000001E-2"/>
    <n v="43252"/>
    <x v="0"/>
  </r>
  <r>
    <n v="60000524"/>
    <x v="20"/>
    <x v="1"/>
    <x v="0"/>
    <x v="10"/>
    <x v="2"/>
    <n v="0.22"/>
    <x v="0"/>
    <x v="10"/>
    <x v="7"/>
    <x v="0"/>
    <x v="2"/>
    <x v="3"/>
    <x v="0"/>
    <n v="0"/>
    <n v="35596"/>
    <n v="3.5596000000000003E-2"/>
    <n v="43252"/>
    <x v="0"/>
  </r>
  <r>
    <n v="60000525"/>
    <x v="22"/>
    <x v="1"/>
    <x v="1"/>
    <x v="2"/>
    <x v="2"/>
    <n v="0.37"/>
    <x v="1"/>
    <x v="8"/>
    <x v="2"/>
    <x v="37"/>
    <x v="0"/>
    <x v="3"/>
    <x v="1"/>
    <n v="4"/>
    <n v="47797"/>
    <n v="4.7796999999999999E-2"/>
    <n v="43252"/>
    <x v="0"/>
  </r>
  <r>
    <n v="60000526"/>
    <x v="9"/>
    <x v="0"/>
    <x v="1"/>
    <x v="2"/>
    <x v="2"/>
    <n v="0.13"/>
    <x v="2"/>
    <x v="12"/>
    <x v="4"/>
    <x v="2"/>
    <x v="1"/>
    <x v="3"/>
    <x v="1"/>
    <n v="7"/>
    <n v="84205"/>
    <n v="8.4205000000000002E-2"/>
    <n v="43252"/>
    <x v="0"/>
  </r>
  <r>
    <n v="60000527"/>
    <x v="5"/>
    <x v="1"/>
    <x v="1"/>
    <x v="1"/>
    <x v="2"/>
    <n v="0.31"/>
    <x v="3"/>
    <x v="6"/>
    <x v="9"/>
    <x v="8"/>
    <x v="2"/>
    <x v="3"/>
    <x v="0"/>
    <n v="0"/>
    <n v="40117"/>
    <n v="4.0117E-2"/>
    <n v="43252"/>
    <x v="0"/>
  </r>
  <r>
    <n v="60000528"/>
    <x v="18"/>
    <x v="0"/>
    <x v="0"/>
    <x v="5"/>
    <x v="2"/>
    <n v="0.24"/>
    <x v="0"/>
    <x v="12"/>
    <x v="4"/>
    <x v="42"/>
    <x v="1"/>
    <x v="3"/>
    <x v="0"/>
    <n v="0"/>
    <n v="41802"/>
    <n v="4.1801999999999999E-2"/>
    <n v="43252"/>
    <x v="0"/>
  </r>
  <r>
    <n v="60000529"/>
    <x v="5"/>
    <x v="0"/>
    <x v="0"/>
    <x v="4"/>
    <x v="2"/>
    <n v="0.34"/>
    <x v="1"/>
    <x v="9"/>
    <x v="9"/>
    <x v="29"/>
    <x v="0"/>
    <x v="3"/>
    <x v="0"/>
    <n v="0"/>
    <n v="69085"/>
    <n v="6.9084999999999994E-2"/>
    <n v="43252"/>
    <x v="0"/>
  </r>
  <r>
    <n v="60000530"/>
    <x v="5"/>
    <x v="0"/>
    <x v="1"/>
    <x v="9"/>
    <x v="2"/>
    <n v="0.38"/>
    <x v="1"/>
    <x v="6"/>
    <x v="7"/>
    <x v="40"/>
    <x v="1"/>
    <x v="3"/>
    <x v="1"/>
    <n v="6"/>
    <n v="51061"/>
    <n v="5.1061000000000002E-2"/>
    <n v="43252"/>
    <x v="0"/>
  </r>
  <r>
    <n v="60000531"/>
    <x v="5"/>
    <x v="0"/>
    <x v="1"/>
    <x v="4"/>
    <x v="2"/>
    <n v="0.14000000000000001"/>
    <x v="2"/>
    <x v="5"/>
    <x v="4"/>
    <x v="34"/>
    <x v="0"/>
    <x v="3"/>
    <x v="1"/>
    <n v="2"/>
    <n v="83923"/>
    <n v="8.3922999999999998E-2"/>
    <n v="43252"/>
    <x v="0"/>
  </r>
  <r>
    <n v="60000532"/>
    <x v="35"/>
    <x v="1"/>
    <x v="0"/>
    <x v="5"/>
    <x v="0"/>
    <n v="0.35"/>
    <x v="1"/>
    <x v="15"/>
    <x v="2"/>
    <x v="8"/>
    <x v="1"/>
    <x v="3"/>
    <x v="0"/>
    <n v="0"/>
    <n v="58922"/>
    <n v="5.8922000000000002E-2"/>
    <n v="43252"/>
    <x v="0"/>
  </r>
  <r>
    <n v="60000533"/>
    <x v="23"/>
    <x v="1"/>
    <x v="1"/>
    <x v="2"/>
    <x v="0"/>
    <n v="0.24"/>
    <x v="0"/>
    <x v="5"/>
    <x v="5"/>
    <x v="15"/>
    <x v="0"/>
    <x v="3"/>
    <x v="0"/>
    <n v="0"/>
    <n v="51571"/>
    <n v="5.1570999999999999E-2"/>
    <n v="43252"/>
    <x v="0"/>
  </r>
  <r>
    <n v="60000534"/>
    <x v="37"/>
    <x v="0"/>
    <x v="0"/>
    <x v="5"/>
    <x v="2"/>
    <n v="0.25"/>
    <x v="3"/>
    <x v="15"/>
    <x v="1"/>
    <x v="35"/>
    <x v="2"/>
    <x v="3"/>
    <x v="1"/>
    <n v="5"/>
    <n v="71370"/>
    <n v="7.1370000000000003E-2"/>
    <n v="43252"/>
    <x v="0"/>
  </r>
  <r>
    <n v="60000535"/>
    <x v="30"/>
    <x v="0"/>
    <x v="0"/>
    <x v="9"/>
    <x v="2"/>
    <n v="0.15"/>
    <x v="2"/>
    <x v="0"/>
    <x v="4"/>
    <x v="43"/>
    <x v="1"/>
    <x v="3"/>
    <x v="0"/>
    <n v="0"/>
    <n v="82397"/>
    <n v="8.2396999999999998E-2"/>
    <n v="43252"/>
    <x v="0"/>
  </r>
  <r>
    <n v="60000536"/>
    <x v="45"/>
    <x v="1"/>
    <x v="1"/>
    <x v="8"/>
    <x v="1"/>
    <n v="0.23"/>
    <x v="0"/>
    <x v="15"/>
    <x v="12"/>
    <x v="39"/>
    <x v="0"/>
    <x v="3"/>
    <x v="1"/>
    <n v="1"/>
    <n v="27825"/>
    <n v="2.7824999999999999E-2"/>
    <n v="43252"/>
    <x v="0"/>
  </r>
  <r>
    <n v="60000537"/>
    <x v="11"/>
    <x v="1"/>
    <x v="0"/>
    <x v="7"/>
    <x v="0"/>
    <n v="0.24"/>
    <x v="0"/>
    <x v="5"/>
    <x v="1"/>
    <x v="22"/>
    <x v="1"/>
    <x v="3"/>
    <x v="0"/>
    <n v="0"/>
    <n v="58041"/>
    <n v="5.8041000000000002E-2"/>
    <n v="43252"/>
    <x v="0"/>
  </r>
  <r>
    <n v="60000538"/>
    <x v="3"/>
    <x v="1"/>
    <x v="0"/>
    <x v="6"/>
    <x v="2"/>
    <n v="0.12"/>
    <x v="2"/>
    <x v="3"/>
    <x v="5"/>
    <x v="41"/>
    <x v="0"/>
    <x v="3"/>
    <x v="1"/>
    <n v="6"/>
    <n v="80139"/>
    <n v="8.0139000000000002E-2"/>
    <n v="43252"/>
    <x v="0"/>
  </r>
  <r>
    <n v="60000539"/>
    <x v="42"/>
    <x v="1"/>
    <x v="1"/>
    <x v="1"/>
    <x v="0"/>
    <n v="0.14000000000000001"/>
    <x v="2"/>
    <x v="6"/>
    <x v="1"/>
    <x v="14"/>
    <x v="2"/>
    <x v="3"/>
    <x v="1"/>
    <n v="2"/>
    <n v="70328"/>
    <n v="7.0328000000000002E-2"/>
    <n v="43252"/>
    <x v="0"/>
  </r>
  <r>
    <n v="60000540"/>
    <x v="19"/>
    <x v="1"/>
    <x v="1"/>
    <x v="5"/>
    <x v="1"/>
    <n v="0.2"/>
    <x v="0"/>
    <x v="3"/>
    <x v="3"/>
    <x v="46"/>
    <x v="0"/>
    <x v="3"/>
    <x v="0"/>
    <n v="0"/>
    <n v="39091"/>
    <n v="3.9091000000000001E-2"/>
    <n v="43252"/>
    <x v="0"/>
  </r>
  <r>
    <n v="60000541"/>
    <x v="12"/>
    <x v="0"/>
    <x v="0"/>
    <x v="10"/>
    <x v="2"/>
    <n v="0.31"/>
    <x v="3"/>
    <x v="11"/>
    <x v="5"/>
    <x v="3"/>
    <x v="2"/>
    <x v="3"/>
    <x v="0"/>
    <n v="0"/>
    <n v="57443"/>
    <n v="5.7443000000000001E-2"/>
    <n v="43252"/>
    <x v="0"/>
  </r>
  <r>
    <n v="60000542"/>
    <x v="33"/>
    <x v="0"/>
    <x v="1"/>
    <x v="1"/>
    <x v="2"/>
    <n v="0.37"/>
    <x v="1"/>
    <x v="5"/>
    <x v="5"/>
    <x v="38"/>
    <x v="1"/>
    <x v="3"/>
    <x v="0"/>
    <n v="0"/>
    <n v="37654"/>
    <n v="3.7654E-2"/>
    <n v="43252"/>
    <x v="0"/>
  </r>
  <r>
    <n v="60000543"/>
    <x v="32"/>
    <x v="0"/>
    <x v="1"/>
    <x v="11"/>
    <x v="2"/>
    <n v="0.31"/>
    <x v="3"/>
    <x v="8"/>
    <x v="11"/>
    <x v="13"/>
    <x v="1"/>
    <x v="3"/>
    <x v="0"/>
    <n v="0"/>
    <n v="76747"/>
    <n v="7.6746999999999996E-2"/>
    <n v="43252"/>
    <x v="0"/>
  </r>
  <r>
    <n v="60000544"/>
    <x v="21"/>
    <x v="1"/>
    <x v="0"/>
    <x v="5"/>
    <x v="2"/>
    <n v="0.22"/>
    <x v="0"/>
    <x v="5"/>
    <x v="8"/>
    <x v="1"/>
    <x v="2"/>
    <x v="3"/>
    <x v="1"/>
    <n v="7"/>
    <n v="79615"/>
    <n v="7.9615000000000005E-2"/>
    <n v="43252"/>
    <x v="0"/>
  </r>
  <r>
    <n v="60000545"/>
    <x v="43"/>
    <x v="0"/>
    <x v="1"/>
    <x v="3"/>
    <x v="0"/>
    <n v="0.18"/>
    <x v="2"/>
    <x v="15"/>
    <x v="8"/>
    <x v="2"/>
    <x v="1"/>
    <x v="3"/>
    <x v="1"/>
    <n v="0"/>
    <n v="51669"/>
    <n v="5.1669E-2"/>
    <n v="43252"/>
    <x v="0"/>
  </r>
  <r>
    <n v="60000546"/>
    <x v="4"/>
    <x v="1"/>
    <x v="1"/>
    <x v="11"/>
    <x v="1"/>
    <n v="0.21"/>
    <x v="0"/>
    <x v="11"/>
    <x v="12"/>
    <x v="32"/>
    <x v="0"/>
    <x v="3"/>
    <x v="0"/>
    <n v="0"/>
    <n v="45235"/>
    <n v="4.5234999999999997E-2"/>
    <n v="43252"/>
    <x v="0"/>
  </r>
  <r>
    <n v="60000547"/>
    <x v="15"/>
    <x v="1"/>
    <x v="0"/>
    <x v="2"/>
    <x v="1"/>
    <n v="0.33"/>
    <x v="1"/>
    <x v="8"/>
    <x v="12"/>
    <x v="14"/>
    <x v="2"/>
    <x v="3"/>
    <x v="0"/>
    <n v="0"/>
    <n v="69731"/>
    <n v="6.9731000000000001E-2"/>
    <n v="43252"/>
    <x v="0"/>
  </r>
  <r>
    <n v="60000548"/>
    <x v="37"/>
    <x v="1"/>
    <x v="0"/>
    <x v="11"/>
    <x v="2"/>
    <n v="0.17"/>
    <x v="2"/>
    <x v="15"/>
    <x v="5"/>
    <x v="40"/>
    <x v="1"/>
    <x v="3"/>
    <x v="0"/>
    <n v="0"/>
    <n v="40946"/>
    <n v="4.0946000000000003E-2"/>
    <n v="43252"/>
    <x v="0"/>
  </r>
  <r>
    <n v="60000549"/>
    <x v="27"/>
    <x v="0"/>
    <x v="0"/>
    <x v="7"/>
    <x v="0"/>
    <n v="0.33"/>
    <x v="1"/>
    <x v="5"/>
    <x v="1"/>
    <x v="26"/>
    <x v="2"/>
    <x v="3"/>
    <x v="0"/>
    <n v="0"/>
    <n v="69945"/>
    <n v="6.9944999999999993E-2"/>
    <n v="43252"/>
    <x v="0"/>
  </r>
  <r>
    <n v="60000550"/>
    <x v="26"/>
    <x v="0"/>
    <x v="1"/>
    <x v="2"/>
    <x v="0"/>
    <n v="0.33"/>
    <x v="1"/>
    <x v="14"/>
    <x v="4"/>
    <x v="8"/>
    <x v="0"/>
    <x v="3"/>
    <x v="0"/>
    <n v="0"/>
    <n v="67008"/>
    <n v="6.7007999999999998E-2"/>
    <n v="43252"/>
    <x v="0"/>
  </r>
  <r>
    <n v="60000551"/>
    <x v="12"/>
    <x v="1"/>
    <x v="0"/>
    <x v="2"/>
    <x v="1"/>
    <n v="0.21"/>
    <x v="0"/>
    <x v="11"/>
    <x v="12"/>
    <x v="10"/>
    <x v="0"/>
    <x v="3"/>
    <x v="1"/>
    <n v="4"/>
    <n v="56667"/>
    <n v="5.6667000000000002E-2"/>
    <n v="43252"/>
    <x v="0"/>
  </r>
  <r>
    <n v="60000552"/>
    <x v="4"/>
    <x v="0"/>
    <x v="1"/>
    <x v="2"/>
    <x v="1"/>
    <n v="0.28000000000000003"/>
    <x v="3"/>
    <x v="12"/>
    <x v="5"/>
    <x v="23"/>
    <x v="2"/>
    <x v="3"/>
    <x v="0"/>
    <n v="0"/>
    <n v="32042"/>
    <n v="3.2042000000000001E-2"/>
    <n v="43252"/>
    <x v="0"/>
  </r>
  <r>
    <n v="60000553"/>
    <x v="22"/>
    <x v="1"/>
    <x v="0"/>
    <x v="1"/>
    <x v="2"/>
    <n v="0.35"/>
    <x v="1"/>
    <x v="8"/>
    <x v="7"/>
    <x v="17"/>
    <x v="0"/>
    <x v="3"/>
    <x v="1"/>
    <n v="7"/>
    <n v="57373"/>
    <n v="5.7373E-2"/>
    <n v="43252"/>
    <x v="0"/>
  </r>
  <r>
    <n v="60000554"/>
    <x v="8"/>
    <x v="0"/>
    <x v="0"/>
    <x v="1"/>
    <x v="2"/>
    <n v="0.11"/>
    <x v="4"/>
    <x v="15"/>
    <x v="6"/>
    <x v="1"/>
    <x v="2"/>
    <x v="3"/>
    <x v="0"/>
    <n v="0"/>
    <n v="34399"/>
    <n v="3.4398999999999999E-2"/>
    <n v="43252"/>
    <x v="0"/>
  </r>
  <r>
    <n v="60000555"/>
    <x v="11"/>
    <x v="0"/>
    <x v="1"/>
    <x v="9"/>
    <x v="0"/>
    <n v="0.38"/>
    <x v="1"/>
    <x v="1"/>
    <x v="8"/>
    <x v="42"/>
    <x v="1"/>
    <x v="3"/>
    <x v="0"/>
    <n v="0"/>
    <n v="65066"/>
    <n v="6.5065999999999999E-2"/>
    <n v="43252"/>
    <x v="0"/>
  </r>
  <r>
    <n v="60000556"/>
    <x v="7"/>
    <x v="0"/>
    <x v="1"/>
    <x v="2"/>
    <x v="0"/>
    <n v="0.15"/>
    <x v="2"/>
    <x v="7"/>
    <x v="3"/>
    <x v="22"/>
    <x v="1"/>
    <x v="3"/>
    <x v="0"/>
    <n v="0"/>
    <n v="25621"/>
    <n v="2.5621000000000001E-2"/>
    <n v="43252"/>
    <x v="0"/>
  </r>
  <r>
    <n v="60000557"/>
    <x v="22"/>
    <x v="1"/>
    <x v="1"/>
    <x v="1"/>
    <x v="1"/>
    <n v="0.23"/>
    <x v="0"/>
    <x v="14"/>
    <x v="3"/>
    <x v="28"/>
    <x v="0"/>
    <x v="3"/>
    <x v="1"/>
    <n v="7"/>
    <n v="81039"/>
    <n v="8.1039E-2"/>
    <n v="43252"/>
    <x v="0"/>
  </r>
  <r>
    <n v="60000558"/>
    <x v="26"/>
    <x v="0"/>
    <x v="0"/>
    <x v="2"/>
    <x v="1"/>
    <n v="0.23"/>
    <x v="0"/>
    <x v="14"/>
    <x v="11"/>
    <x v="0"/>
    <x v="2"/>
    <x v="3"/>
    <x v="0"/>
    <n v="0"/>
    <n v="60055"/>
    <n v="6.0054999999999997E-2"/>
    <n v="43252"/>
    <x v="0"/>
  </r>
  <r>
    <n v="60000559"/>
    <x v="0"/>
    <x v="0"/>
    <x v="0"/>
    <x v="10"/>
    <x v="2"/>
    <n v="0.31"/>
    <x v="3"/>
    <x v="10"/>
    <x v="2"/>
    <x v="45"/>
    <x v="1"/>
    <x v="3"/>
    <x v="1"/>
    <n v="4"/>
    <n v="59665"/>
    <n v="5.9665000000000003E-2"/>
    <n v="43252"/>
    <x v="0"/>
  </r>
  <r>
    <n v="60000560"/>
    <x v="9"/>
    <x v="1"/>
    <x v="1"/>
    <x v="5"/>
    <x v="0"/>
    <n v="0.18"/>
    <x v="2"/>
    <x v="8"/>
    <x v="4"/>
    <x v="33"/>
    <x v="2"/>
    <x v="3"/>
    <x v="1"/>
    <n v="2"/>
    <n v="79766"/>
    <n v="7.9766000000000004E-2"/>
    <n v="43252"/>
    <x v="0"/>
  </r>
  <r>
    <n v="60000561"/>
    <x v="34"/>
    <x v="1"/>
    <x v="0"/>
    <x v="0"/>
    <x v="0"/>
    <n v="0.26"/>
    <x v="3"/>
    <x v="0"/>
    <x v="10"/>
    <x v="28"/>
    <x v="0"/>
    <x v="3"/>
    <x v="0"/>
    <n v="0"/>
    <n v="72085"/>
    <n v="7.2084999999999996E-2"/>
    <n v="43252"/>
    <x v="0"/>
  </r>
  <r>
    <n v="60000562"/>
    <x v="24"/>
    <x v="1"/>
    <x v="0"/>
    <x v="6"/>
    <x v="2"/>
    <n v="0.2"/>
    <x v="0"/>
    <x v="14"/>
    <x v="5"/>
    <x v="36"/>
    <x v="0"/>
    <x v="3"/>
    <x v="0"/>
    <n v="0"/>
    <n v="30210"/>
    <n v="3.0210000000000001E-2"/>
    <n v="43252"/>
    <x v="0"/>
  </r>
  <r>
    <n v="60000563"/>
    <x v="36"/>
    <x v="1"/>
    <x v="0"/>
    <x v="1"/>
    <x v="0"/>
    <n v="0.34"/>
    <x v="1"/>
    <x v="5"/>
    <x v="7"/>
    <x v="48"/>
    <x v="1"/>
    <x v="3"/>
    <x v="1"/>
    <n v="2"/>
    <n v="71522"/>
    <n v="7.1522000000000002E-2"/>
    <n v="43252"/>
    <x v="0"/>
  </r>
  <r>
    <n v="60000564"/>
    <x v="42"/>
    <x v="1"/>
    <x v="0"/>
    <x v="3"/>
    <x v="2"/>
    <n v="0.19"/>
    <x v="0"/>
    <x v="6"/>
    <x v="8"/>
    <x v="32"/>
    <x v="2"/>
    <x v="3"/>
    <x v="0"/>
    <n v="0"/>
    <n v="72112"/>
    <n v="7.2111999999999996E-2"/>
    <n v="43252"/>
    <x v="0"/>
  </r>
  <r>
    <n v="60000565"/>
    <x v="7"/>
    <x v="1"/>
    <x v="0"/>
    <x v="7"/>
    <x v="0"/>
    <n v="0.1"/>
    <x v="4"/>
    <x v="3"/>
    <x v="9"/>
    <x v="31"/>
    <x v="0"/>
    <x v="3"/>
    <x v="1"/>
    <n v="2"/>
    <n v="23879"/>
    <n v="2.3879000000000001E-2"/>
    <n v="43252"/>
    <x v="0"/>
  </r>
  <r>
    <n v="60000566"/>
    <x v="17"/>
    <x v="1"/>
    <x v="1"/>
    <x v="8"/>
    <x v="0"/>
    <n v="0.37"/>
    <x v="1"/>
    <x v="5"/>
    <x v="5"/>
    <x v="8"/>
    <x v="0"/>
    <x v="3"/>
    <x v="0"/>
    <n v="0"/>
    <n v="51537"/>
    <n v="5.1536999999999999E-2"/>
    <n v="43252"/>
    <x v="0"/>
  </r>
  <r>
    <n v="60000567"/>
    <x v="41"/>
    <x v="0"/>
    <x v="1"/>
    <x v="8"/>
    <x v="0"/>
    <n v="0.36"/>
    <x v="1"/>
    <x v="10"/>
    <x v="11"/>
    <x v="34"/>
    <x v="2"/>
    <x v="3"/>
    <x v="0"/>
    <n v="0"/>
    <n v="73829"/>
    <n v="7.3829000000000006E-2"/>
    <n v="43252"/>
    <x v="0"/>
  </r>
  <r>
    <n v="60000568"/>
    <x v="41"/>
    <x v="0"/>
    <x v="0"/>
    <x v="2"/>
    <x v="2"/>
    <n v="0.12"/>
    <x v="2"/>
    <x v="5"/>
    <x v="5"/>
    <x v="35"/>
    <x v="2"/>
    <x v="3"/>
    <x v="1"/>
    <n v="6"/>
    <n v="55684"/>
    <n v="5.5683999999999997E-2"/>
    <n v="43252"/>
    <x v="0"/>
  </r>
  <r>
    <n v="60000569"/>
    <x v="33"/>
    <x v="1"/>
    <x v="0"/>
    <x v="6"/>
    <x v="2"/>
    <n v="0.34"/>
    <x v="1"/>
    <x v="3"/>
    <x v="9"/>
    <x v="47"/>
    <x v="2"/>
    <x v="3"/>
    <x v="1"/>
    <n v="1"/>
    <n v="66711"/>
    <n v="6.6711000000000006E-2"/>
    <n v="43252"/>
    <x v="0"/>
  </r>
  <r>
    <n v="60000570"/>
    <x v="16"/>
    <x v="1"/>
    <x v="1"/>
    <x v="7"/>
    <x v="2"/>
    <n v="0.35"/>
    <x v="1"/>
    <x v="2"/>
    <x v="0"/>
    <x v="35"/>
    <x v="1"/>
    <x v="3"/>
    <x v="1"/>
    <n v="4"/>
    <n v="35715"/>
    <n v="3.5714999999999997E-2"/>
    <n v="43252"/>
    <x v="0"/>
  </r>
  <r>
    <n v="60000571"/>
    <x v="10"/>
    <x v="1"/>
    <x v="0"/>
    <x v="0"/>
    <x v="1"/>
    <n v="0.38"/>
    <x v="1"/>
    <x v="1"/>
    <x v="4"/>
    <x v="38"/>
    <x v="0"/>
    <x v="3"/>
    <x v="1"/>
    <n v="5"/>
    <n v="74814"/>
    <n v="7.4814000000000005E-2"/>
    <n v="43252"/>
    <x v="0"/>
  </r>
  <r>
    <n v="60000572"/>
    <x v="6"/>
    <x v="0"/>
    <x v="0"/>
    <x v="5"/>
    <x v="2"/>
    <n v="0.13"/>
    <x v="2"/>
    <x v="9"/>
    <x v="2"/>
    <x v="40"/>
    <x v="1"/>
    <x v="3"/>
    <x v="0"/>
    <n v="0"/>
    <n v="83368"/>
    <n v="8.3367999999999998E-2"/>
    <n v="43252"/>
    <x v="0"/>
  </r>
  <r>
    <n v="60000573"/>
    <x v="34"/>
    <x v="0"/>
    <x v="0"/>
    <x v="6"/>
    <x v="1"/>
    <n v="0.13"/>
    <x v="2"/>
    <x v="13"/>
    <x v="9"/>
    <x v="3"/>
    <x v="2"/>
    <x v="3"/>
    <x v="0"/>
    <n v="0"/>
    <n v="37503"/>
    <n v="3.7503000000000002E-2"/>
    <n v="43252"/>
    <x v="0"/>
  </r>
  <r>
    <n v="60000574"/>
    <x v="13"/>
    <x v="0"/>
    <x v="1"/>
    <x v="9"/>
    <x v="1"/>
    <n v="0.12"/>
    <x v="2"/>
    <x v="5"/>
    <x v="0"/>
    <x v="8"/>
    <x v="1"/>
    <x v="3"/>
    <x v="0"/>
    <n v="0"/>
    <n v="24263"/>
    <n v="2.4263E-2"/>
    <n v="43252"/>
    <x v="0"/>
  </r>
  <r>
    <n v="60000575"/>
    <x v="1"/>
    <x v="1"/>
    <x v="0"/>
    <x v="4"/>
    <x v="1"/>
    <n v="0.14000000000000001"/>
    <x v="2"/>
    <x v="10"/>
    <x v="10"/>
    <x v="42"/>
    <x v="1"/>
    <x v="3"/>
    <x v="0"/>
    <n v="0"/>
    <n v="41770"/>
    <n v="4.1770000000000002E-2"/>
    <n v="43252"/>
    <x v="0"/>
  </r>
  <r>
    <n v="60000576"/>
    <x v="38"/>
    <x v="0"/>
    <x v="0"/>
    <x v="9"/>
    <x v="0"/>
    <n v="0.3"/>
    <x v="3"/>
    <x v="11"/>
    <x v="8"/>
    <x v="4"/>
    <x v="0"/>
    <x v="3"/>
    <x v="0"/>
    <n v="0"/>
    <n v="55840"/>
    <n v="5.5840000000000001E-2"/>
    <n v="43252"/>
    <x v="0"/>
  </r>
  <r>
    <n v="60000577"/>
    <x v="24"/>
    <x v="1"/>
    <x v="0"/>
    <x v="1"/>
    <x v="1"/>
    <n v="0.11"/>
    <x v="4"/>
    <x v="11"/>
    <x v="12"/>
    <x v="9"/>
    <x v="0"/>
    <x v="3"/>
    <x v="1"/>
    <n v="1"/>
    <n v="72353"/>
    <n v="7.2353000000000001E-2"/>
    <n v="43252"/>
    <x v="0"/>
  </r>
  <r>
    <n v="60000578"/>
    <x v="27"/>
    <x v="1"/>
    <x v="0"/>
    <x v="7"/>
    <x v="2"/>
    <n v="0.36"/>
    <x v="1"/>
    <x v="8"/>
    <x v="5"/>
    <x v="17"/>
    <x v="1"/>
    <x v="3"/>
    <x v="1"/>
    <n v="6"/>
    <n v="40780"/>
    <n v="4.0779999999999997E-2"/>
    <n v="43252"/>
    <x v="0"/>
  </r>
  <r>
    <n v="60000579"/>
    <x v="10"/>
    <x v="1"/>
    <x v="1"/>
    <x v="8"/>
    <x v="2"/>
    <n v="0.26"/>
    <x v="3"/>
    <x v="10"/>
    <x v="7"/>
    <x v="27"/>
    <x v="2"/>
    <x v="3"/>
    <x v="1"/>
    <n v="7"/>
    <n v="76617"/>
    <n v="7.6617000000000005E-2"/>
    <n v="43252"/>
    <x v="0"/>
  </r>
  <r>
    <n v="60000580"/>
    <x v="44"/>
    <x v="0"/>
    <x v="1"/>
    <x v="6"/>
    <x v="0"/>
    <n v="0.15"/>
    <x v="2"/>
    <x v="3"/>
    <x v="4"/>
    <x v="5"/>
    <x v="0"/>
    <x v="3"/>
    <x v="0"/>
    <n v="0"/>
    <n v="68090"/>
    <n v="6.8089999999999998E-2"/>
    <n v="43252"/>
    <x v="0"/>
  </r>
  <r>
    <n v="60000581"/>
    <x v="45"/>
    <x v="1"/>
    <x v="1"/>
    <x v="10"/>
    <x v="0"/>
    <n v="0.1"/>
    <x v="4"/>
    <x v="4"/>
    <x v="12"/>
    <x v="32"/>
    <x v="1"/>
    <x v="3"/>
    <x v="1"/>
    <n v="7"/>
    <n v="46276"/>
    <n v="4.6275999999999998E-2"/>
    <n v="43252"/>
    <x v="0"/>
  </r>
  <r>
    <n v="60000582"/>
    <x v="5"/>
    <x v="1"/>
    <x v="0"/>
    <x v="2"/>
    <x v="0"/>
    <n v="0.11"/>
    <x v="4"/>
    <x v="4"/>
    <x v="11"/>
    <x v="23"/>
    <x v="0"/>
    <x v="3"/>
    <x v="1"/>
    <n v="7"/>
    <n v="41093"/>
    <n v="4.1092999999999998E-2"/>
    <n v="43252"/>
    <x v="0"/>
  </r>
  <r>
    <n v="60000583"/>
    <x v="2"/>
    <x v="1"/>
    <x v="1"/>
    <x v="5"/>
    <x v="0"/>
    <n v="0.36"/>
    <x v="1"/>
    <x v="1"/>
    <x v="12"/>
    <x v="13"/>
    <x v="0"/>
    <x v="3"/>
    <x v="1"/>
    <n v="1"/>
    <n v="53884"/>
    <n v="5.3884000000000001E-2"/>
    <n v="43252"/>
    <x v="0"/>
  </r>
  <r>
    <n v="60000584"/>
    <x v="10"/>
    <x v="0"/>
    <x v="0"/>
    <x v="5"/>
    <x v="2"/>
    <n v="0.32"/>
    <x v="1"/>
    <x v="15"/>
    <x v="8"/>
    <x v="5"/>
    <x v="1"/>
    <x v="3"/>
    <x v="0"/>
    <n v="0"/>
    <n v="76973"/>
    <n v="7.6973E-2"/>
    <n v="43252"/>
    <x v="0"/>
  </r>
  <r>
    <n v="60000585"/>
    <x v="33"/>
    <x v="1"/>
    <x v="1"/>
    <x v="1"/>
    <x v="1"/>
    <n v="0.14000000000000001"/>
    <x v="2"/>
    <x v="9"/>
    <x v="8"/>
    <x v="39"/>
    <x v="0"/>
    <x v="3"/>
    <x v="0"/>
    <n v="0"/>
    <n v="45982"/>
    <n v="4.5982000000000002E-2"/>
    <n v="43252"/>
    <x v="0"/>
  </r>
  <r>
    <n v="60000586"/>
    <x v="12"/>
    <x v="1"/>
    <x v="1"/>
    <x v="3"/>
    <x v="2"/>
    <n v="0.27"/>
    <x v="3"/>
    <x v="15"/>
    <x v="12"/>
    <x v="22"/>
    <x v="1"/>
    <x v="3"/>
    <x v="0"/>
    <n v="0"/>
    <n v="28570"/>
    <n v="2.8570000000000002E-2"/>
    <n v="43252"/>
    <x v="0"/>
  </r>
  <r>
    <n v="60000587"/>
    <x v="29"/>
    <x v="0"/>
    <x v="0"/>
    <x v="5"/>
    <x v="1"/>
    <n v="0.22"/>
    <x v="0"/>
    <x v="12"/>
    <x v="10"/>
    <x v="46"/>
    <x v="0"/>
    <x v="3"/>
    <x v="1"/>
    <n v="4"/>
    <n v="71377"/>
    <n v="7.1376999999999996E-2"/>
    <n v="43252"/>
    <x v="0"/>
  </r>
  <r>
    <n v="60000588"/>
    <x v="3"/>
    <x v="1"/>
    <x v="0"/>
    <x v="6"/>
    <x v="2"/>
    <n v="0.26"/>
    <x v="3"/>
    <x v="1"/>
    <x v="12"/>
    <x v="18"/>
    <x v="0"/>
    <x v="3"/>
    <x v="0"/>
    <n v="0"/>
    <n v="57215"/>
    <n v="5.7215000000000002E-2"/>
    <n v="43252"/>
    <x v="0"/>
  </r>
  <r>
    <n v="60000589"/>
    <x v="19"/>
    <x v="0"/>
    <x v="1"/>
    <x v="8"/>
    <x v="0"/>
    <n v="0.37"/>
    <x v="1"/>
    <x v="15"/>
    <x v="3"/>
    <x v="7"/>
    <x v="1"/>
    <x v="3"/>
    <x v="1"/>
    <n v="2"/>
    <n v="48218"/>
    <n v="4.8217999999999997E-2"/>
    <n v="43252"/>
    <x v="0"/>
  </r>
  <r>
    <n v="60000590"/>
    <x v="7"/>
    <x v="0"/>
    <x v="0"/>
    <x v="11"/>
    <x v="0"/>
    <n v="0.18"/>
    <x v="2"/>
    <x v="7"/>
    <x v="8"/>
    <x v="45"/>
    <x v="1"/>
    <x v="3"/>
    <x v="0"/>
    <n v="0"/>
    <n v="50569"/>
    <n v="5.0569000000000003E-2"/>
    <n v="43252"/>
    <x v="0"/>
  </r>
  <r>
    <n v="60000591"/>
    <x v="41"/>
    <x v="1"/>
    <x v="0"/>
    <x v="8"/>
    <x v="0"/>
    <n v="0.28000000000000003"/>
    <x v="3"/>
    <x v="5"/>
    <x v="2"/>
    <x v="4"/>
    <x v="1"/>
    <x v="3"/>
    <x v="0"/>
    <n v="0"/>
    <n v="65399"/>
    <n v="6.5398999999999999E-2"/>
    <n v="43252"/>
    <x v="0"/>
  </r>
  <r>
    <n v="60000592"/>
    <x v="32"/>
    <x v="1"/>
    <x v="1"/>
    <x v="11"/>
    <x v="2"/>
    <n v="0.28000000000000003"/>
    <x v="3"/>
    <x v="10"/>
    <x v="12"/>
    <x v="28"/>
    <x v="2"/>
    <x v="3"/>
    <x v="0"/>
    <n v="0"/>
    <n v="52033"/>
    <n v="5.2033000000000003E-2"/>
    <n v="43252"/>
    <x v="0"/>
  </r>
  <r>
    <n v="60000593"/>
    <x v="23"/>
    <x v="1"/>
    <x v="1"/>
    <x v="3"/>
    <x v="0"/>
    <n v="0.13"/>
    <x v="2"/>
    <x v="1"/>
    <x v="11"/>
    <x v="42"/>
    <x v="1"/>
    <x v="3"/>
    <x v="0"/>
    <n v="0"/>
    <n v="68451"/>
    <n v="6.8450999999999998E-2"/>
    <n v="43252"/>
    <x v="0"/>
  </r>
  <r>
    <n v="60000594"/>
    <x v="32"/>
    <x v="0"/>
    <x v="1"/>
    <x v="9"/>
    <x v="1"/>
    <n v="0.19"/>
    <x v="0"/>
    <x v="0"/>
    <x v="3"/>
    <x v="29"/>
    <x v="1"/>
    <x v="3"/>
    <x v="0"/>
    <n v="0"/>
    <n v="25667"/>
    <n v="2.5666999999999999E-2"/>
    <n v="43252"/>
    <x v="0"/>
  </r>
  <r>
    <n v="60000595"/>
    <x v="17"/>
    <x v="0"/>
    <x v="0"/>
    <x v="11"/>
    <x v="0"/>
    <n v="0.2"/>
    <x v="0"/>
    <x v="11"/>
    <x v="7"/>
    <x v="37"/>
    <x v="0"/>
    <x v="3"/>
    <x v="0"/>
    <n v="0"/>
    <n v="83560"/>
    <n v="8.3559999999999995E-2"/>
    <n v="43252"/>
    <x v="0"/>
  </r>
  <r>
    <n v="60000596"/>
    <x v="34"/>
    <x v="1"/>
    <x v="1"/>
    <x v="9"/>
    <x v="2"/>
    <n v="0.26"/>
    <x v="3"/>
    <x v="5"/>
    <x v="11"/>
    <x v="48"/>
    <x v="0"/>
    <x v="3"/>
    <x v="0"/>
    <n v="0"/>
    <n v="57917"/>
    <n v="5.7917000000000003E-2"/>
    <n v="43252"/>
    <x v="0"/>
  </r>
  <r>
    <n v="60000597"/>
    <x v="32"/>
    <x v="1"/>
    <x v="0"/>
    <x v="3"/>
    <x v="1"/>
    <n v="0.16"/>
    <x v="2"/>
    <x v="11"/>
    <x v="6"/>
    <x v="38"/>
    <x v="1"/>
    <x v="3"/>
    <x v="0"/>
    <n v="0"/>
    <n v="50258"/>
    <n v="5.0257999999999997E-2"/>
    <n v="43252"/>
    <x v="0"/>
  </r>
  <r>
    <n v="60000598"/>
    <x v="8"/>
    <x v="1"/>
    <x v="1"/>
    <x v="7"/>
    <x v="1"/>
    <n v="0.15"/>
    <x v="2"/>
    <x v="1"/>
    <x v="7"/>
    <x v="36"/>
    <x v="0"/>
    <x v="3"/>
    <x v="1"/>
    <n v="1"/>
    <n v="53537"/>
    <n v="5.3537000000000001E-2"/>
    <n v="43252"/>
    <x v="0"/>
  </r>
  <r>
    <n v="60000599"/>
    <x v="10"/>
    <x v="0"/>
    <x v="1"/>
    <x v="7"/>
    <x v="1"/>
    <n v="0.22"/>
    <x v="0"/>
    <x v="9"/>
    <x v="5"/>
    <x v="9"/>
    <x v="1"/>
    <x v="3"/>
    <x v="1"/>
    <n v="5"/>
    <n v="36408"/>
    <n v="3.6408000000000003E-2"/>
    <n v="43252"/>
    <x v="0"/>
  </r>
  <r>
    <n v="60000600"/>
    <x v="27"/>
    <x v="1"/>
    <x v="1"/>
    <x v="8"/>
    <x v="0"/>
    <n v="0.22"/>
    <x v="0"/>
    <x v="14"/>
    <x v="9"/>
    <x v="33"/>
    <x v="0"/>
    <x v="3"/>
    <x v="0"/>
    <n v="0"/>
    <n v="68952"/>
    <n v="6.8951999999999999E-2"/>
    <n v="43252"/>
    <x v="0"/>
  </r>
  <r>
    <n v="60000601"/>
    <x v="30"/>
    <x v="0"/>
    <x v="0"/>
    <x v="1"/>
    <x v="1"/>
    <n v="0.27"/>
    <x v="3"/>
    <x v="4"/>
    <x v="3"/>
    <x v="7"/>
    <x v="1"/>
    <x v="3"/>
    <x v="0"/>
    <n v="0"/>
    <n v="64036"/>
    <n v="6.4035999999999996E-2"/>
    <n v="43252"/>
    <x v="0"/>
  </r>
  <r>
    <n v="60000602"/>
    <x v="18"/>
    <x v="1"/>
    <x v="1"/>
    <x v="9"/>
    <x v="2"/>
    <n v="0.18"/>
    <x v="2"/>
    <x v="7"/>
    <x v="2"/>
    <x v="30"/>
    <x v="2"/>
    <x v="3"/>
    <x v="0"/>
    <n v="0"/>
    <n v="56531"/>
    <n v="5.6530999999999998E-2"/>
    <n v="43252"/>
    <x v="0"/>
  </r>
  <r>
    <n v="60000603"/>
    <x v="7"/>
    <x v="0"/>
    <x v="0"/>
    <x v="11"/>
    <x v="0"/>
    <n v="0.18"/>
    <x v="2"/>
    <x v="2"/>
    <x v="5"/>
    <x v="16"/>
    <x v="1"/>
    <x v="3"/>
    <x v="0"/>
    <n v="0"/>
    <n v="75914"/>
    <n v="7.5913999999999995E-2"/>
    <n v="43252"/>
    <x v="0"/>
  </r>
  <r>
    <n v="60000604"/>
    <x v="37"/>
    <x v="0"/>
    <x v="0"/>
    <x v="5"/>
    <x v="1"/>
    <n v="0.14000000000000001"/>
    <x v="2"/>
    <x v="14"/>
    <x v="3"/>
    <x v="12"/>
    <x v="2"/>
    <x v="3"/>
    <x v="1"/>
    <n v="4"/>
    <n v="68867"/>
    <n v="6.8866999999999998E-2"/>
    <n v="43252"/>
    <x v="0"/>
  </r>
  <r>
    <n v="60000605"/>
    <x v="30"/>
    <x v="1"/>
    <x v="0"/>
    <x v="5"/>
    <x v="0"/>
    <n v="0.14000000000000001"/>
    <x v="2"/>
    <x v="1"/>
    <x v="7"/>
    <x v="47"/>
    <x v="2"/>
    <x v="3"/>
    <x v="0"/>
    <n v="0"/>
    <n v="68635"/>
    <n v="6.8635000000000002E-2"/>
    <n v="43252"/>
    <x v="0"/>
  </r>
  <r>
    <n v="60000606"/>
    <x v="9"/>
    <x v="1"/>
    <x v="1"/>
    <x v="6"/>
    <x v="0"/>
    <n v="0.34"/>
    <x v="1"/>
    <x v="7"/>
    <x v="5"/>
    <x v="9"/>
    <x v="2"/>
    <x v="3"/>
    <x v="1"/>
    <n v="3"/>
    <n v="81611"/>
    <n v="8.1611000000000003E-2"/>
    <n v="43252"/>
    <x v="0"/>
  </r>
  <r>
    <n v="60000607"/>
    <x v="3"/>
    <x v="0"/>
    <x v="0"/>
    <x v="1"/>
    <x v="0"/>
    <n v="0.33"/>
    <x v="1"/>
    <x v="5"/>
    <x v="4"/>
    <x v="27"/>
    <x v="2"/>
    <x v="3"/>
    <x v="1"/>
    <n v="5"/>
    <n v="48508"/>
    <n v="4.8508000000000003E-2"/>
    <n v="43252"/>
    <x v="0"/>
  </r>
  <r>
    <n v="60000608"/>
    <x v="11"/>
    <x v="1"/>
    <x v="1"/>
    <x v="8"/>
    <x v="0"/>
    <n v="0.37"/>
    <x v="1"/>
    <x v="0"/>
    <x v="1"/>
    <x v="39"/>
    <x v="2"/>
    <x v="3"/>
    <x v="0"/>
    <n v="0"/>
    <n v="70933"/>
    <n v="7.0932999999999996E-2"/>
    <n v="43252"/>
    <x v="0"/>
  </r>
  <r>
    <n v="60000609"/>
    <x v="36"/>
    <x v="1"/>
    <x v="1"/>
    <x v="1"/>
    <x v="1"/>
    <n v="0.25"/>
    <x v="3"/>
    <x v="5"/>
    <x v="3"/>
    <x v="20"/>
    <x v="1"/>
    <x v="3"/>
    <x v="1"/>
    <n v="4"/>
    <n v="48153"/>
    <n v="4.8153000000000001E-2"/>
    <n v="43252"/>
    <x v="0"/>
  </r>
  <r>
    <n v="60000610"/>
    <x v="14"/>
    <x v="0"/>
    <x v="0"/>
    <x v="2"/>
    <x v="0"/>
    <n v="0.25"/>
    <x v="3"/>
    <x v="3"/>
    <x v="0"/>
    <x v="4"/>
    <x v="2"/>
    <x v="3"/>
    <x v="0"/>
    <n v="0"/>
    <n v="45766"/>
    <n v="4.5766000000000001E-2"/>
    <n v="43252"/>
    <x v="0"/>
  </r>
  <r>
    <n v="60000611"/>
    <x v="5"/>
    <x v="0"/>
    <x v="0"/>
    <x v="11"/>
    <x v="1"/>
    <n v="0.12"/>
    <x v="2"/>
    <x v="5"/>
    <x v="2"/>
    <x v="45"/>
    <x v="0"/>
    <x v="3"/>
    <x v="1"/>
    <n v="2"/>
    <n v="28478"/>
    <n v="2.8478E-2"/>
    <n v="43252"/>
    <x v="0"/>
  </r>
  <r>
    <n v="60000612"/>
    <x v="15"/>
    <x v="0"/>
    <x v="0"/>
    <x v="6"/>
    <x v="0"/>
    <n v="0.23"/>
    <x v="0"/>
    <x v="1"/>
    <x v="10"/>
    <x v="29"/>
    <x v="2"/>
    <x v="3"/>
    <x v="1"/>
    <n v="5"/>
    <n v="69741"/>
    <n v="6.9740999999999997E-2"/>
    <n v="43252"/>
    <x v="0"/>
  </r>
  <r>
    <n v="60000613"/>
    <x v="1"/>
    <x v="1"/>
    <x v="0"/>
    <x v="5"/>
    <x v="0"/>
    <n v="0.33"/>
    <x v="1"/>
    <x v="4"/>
    <x v="5"/>
    <x v="32"/>
    <x v="1"/>
    <x v="3"/>
    <x v="0"/>
    <n v="0"/>
    <n v="58015"/>
    <n v="5.8014999999999997E-2"/>
    <n v="43252"/>
    <x v="0"/>
  </r>
  <r>
    <n v="60000614"/>
    <x v="10"/>
    <x v="0"/>
    <x v="1"/>
    <x v="11"/>
    <x v="1"/>
    <n v="0.1"/>
    <x v="4"/>
    <x v="4"/>
    <x v="6"/>
    <x v="24"/>
    <x v="2"/>
    <x v="3"/>
    <x v="1"/>
    <n v="6"/>
    <n v="68263"/>
    <n v="6.8263000000000004E-2"/>
    <n v="43252"/>
    <x v="0"/>
  </r>
  <r>
    <n v="60000615"/>
    <x v="8"/>
    <x v="1"/>
    <x v="1"/>
    <x v="9"/>
    <x v="1"/>
    <n v="0.23"/>
    <x v="0"/>
    <x v="0"/>
    <x v="1"/>
    <x v="0"/>
    <x v="1"/>
    <x v="3"/>
    <x v="0"/>
    <n v="0"/>
    <n v="34109"/>
    <n v="3.4109E-2"/>
    <n v="43252"/>
    <x v="0"/>
  </r>
  <r>
    <n v="60000616"/>
    <x v="4"/>
    <x v="1"/>
    <x v="0"/>
    <x v="2"/>
    <x v="2"/>
    <n v="0.17"/>
    <x v="2"/>
    <x v="15"/>
    <x v="2"/>
    <x v="9"/>
    <x v="0"/>
    <x v="3"/>
    <x v="1"/>
    <n v="3"/>
    <n v="64964"/>
    <n v="6.4963999999999994E-2"/>
    <n v="43252"/>
    <x v="0"/>
  </r>
  <r>
    <n v="60000617"/>
    <x v="20"/>
    <x v="0"/>
    <x v="1"/>
    <x v="2"/>
    <x v="0"/>
    <n v="0.22"/>
    <x v="0"/>
    <x v="10"/>
    <x v="6"/>
    <x v="41"/>
    <x v="2"/>
    <x v="3"/>
    <x v="1"/>
    <n v="5"/>
    <n v="30063"/>
    <n v="3.0062999999999999E-2"/>
    <n v="43252"/>
    <x v="0"/>
  </r>
  <r>
    <n v="60000618"/>
    <x v="8"/>
    <x v="1"/>
    <x v="0"/>
    <x v="2"/>
    <x v="1"/>
    <n v="0.21"/>
    <x v="0"/>
    <x v="8"/>
    <x v="2"/>
    <x v="42"/>
    <x v="1"/>
    <x v="3"/>
    <x v="1"/>
    <n v="5"/>
    <n v="59660"/>
    <n v="5.9659999999999998E-2"/>
    <n v="43252"/>
    <x v="0"/>
  </r>
  <r>
    <n v="60000619"/>
    <x v="9"/>
    <x v="1"/>
    <x v="1"/>
    <x v="11"/>
    <x v="1"/>
    <n v="0.2"/>
    <x v="0"/>
    <x v="3"/>
    <x v="10"/>
    <x v="43"/>
    <x v="0"/>
    <x v="3"/>
    <x v="0"/>
    <n v="0"/>
    <n v="31515"/>
    <n v="3.1515000000000001E-2"/>
    <n v="43252"/>
    <x v="0"/>
  </r>
  <r>
    <n v="60000620"/>
    <x v="33"/>
    <x v="0"/>
    <x v="0"/>
    <x v="9"/>
    <x v="2"/>
    <n v="0.25"/>
    <x v="3"/>
    <x v="5"/>
    <x v="0"/>
    <x v="37"/>
    <x v="1"/>
    <x v="3"/>
    <x v="0"/>
    <n v="0"/>
    <n v="78579"/>
    <n v="7.8578999999999996E-2"/>
    <n v="43252"/>
    <x v="0"/>
  </r>
  <r>
    <n v="60000621"/>
    <x v="43"/>
    <x v="1"/>
    <x v="0"/>
    <x v="1"/>
    <x v="1"/>
    <n v="0.1"/>
    <x v="4"/>
    <x v="12"/>
    <x v="12"/>
    <x v="44"/>
    <x v="1"/>
    <x v="3"/>
    <x v="0"/>
    <n v="0"/>
    <n v="29705"/>
    <n v="2.9704999999999999E-2"/>
    <n v="43252"/>
    <x v="0"/>
  </r>
  <r>
    <n v="60000622"/>
    <x v="16"/>
    <x v="1"/>
    <x v="1"/>
    <x v="3"/>
    <x v="1"/>
    <n v="0.25"/>
    <x v="3"/>
    <x v="10"/>
    <x v="3"/>
    <x v="44"/>
    <x v="0"/>
    <x v="3"/>
    <x v="0"/>
    <n v="0"/>
    <n v="51214"/>
    <n v="5.1214000000000003E-2"/>
    <n v="43252"/>
    <x v="0"/>
  </r>
  <r>
    <n v="60000623"/>
    <x v="22"/>
    <x v="0"/>
    <x v="1"/>
    <x v="5"/>
    <x v="1"/>
    <n v="0.25"/>
    <x v="3"/>
    <x v="8"/>
    <x v="1"/>
    <x v="4"/>
    <x v="2"/>
    <x v="3"/>
    <x v="0"/>
    <n v="0"/>
    <n v="57784"/>
    <n v="5.7784000000000002E-2"/>
    <n v="43252"/>
    <x v="0"/>
  </r>
  <r>
    <n v="60000624"/>
    <x v="32"/>
    <x v="1"/>
    <x v="1"/>
    <x v="11"/>
    <x v="2"/>
    <n v="0.37"/>
    <x v="1"/>
    <x v="7"/>
    <x v="6"/>
    <x v="26"/>
    <x v="1"/>
    <x v="3"/>
    <x v="1"/>
    <n v="0"/>
    <n v="73339"/>
    <n v="7.3339000000000001E-2"/>
    <n v="43252"/>
    <x v="0"/>
  </r>
  <r>
    <n v="60000625"/>
    <x v="39"/>
    <x v="0"/>
    <x v="0"/>
    <x v="6"/>
    <x v="0"/>
    <n v="0.34"/>
    <x v="1"/>
    <x v="5"/>
    <x v="7"/>
    <x v="32"/>
    <x v="1"/>
    <x v="3"/>
    <x v="1"/>
    <n v="4"/>
    <n v="41052"/>
    <n v="4.1051999999999998E-2"/>
    <n v="43252"/>
    <x v="0"/>
  </r>
  <r>
    <n v="60000626"/>
    <x v="40"/>
    <x v="0"/>
    <x v="0"/>
    <x v="2"/>
    <x v="2"/>
    <n v="0.24"/>
    <x v="0"/>
    <x v="5"/>
    <x v="7"/>
    <x v="9"/>
    <x v="0"/>
    <x v="3"/>
    <x v="1"/>
    <n v="4"/>
    <n v="75161"/>
    <n v="7.5161000000000006E-2"/>
    <n v="43252"/>
    <x v="0"/>
  </r>
  <r>
    <n v="60000627"/>
    <x v="33"/>
    <x v="1"/>
    <x v="0"/>
    <x v="1"/>
    <x v="0"/>
    <n v="0.19"/>
    <x v="0"/>
    <x v="5"/>
    <x v="7"/>
    <x v="15"/>
    <x v="0"/>
    <x v="3"/>
    <x v="1"/>
    <n v="7"/>
    <n v="69835"/>
    <n v="6.9834999999999994E-2"/>
    <n v="43252"/>
    <x v="0"/>
  </r>
  <r>
    <n v="60000628"/>
    <x v="38"/>
    <x v="1"/>
    <x v="0"/>
    <x v="0"/>
    <x v="0"/>
    <n v="0.11"/>
    <x v="4"/>
    <x v="9"/>
    <x v="3"/>
    <x v="30"/>
    <x v="1"/>
    <x v="3"/>
    <x v="0"/>
    <n v="0"/>
    <n v="47676"/>
    <n v="4.7676000000000003E-2"/>
    <n v="43252"/>
    <x v="0"/>
  </r>
  <r>
    <n v="60000629"/>
    <x v="6"/>
    <x v="0"/>
    <x v="0"/>
    <x v="1"/>
    <x v="2"/>
    <n v="0.24"/>
    <x v="0"/>
    <x v="11"/>
    <x v="7"/>
    <x v="13"/>
    <x v="0"/>
    <x v="3"/>
    <x v="1"/>
    <n v="0"/>
    <n v="74278"/>
    <n v="7.4277999999999997E-2"/>
    <n v="43252"/>
    <x v="0"/>
  </r>
  <r>
    <n v="60000630"/>
    <x v="32"/>
    <x v="0"/>
    <x v="1"/>
    <x v="2"/>
    <x v="1"/>
    <n v="0.37"/>
    <x v="1"/>
    <x v="12"/>
    <x v="9"/>
    <x v="2"/>
    <x v="1"/>
    <x v="3"/>
    <x v="1"/>
    <n v="3"/>
    <n v="43875"/>
    <n v="4.3874999999999997E-2"/>
    <n v="43252"/>
    <x v="0"/>
  </r>
  <r>
    <n v="60000631"/>
    <x v="5"/>
    <x v="0"/>
    <x v="1"/>
    <x v="8"/>
    <x v="0"/>
    <n v="0.37"/>
    <x v="1"/>
    <x v="12"/>
    <x v="2"/>
    <x v="47"/>
    <x v="1"/>
    <x v="3"/>
    <x v="1"/>
    <n v="6"/>
    <n v="43891"/>
    <n v="4.3890999999999999E-2"/>
    <n v="43252"/>
    <x v="0"/>
  </r>
  <r>
    <n v="60000632"/>
    <x v="6"/>
    <x v="1"/>
    <x v="0"/>
    <x v="2"/>
    <x v="2"/>
    <n v="0.23"/>
    <x v="0"/>
    <x v="12"/>
    <x v="10"/>
    <x v="7"/>
    <x v="1"/>
    <x v="3"/>
    <x v="0"/>
    <n v="0"/>
    <n v="55861"/>
    <n v="5.5861000000000001E-2"/>
    <n v="43252"/>
    <x v="0"/>
  </r>
  <r>
    <n v="60000633"/>
    <x v="45"/>
    <x v="1"/>
    <x v="0"/>
    <x v="8"/>
    <x v="2"/>
    <n v="0.36"/>
    <x v="1"/>
    <x v="14"/>
    <x v="7"/>
    <x v="21"/>
    <x v="0"/>
    <x v="3"/>
    <x v="1"/>
    <n v="3"/>
    <n v="74572"/>
    <n v="7.4571999999999999E-2"/>
    <n v="43252"/>
    <x v="0"/>
  </r>
  <r>
    <n v="60000634"/>
    <x v="22"/>
    <x v="0"/>
    <x v="1"/>
    <x v="1"/>
    <x v="1"/>
    <n v="0.15"/>
    <x v="2"/>
    <x v="1"/>
    <x v="5"/>
    <x v="32"/>
    <x v="0"/>
    <x v="3"/>
    <x v="0"/>
    <n v="0"/>
    <n v="75919"/>
    <n v="7.5919E-2"/>
    <n v="4325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0">
  <location ref="E12:F15" firstHeaderRow="1" firstDataRow="1" firstDataCol="1"/>
  <pivotFields count="23"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uenta de Mes" fld="18" subtotal="count" showDataAs="percentOfTotal" baseField="3" baseItem="0" numFmtId="10"/>
  </dataFields>
  <formats count="28"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dataOnly="0" labelOnly="1" outline="0" axis="axisValues" fieldPosition="0"/>
    </format>
    <format dxfId="24">
      <pivotArea outline="0" collapsedLevelsAreSubtotals="1" fieldPosition="0"/>
    </format>
    <format dxfId="23">
      <pivotArea outline="0" fieldPosition="0">
        <references count="1">
          <reference field="4294967294" count="1">
            <x v="0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3" type="button" dataOnly="0" labelOnly="1" outline="0"/>
    </format>
    <format dxfId="19">
      <pivotArea dataOnly="0" labelOnly="1" outline="0" axis="axisValues" fieldPosition="0"/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3" type="button" dataOnly="0" labelOnly="1" outline="0"/>
    </format>
    <format dxfId="13">
      <pivotArea dataOnly="0" labelOnly="1" outline="0" axis="axisValues" fieldPosition="0"/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field="3" type="button" dataOnly="0" labelOnly="1" outline="0"/>
    </format>
    <format dxfId="8">
      <pivotArea type="all" dataOnly="0" outline="0" fieldPosition="0"/>
    </format>
    <format dxfId="7">
      <pivotArea field="3" type="button" dataOnly="0" labelOnly="1" outline="0"/>
    </format>
    <format dxfId="6">
      <pivotArea collapsedLevelsAreSubtotals="1" fieldPosition="0">
        <references count="1">
          <reference field="2" count="0"/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6" cacheId="9" applyNumberFormats="0" applyBorderFormats="0" applyFontFormats="0" applyPatternFormats="0" applyAlignmentFormats="0" applyWidthHeightFormats="1" dataCaption="Valores" grandTotalCaption="Total" updatedVersion="6" minRefreshableVersion="3" useAutoFormatting="1" itemPrintTitles="1" createdVersion="6" indent="0" outline="1" outlineData="1" multipleFieldFilters="0" rowHeaderCaption="Área">
  <location ref="H5:I7" firstHeaderRow="1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7">
        <item h="1" m="1" x="3"/>
        <item h="1" m="1" x="4"/>
        <item h="1" m="1" x="5"/>
        <item h="1" m="1" x="2"/>
        <item h="1" m="1"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2">
    <i>
      <x v="10"/>
    </i>
    <i t="grand">
      <x/>
    </i>
  </rowItems>
  <colItems count="1">
    <i/>
  </colItems>
  <dataFields count="1">
    <dataField name="Cantidad de servicios" fld="18" subtotal="count" baseField="4" baseItem="0"/>
  </dataFields>
  <formats count="54">
    <format dxfId="81">
      <pivotArea outline="0" collapsedLevelsAreSubtotals="1" fieldPosition="0"/>
    </format>
    <format dxfId="80">
      <pivotArea dataOnly="0" labelOnly="1" outline="0" axis="axisValues" fieldPosition="0"/>
    </format>
    <format dxfId="79">
      <pivotArea dataOnly="0" labelOnly="1" outline="0" axis="axisValues" fieldPosition="0"/>
    </format>
    <format dxfId="78">
      <pivotArea outline="0" collapsedLevelsAreSubtotals="1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3" type="button" dataOnly="0" labelOnly="1" outline="0"/>
    </format>
    <format dxfId="74">
      <pivotArea dataOnly="0" labelOnly="1" outline="0" axis="axisValues" fieldPosition="0"/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3" type="button" dataOnly="0" labelOnly="1" outline="0"/>
    </format>
    <format dxfId="68">
      <pivotArea dataOnly="0" labelOnly="1" outline="0" axis="axisValues" fieldPosition="0"/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3" type="button" dataOnly="0" labelOnly="1" outline="0"/>
    </format>
    <format dxfId="62">
      <pivotArea dataOnly="0" labelOnly="1" outline="0" axis="axisValues" fieldPosition="0"/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1" type="button" dataOnly="0" labelOnly="1" outline="0"/>
    </format>
    <format dxfId="56">
      <pivotArea dataOnly="0" labelOnly="1" outline="0" axis="axisValues" fieldPosition="0"/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8" type="button" dataOnly="0" labelOnly="1" outline="0"/>
    </format>
    <format dxfId="50">
      <pivotArea dataOnly="0" labelOnly="1" grandRow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4" type="button" dataOnly="0" labelOnly="1" outline="0" axis="axisRow" fieldPosition="0"/>
    </format>
    <format dxfId="46">
      <pivotArea dataOnly="0" labelOnly="1" fieldPosition="0">
        <references count="1">
          <reference field="4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collapsedLevelsAreSubtotals="1" fieldPosition="0">
        <references count="1">
          <reference field="4" count="1">
            <x v="4"/>
          </reference>
        </references>
      </pivotArea>
    </format>
    <format dxfId="42">
      <pivotArea dataOnly="0" labelOnly="1" fieldPosition="0">
        <references count="1">
          <reference field="4" count="1">
            <x v="4"/>
          </reference>
        </references>
      </pivotArea>
    </format>
    <format dxfId="41">
      <pivotArea dataOnly="0" labelOnly="1" fieldPosition="0">
        <references count="1">
          <reference field="4" count="1">
            <x v="5"/>
          </reference>
        </references>
      </pivotArea>
    </format>
    <format dxfId="40">
      <pivotArea dataOnly="0" labelOnly="1" fieldPosition="0">
        <references count="1">
          <reference field="4" count="1">
            <x v="6"/>
          </reference>
        </references>
      </pivotArea>
    </format>
    <format dxfId="39">
      <pivotArea dataOnly="0" labelOnly="1" fieldPosition="0">
        <references count="1">
          <reference field="4" count="1">
            <x v="7"/>
          </reference>
        </references>
      </pivotArea>
    </format>
    <format dxfId="38">
      <pivotArea dataOnly="0" labelOnly="1" fieldPosition="0">
        <references count="1">
          <reference field="4" count="1">
            <x v="8"/>
          </reference>
        </references>
      </pivotArea>
    </format>
    <format dxfId="37">
      <pivotArea dataOnly="0" labelOnly="1" fieldPosition="0">
        <references count="1">
          <reference field="4" count="1">
            <x v="9"/>
          </reference>
        </references>
      </pivotArea>
    </format>
    <format dxfId="36">
      <pivotArea dataOnly="0" labelOnly="1" fieldPosition="0">
        <references count="1">
          <reference field="4" count="1">
            <x v="10"/>
          </reference>
        </references>
      </pivotArea>
    </format>
    <format dxfId="35">
      <pivotArea collapsedLevelsAreSubtotals="1" fieldPosition="0">
        <references count="1">
          <reference field="4" count="1">
            <x v="11"/>
          </reference>
        </references>
      </pivotArea>
    </format>
    <format dxfId="34">
      <pivotArea dataOnly="0" labelOnly="1" fieldPosition="0">
        <references count="1">
          <reference field="4" count="1">
            <x v="11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4" type="button" dataOnly="0" labelOnly="1" outline="0" axis="axisRow" fieldPosition="0"/>
    </format>
    <format dxfId="30">
      <pivotArea dataOnly="0" labelOnly="1" fieldPosition="0">
        <references count="1">
          <reference field="4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Dinámica11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K85:L99" firstHeaderRow="1" firstDataRow="1" firstDataCol="1" rowPageCount="1" colPageCount="1"/>
  <pivotFields count="23"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showAll="0"/>
    <pivotField showAll="0" sortType="descending">
      <items count="17">
        <item x="10"/>
        <item x="11"/>
        <item x="15"/>
        <item x="5"/>
        <item x="4"/>
        <item x="12"/>
        <item x="3"/>
        <item x="6"/>
        <item x="9"/>
        <item x="2"/>
        <item x="14"/>
        <item x="0"/>
        <item x="7"/>
        <item x="8"/>
        <item x="1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4">
        <item x="1"/>
        <item x="7"/>
        <item x="8"/>
        <item x="9"/>
        <item x="5"/>
        <item x="4"/>
        <item x="2"/>
        <item x="12"/>
        <item x="0"/>
        <item x="10"/>
        <item x="6"/>
        <item x="3"/>
        <item x="11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m="1" x="3"/>
        <item h="1" m="1" x="4"/>
        <item h="1" m="1" x="5"/>
        <item h="1" m="1" x="2"/>
        <item h="1" m="1"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8" hier="-1"/>
  </pageFields>
  <dataFields count="1">
    <dataField name="Cuenta de Mes" fld="18" subtotal="count" baseField="0" baseItem="0"/>
  </dataFields>
  <formats count="21"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dataOnly="0" labelOnly="1" outline="0" axis="axisValues" fieldPosition="0"/>
    </format>
    <format dxfId="99">
      <pivotArea outline="0" collapsedLevelsAreSubtotals="1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3" type="button" dataOnly="0" labelOnly="1" outline="0"/>
    </format>
    <format dxfId="95">
      <pivotArea dataOnly="0" labelOnly="1" outline="0" axis="axisValues" fieldPosition="0"/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3" type="button" dataOnly="0" labelOnly="1" outline="0"/>
    </format>
    <format dxfId="89">
      <pivotArea dataOnly="0" labelOnly="1" outline="0" axis="axisValues" fieldPosition="0"/>
    </format>
    <format dxfId="88">
      <pivotArea dataOnly="0" labelOnly="1" grandRow="1" outline="0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8" type="button" dataOnly="0" labelOnly="1" outline="0"/>
    </format>
    <format dxfId="83">
      <pivotArea dataOnly="0" labelOnly="1" grandRow="1" outline="0" fieldPosition="0"/>
    </format>
    <format dxfId="8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aDinámica5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2">
  <location ref="A13:A14" firstHeaderRow="1" firstDataRow="1" firstDataCol="0" rowPageCount="2" colPageCount="1"/>
  <pivotFields count="23"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pageFields count="2">
    <pageField fld="12" item="1" hier="-1"/>
    <pageField fld="13" item="1" hier="-1"/>
  </pageFields>
  <dataFields count="1">
    <dataField name="Promedio de Días" fld="14" subtotal="average" baseField="0" baseItem="9" numFmtId="164"/>
  </dataFields>
  <formats count="23">
    <format dxfId="125">
      <pivotArea outline="0" collapsedLevelsAreSubtotals="1" fieldPosition="0"/>
    </format>
    <format dxfId="124">
      <pivotArea dataOnly="0" labelOnly="1" outline="0" axis="axisValues" fieldPosition="0"/>
    </format>
    <format dxfId="123">
      <pivotArea dataOnly="0" labelOnly="1" outline="0" axis="axisValues" fieldPosition="0"/>
    </format>
    <format dxfId="122">
      <pivotArea outline="0" collapsedLevelsAreSubtotals="1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3" type="button" dataOnly="0" labelOnly="1" outline="0"/>
    </format>
    <format dxfId="118">
      <pivotArea dataOnly="0" labelOnly="1" outline="0" axis="axisValues" fieldPosition="0"/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3" type="button" dataOnly="0" labelOnly="1" outline="0"/>
    </format>
    <format dxfId="112">
      <pivotArea dataOnly="0" labelOnly="1" outline="0" axis="axisValues" fieldPosition="0"/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outline="0" collapsedLevelsAreSubtotals="1" fieldPosition="0"/>
    </format>
    <format dxfId="106">
      <pivotArea outline="0" collapsedLevelsAreSubtotals="1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aDinámica10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K29:L67" firstHeaderRow="1" firstDataRow="1" firstDataCol="1" rowPageCount="1" colPageCount="1"/>
  <pivotFields count="23"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showAll="0"/>
    <pivotField showAll="0" sortType="descending">
      <items count="17">
        <item x="10"/>
        <item x="11"/>
        <item x="15"/>
        <item x="5"/>
        <item x="4"/>
        <item x="12"/>
        <item x="3"/>
        <item x="6"/>
        <item x="9"/>
        <item x="2"/>
        <item x="14"/>
        <item x="0"/>
        <item x="7"/>
        <item x="8"/>
        <item x="1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51">
        <item x="25"/>
        <item x="31"/>
        <item x="36"/>
        <item x="47"/>
        <item x="21"/>
        <item x="18"/>
        <item x="5"/>
        <item x="27"/>
        <item x="22"/>
        <item x="43"/>
        <item x="12"/>
        <item x="48"/>
        <item x="19"/>
        <item x="16"/>
        <item x="24"/>
        <item x="20"/>
        <item x="28"/>
        <item x="6"/>
        <item x="37"/>
        <item x="49"/>
        <item x="41"/>
        <item x="11"/>
        <item x="13"/>
        <item x="8"/>
        <item x="34"/>
        <item x="15"/>
        <item x="26"/>
        <item x="30"/>
        <item x="2"/>
        <item x="14"/>
        <item x="45"/>
        <item x="10"/>
        <item x="17"/>
        <item x="38"/>
        <item x="44"/>
        <item x="29"/>
        <item x="40"/>
        <item x="33"/>
        <item x="3"/>
        <item x="32"/>
        <item x="0"/>
        <item x="7"/>
        <item x="1"/>
        <item x="9"/>
        <item x="35"/>
        <item x="4"/>
        <item x="46"/>
        <item x="39"/>
        <item x="23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m="1" x="3"/>
        <item h="1" m="1" x="4"/>
        <item h="1" m="1" x="5"/>
        <item h="1" m="1" x="2"/>
        <item h="1" m="1"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38">
    <i>
      <x v="42"/>
    </i>
    <i>
      <x v="41"/>
    </i>
    <i>
      <x v="31"/>
    </i>
    <i>
      <x v="38"/>
    </i>
    <i>
      <x v="36"/>
    </i>
    <i>
      <x v="4"/>
    </i>
    <i>
      <x v="44"/>
    </i>
    <i>
      <x v="8"/>
    </i>
    <i>
      <x v="32"/>
    </i>
    <i>
      <x v="14"/>
    </i>
    <i>
      <x v="15"/>
    </i>
    <i>
      <x v="1"/>
    </i>
    <i>
      <x v="13"/>
    </i>
    <i>
      <x v="12"/>
    </i>
    <i>
      <x v="29"/>
    </i>
    <i>
      <x v="3"/>
    </i>
    <i>
      <x v="34"/>
    </i>
    <i>
      <x v="9"/>
    </i>
    <i>
      <x v="6"/>
    </i>
    <i>
      <x v="2"/>
    </i>
    <i>
      <x v="11"/>
    </i>
    <i>
      <x v="10"/>
    </i>
    <i>
      <x v="33"/>
    </i>
    <i>
      <x v="47"/>
    </i>
    <i>
      <x v="35"/>
    </i>
    <i>
      <x/>
    </i>
    <i>
      <x v="37"/>
    </i>
    <i>
      <x v="25"/>
    </i>
    <i>
      <x v="26"/>
    </i>
    <i>
      <x v="16"/>
    </i>
    <i>
      <x v="43"/>
    </i>
    <i>
      <x v="18"/>
    </i>
    <i>
      <x v="45"/>
    </i>
    <i>
      <x v="20"/>
    </i>
    <i>
      <x v="49"/>
    </i>
    <i>
      <x v="21"/>
    </i>
    <i>
      <x v="23"/>
    </i>
    <i t="grand">
      <x/>
    </i>
  </rowItems>
  <colItems count="1">
    <i/>
  </colItems>
  <pageFields count="1">
    <pageField fld="18" hier="-1"/>
  </pageFields>
  <dataFields count="1">
    <dataField name="Cuenta de Mes" fld="18" subtotal="count" baseField="0" baseItem="0"/>
  </dataFields>
  <formats count="21">
    <format dxfId="146">
      <pivotArea outline="0" collapsedLevelsAreSubtotals="1" fieldPosition="0"/>
    </format>
    <format dxfId="145">
      <pivotArea dataOnly="0" labelOnly="1" outline="0" axis="axisValues" fieldPosition="0"/>
    </format>
    <format dxfId="144">
      <pivotArea dataOnly="0" labelOnly="1" outline="0" axis="axisValues" fieldPosition="0"/>
    </format>
    <format dxfId="143">
      <pivotArea outline="0" collapsedLevelsAreSubtotals="1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3" type="button" dataOnly="0" labelOnly="1" outline="0"/>
    </format>
    <format dxfId="139">
      <pivotArea dataOnly="0" labelOnly="1" outline="0" axis="axisValues" fieldPosition="0"/>
    </format>
    <format dxfId="138">
      <pivotArea dataOnly="0" labelOnly="1" grandRow="1" outline="0" fieldPosition="0"/>
    </format>
    <format dxfId="137">
      <pivotArea dataOnly="0" labelOnly="1" outline="0" axis="axisValues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3" type="button" dataOnly="0" labelOnly="1" outline="0"/>
    </format>
    <format dxfId="133">
      <pivotArea dataOnly="0" labelOnly="1" outline="0" axis="axisValues" fieldPosition="0"/>
    </format>
    <format dxfId="132">
      <pivotArea dataOnly="0" labelOnly="1" grandRow="1" outline="0" fieldPosition="0"/>
    </format>
    <format dxfId="131">
      <pivotArea dataOnly="0" labelOnly="1" outline="0" axis="axisValues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8" type="button" dataOnly="0" labelOnly="1" outline="0"/>
    </format>
    <format dxfId="127">
      <pivotArea dataOnly="0" labelOnly="1" grandRow="1" outline="0" fieldPosition="0"/>
    </format>
    <format dxfId="1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aDinámica4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2">
  <location ref="A5:A6" firstHeaderRow="1" firstDataRow="1" firstDataCol="0"/>
  <pivotFields count="23"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Promedio de Monto de la consulta" fld="15" subtotal="average" baseField="0" baseItem="9"/>
  </dataFields>
  <formats count="19">
    <format dxfId="165">
      <pivotArea outline="0" collapsedLevelsAreSubtotals="1" fieldPosition="0"/>
    </format>
    <format dxfId="164">
      <pivotArea dataOnly="0" labelOnly="1" outline="0" axis="axisValues" fieldPosition="0"/>
    </format>
    <format dxfId="163">
      <pivotArea dataOnly="0" labelOnly="1" outline="0" axis="axisValues" fieldPosition="0"/>
    </format>
    <format dxfId="162">
      <pivotArea outline="0" collapsedLevelsAreSubtotals="1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3" type="button" dataOnly="0" labelOnly="1" outline="0"/>
    </format>
    <format dxfId="158">
      <pivotArea dataOnly="0" labelOnly="1" outline="0" axis="axisValues" fieldPosition="0"/>
    </format>
    <format dxfId="157">
      <pivotArea dataOnly="0" labelOnly="1" grandRow="1" outline="0" fieldPosition="0"/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3" type="button" dataOnly="0" labelOnly="1" outline="0"/>
    </format>
    <format dxfId="152">
      <pivotArea dataOnly="0" labelOnly="1" outline="0" axis="axisValues" fieldPosition="0"/>
    </format>
    <format dxfId="151">
      <pivotArea dataOnly="0" labelOnly="1" grandRow="1" outline="0" fieldPosition="0"/>
    </format>
    <format dxfId="150">
      <pivotArea dataOnly="0" labelOnly="1" outline="0" axis="axisValues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laDinámica9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K6:L23" firstHeaderRow="1" firstDataRow="1" firstDataCol="1" rowPageCount="1" colPageCount="1"/>
  <pivotFields count="23"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showAll="0"/>
    <pivotField axis="axisRow" showAll="0" sortType="descending">
      <items count="17">
        <item x="10"/>
        <item x="11"/>
        <item x="15"/>
        <item x="5"/>
        <item x="4"/>
        <item x="12"/>
        <item x="3"/>
        <item x="6"/>
        <item x="9"/>
        <item x="2"/>
        <item x="14"/>
        <item x="0"/>
        <item x="7"/>
        <item x="8"/>
        <item x="1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m="1" x="3"/>
        <item h="1" m="1" x="4"/>
        <item h="1" m="1" x="5"/>
        <item h="1" m="1" x="2"/>
        <item h="1" m="1"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17">
    <i>
      <x v="3"/>
    </i>
    <i>
      <x v="15"/>
    </i>
    <i>
      <x v="2"/>
    </i>
    <i>
      <x v="8"/>
    </i>
    <i>
      <x v="9"/>
    </i>
    <i>
      <x v="5"/>
    </i>
    <i>
      <x v="14"/>
    </i>
    <i>
      <x v="11"/>
    </i>
    <i>
      <x v="1"/>
    </i>
    <i>
      <x/>
    </i>
    <i>
      <x v="7"/>
    </i>
    <i>
      <x v="10"/>
    </i>
    <i>
      <x v="4"/>
    </i>
    <i>
      <x v="6"/>
    </i>
    <i>
      <x v="13"/>
    </i>
    <i>
      <x v="12"/>
    </i>
    <i t="grand">
      <x/>
    </i>
  </rowItems>
  <colItems count="1">
    <i/>
  </colItems>
  <pageFields count="1">
    <pageField fld="18" hier="-1"/>
  </pageFields>
  <dataFields count="1">
    <dataField name="Cuenta de Mes" fld="18" subtotal="count" baseField="0" baseItem="0"/>
  </dataFields>
  <formats count="22">
    <format dxfId="187">
      <pivotArea outline="0" collapsedLevelsAreSubtotals="1" fieldPosition="0"/>
    </format>
    <format dxfId="186">
      <pivotArea dataOnly="0" labelOnly="1" outline="0" axis="axisValues" fieldPosition="0"/>
    </format>
    <format dxfId="185">
      <pivotArea dataOnly="0" labelOnly="1" outline="0" axis="axisValues" fieldPosition="0"/>
    </format>
    <format dxfId="184">
      <pivotArea outline="0" collapsedLevelsAreSubtotals="1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3" type="button" dataOnly="0" labelOnly="1" outline="0"/>
    </format>
    <format dxfId="180">
      <pivotArea dataOnly="0" labelOnly="1" outline="0" axis="axisValues" fieldPosition="0"/>
    </format>
    <format dxfId="179">
      <pivotArea dataOnly="0" labelOnly="1" grandRow="1" outline="0" fieldPosition="0"/>
    </format>
    <format dxfId="178">
      <pivotArea dataOnly="0" labelOnly="1" outline="0" axis="axisValues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3" type="button" dataOnly="0" labelOnly="1" outline="0"/>
    </format>
    <format dxfId="174">
      <pivotArea dataOnly="0" labelOnly="1" outline="0" axis="axisValues" fieldPosition="0"/>
    </format>
    <format dxfId="173">
      <pivotArea dataOnly="0" labelOnly="1" grandRow="1" outline="0" fieldPosition="0"/>
    </format>
    <format dxfId="172">
      <pivotArea dataOnly="0" labelOnly="1" outline="0" axis="axisValues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8" type="button" dataOnly="0" labelOnly="1" outline="0" axis="axisRow" fieldPosition="0"/>
    </format>
    <format dxfId="168">
      <pivotArea dataOnly="0" labelOnly="1" fieldPosition="0">
        <references count="1">
          <reference field="8" count="0"/>
        </references>
      </pivotArea>
    </format>
    <format dxfId="167">
      <pivotArea dataOnly="0" labelOnly="1" grandRow="1" outline="0" fieldPosition="0"/>
    </format>
    <format dxfId="1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laDinámica14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2">
  <location ref="H40:H41" firstHeaderRow="1" firstDataRow="1" firstDataCol="0"/>
  <pivotFields count="23"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Promedio de % grasa" fld="6" subtotal="average" baseField="0" baseItem="9" numFmtId="166"/>
  </dataFields>
  <formats count="20">
    <format dxfId="207">
      <pivotArea outline="0" collapsedLevelsAreSubtotals="1" fieldPosition="0"/>
    </format>
    <format dxfId="206">
      <pivotArea dataOnly="0" labelOnly="1" outline="0" axis="axisValues" fieldPosition="0"/>
    </format>
    <format dxfId="205">
      <pivotArea dataOnly="0" labelOnly="1" outline="0" axis="axisValues" fieldPosition="0"/>
    </format>
    <format dxfId="204">
      <pivotArea outline="0" collapsedLevelsAreSubtotals="1" fieldPosition="0"/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3" type="button" dataOnly="0" labelOnly="1" outline="0"/>
    </format>
    <format dxfId="200">
      <pivotArea dataOnly="0" labelOnly="1" outline="0" axis="axisValues" fieldPosition="0"/>
    </format>
    <format dxfId="199">
      <pivotArea dataOnly="0" labelOnly="1" grandRow="1" outline="0" fieldPosition="0"/>
    </format>
    <format dxfId="198">
      <pivotArea dataOnly="0" labelOnly="1" outline="0" axis="axisValues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3" type="button" dataOnly="0" labelOnly="1" outline="0"/>
    </format>
    <format dxfId="194">
      <pivotArea dataOnly="0" labelOnly="1" outline="0" axis="axisValues" fieldPosition="0"/>
    </format>
    <format dxfId="193">
      <pivotArea dataOnly="0" labelOnly="1" grandRow="1" outline="0" fieldPosition="0"/>
    </format>
    <format dxfId="192">
      <pivotArea dataOnly="0" labelOnly="1" outline="0" axis="axisValues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dataOnly="0" labelOnly="1" outline="0" axis="axisValues" fieldPosition="0"/>
    </format>
    <format dxfId="18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TablaDinámica13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Q14:T20" firstHeaderRow="1" firstDataRow="2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Mes" fld="18" subtotal="count" baseField="0" baseItem="0"/>
  </dataFields>
  <formats count="22">
    <format dxfId="229">
      <pivotArea outline="0" collapsedLevelsAreSubtotals="1" fieldPosition="0"/>
    </format>
    <format dxfId="228">
      <pivotArea dataOnly="0" labelOnly="1" outline="0" axis="axisValues" fieldPosition="0"/>
    </format>
    <format dxfId="227">
      <pivotArea dataOnly="0" labelOnly="1" outline="0" axis="axisValues" fieldPosition="0"/>
    </format>
    <format dxfId="226">
      <pivotArea outline="0" collapsedLevelsAreSubtotals="1" fieldPosition="0"/>
    </format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3" type="button" dataOnly="0" labelOnly="1" outline="0"/>
    </format>
    <format dxfId="222">
      <pivotArea dataOnly="0" labelOnly="1" outline="0" axis="axisValues" fieldPosition="0"/>
    </format>
    <format dxfId="221">
      <pivotArea dataOnly="0" labelOnly="1" grandRow="1" outline="0" fieldPosition="0"/>
    </format>
    <format dxfId="220">
      <pivotArea dataOnly="0" labelOnly="1" outline="0" axis="axisValues" fieldPosition="0"/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3" type="button" dataOnly="0" labelOnly="1" outline="0"/>
    </format>
    <format dxfId="216">
      <pivotArea dataOnly="0" labelOnly="1" outline="0" axis="axisValues" fieldPosition="0"/>
    </format>
    <format dxfId="215">
      <pivotArea dataOnly="0" labelOnly="1" grandRow="1" outline="0" fieldPosition="0"/>
    </format>
    <format dxfId="214">
      <pivotArea dataOnly="0" labelOnly="1" outline="0" axis="axisValues" fieldPosition="0"/>
    </format>
    <format dxfId="213">
      <pivotArea type="all" dataOnly="0" outline="0" fieldPosition="0"/>
    </format>
    <format dxfId="212">
      <pivotArea outline="0" collapsedLevelsAreSubtotals="1" fieldPosition="0"/>
    </format>
    <format dxfId="211">
      <pivotArea field="12" type="button" dataOnly="0" labelOnly="1" outline="0" axis="axisRow" fieldPosition="0"/>
    </format>
    <format dxfId="210">
      <pivotArea dataOnly="0" labelOnly="1" fieldPosition="0">
        <references count="1">
          <reference field="12" count="0"/>
        </references>
      </pivotArea>
    </format>
    <format dxfId="209">
      <pivotArea dataOnly="0" labelOnly="1" grandRow="1" outline="0" fieldPosition="0"/>
    </format>
    <format dxfId="208">
      <pivotArea dataOnly="0" labelOnly="1" outline="0" axis="axisValues" fieldPosition="0"/>
    </format>
  </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TablaDinámica3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2">
  <location ref="E19:F48" firstHeaderRow="1" firstDataRow="1" firstDataCol="1"/>
  <pivotFields count="23">
    <pivotField showAll="0"/>
    <pivotField axis="axisRow" showAll="0">
      <items count="47">
        <item x="35"/>
        <item x="12"/>
        <item x="16"/>
        <item x="26"/>
        <item x="0"/>
        <item x="45"/>
        <item x="23"/>
        <item x="5"/>
        <item x="22"/>
        <item x="11"/>
        <item x="38"/>
        <item x="10"/>
        <item x="39"/>
        <item x="7"/>
        <item x="8"/>
        <item x="13"/>
        <item x="43"/>
        <item x="28"/>
        <item x="2"/>
        <item x="25"/>
        <item x="3"/>
        <item x="41"/>
        <item x="14"/>
        <item x="1"/>
        <item x="34"/>
        <item x="30"/>
        <item x="44"/>
        <item x="20"/>
        <item x="24"/>
        <item x="9"/>
        <item x="19"/>
        <item x="37"/>
        <item x="33"/>
        <item x="42"/>
        <item x="27"/>
        <item x="18"/>
        <item x="32"/>
        <item x="21"/>
        <item x="6"/>
        <item x="17"/>
        <item x="31"/>
        <item x="4"/>
        <item x="40"/>
        <item x="36"/>
        <item x="15"/>
        <item x="29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9">
    <i>
      <x/>
    </i>
    <i>
      <x v="2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0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4"/>
    </i>
    <i>
      <x v="35"/>
    </i>
    <i>
      <x v="37"/>
    </i>
    <i>
      <x v="38"/>
    </i>
    <i>
      <x v="39"/>
    </i>
    <i>
      <x v="42"/>
    </i>
    <i>
      <x v="43"/>
    </i>
    <i>
      <x v="45"/>
    </i>
    <i t="grand">
      <x/>
    </i>
  </rowItems>
  <colItems count="1">
    <i/>
  </colItems>
  <dataFields count="1">
    <dataField name="Cuenta de Mes" fld="18" subtotal="count" baseField="0" baseItem="0"/>
  </dataFields>
  <formats count="22">
    <format dxfId="251">
      <pivotArea outline="0" collapsedLevelsAreSubtotals="1" fieldPosition="0"/>
    </format>
    <format dxfId="250">
      <pivotArea dataOnly="0" labelOnly="1" outline="0" axis="axisValues" fieldPosition="0"/>
    </format>
    <format dxfId="249">
      <pivotArea dataOnly="0" labelOnly="1" outline="0" axis="axisValues" fieldPosition="0"/>
    </format>
    <format dxfId="248">
      <pivotArea outline="0" collapsedLevelsAreSubtotals="1" fieldPosition="0"/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3" type="button" dataOnly="0" labelOnly="1" outline="0"/>
    </format>
    <format dxfId="244">
      <pivotArea dataOnly="0" labelOnly="1" outline="0" axis="axisValues" fieldPosition="0"/>
    </format>
    <format dxfId="243">
      <pivotArea dataOnly="0" labelOnly="1" grandRow="1" outline="0" fieldPosition="0"/>
    </format>
    <format dxfId="242">
      <pivotArea dataOnly="0" labelOnly="1" outline="0" axis="axisValues" fieldPosition="0"/>
    </format>
    <format dxfId="241">
      <pivotArea type="all" dataOnly="0" outline="0" fieldPosition="0"/>
    </format>
    <format dxfId="240">
      <pivotArea outline="0" collapsedLevelsAreSubtotals="1" fieldPosition="0"/>
    </format>
    <format dxfId="239">
      <pivotArea field="3" type="button" dataOnly="0" labelOnly="1" outline="0"/>
    </format>
    <format dxfId="238">
      <pivotArea dataOnly="0" labelOnly="1" outline="0" axis="axisValues" fieldPosition="0"/>
    </format>
    <format dxfId="237">
      <pivotArea dataOnly="0" labelOnly="1" grandRow="1" outline="0" fieldPosition="0"/>
    </format>
    <format dxfId="236">
      <pivotArea dataOnly="0" labelOnly="1" outline="0" axis="axisValues" fieldPosition="0"/>
    </format>
    <format dxfId="235">
      <pivotArea type="all" dataOnly="0" outline="0" fieldPosition="0"/>
    </format>
    <format dxfId="234">
      <pivotArea outline="0" collapsedLevelsAreSubtotals="1" fieldPosition="0"/>
    </format>
    <format dxfId="233">
      <pivotArea field="1" type="button" dataOnly="0" labelOnly="1" outline="0" axis="axisRow" fieldPosition="0"/>
    </format>
    <format dxfId="232">
      <pivotArea dataOnly="0" labelOnly="1" fieldPosition="0">
        <references count="1">
          <reference field="1" count="0"/>
        </references>
      </pivotArea>
    </format>
    <format dxfId="231">
      <pivotArea dataOnly="0" labelOnly="1" grandRow="1" outline="0" fieldPosition="0"/>
    </format>
    <format dxfId="230">
      <pivotArea dataOnly="0" labelOnly="1" outline="0" axis="axisValues" fieldPosition="0"/>
    </format>
  </format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TablaDinámica8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3">
  <location ref="H30:I36" firstHeaderRow="1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axis="axisRow" showAll="0" sortType="ascending">
      <items count="6">
        <item x="4"/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Mes" fld="18" subtotal="count" showDataAs="percentOfTotal" baseField="7" baseItem="0" numFmtId="10"/>
  </dataFields>
  <formats count="29">
    <format dxfId="280">
      <pivotArea outline="0" collapsedLevelsAreSubtotals="1" fieldPosition="0"/>
    </format>
    <format dxfId="279">
      <pivotArea dataOnly="0" labelOnly="1" outline="0" axis="axisValues" fieldPosition="0"/>
    </format>
    <format dxfId="278">
      <pivotArea dataOnly="0" labelOnly="1" outline="0" axis="axisValues" fieldPosition="0"/>
    </format>
    <format dxfId="277">
      <pivotArea outline="0" collapsedLevelsAreSubtotals="1" fieldPosition="0"/>
    </format>
    <format dxfId="276">
      <pivotArea type="all" dataOnly="0" outline="0" fieldPosition="0"/>
    </format>
    <format dxfId="275">
      <pivotArea outline="0" collapsedLevelsAreSubtotals="1" fieldPosition="0"/>
    </format>
    <format dxfId="274">
      <pivotArea field="3" type="button" dataOnly="0" labelOnly="1" outline="0"/>
    </format>
    <format dxfId="273">
      <pivotArea dataOnly="0" labelOnly="1" outline="0" axis="axisValues" fieldPosition="0"/>
    </format>
    <format dxfId="272">
      <pivotArea dataOnly="0" labelOnly="1" grandRow="1" outline="0" fieldPosition="0"/>
    </format>
    <format dxfId="271">
      <pivotArea dataOnly="0" labelOnly="1" outline="0" axis="axisValues" fieldPosition="0"/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field="3" type="button" dataOnly="0" labelOnly="1" outline="0"/>
    </format>
    <format dxfId="267">
      <pivotArea dataOnly="0" labelOnly="1" outline="0" axis="axisValues" fieldPosition="0"/>
    </format>
    <format dxfId="266">
      <pivotArea dataOnly="0" labelOnly="1" grandRow="1" outline="0" fieldPosition="0"/>
    </format>
    <format dxfId="265">
      <pivotArea dataOnly="0" labelOnly="1" outline="0" axis="axisValues" fieldPosition="0"/>
    </format>
    <format dxfId="264">
      <pivotArea type="all" dataOnly="0" outline="0" fieldPosition="0"/>
    </format>
    <format dxfId="263">
      <pivotArea field="3" type="button" dataOnly="0" labelOnly="1" outline="0"/>
    </format>
    <format dxfId="262">
      <pivotArea type="all" dataOnly="0" outline="0" fieldPosition="0"/>
    </format>
    <format dxfId="261">
      <pivotArea outline="0" fieldPosition="0">
        <references count="1">
          <reference field="4294967294" count="1">
            <x v="0"/>
          </reference>
        </references>
      </pivotArea>
    </format>
    <format dxfId="260">
      <pivotArea collapsedLevelsAreSubtotals="1" fieldPosition="0">
        <references count="1">
          <reference field="7" count="0"/>
        </references>
      </pivotArea>
    </format>
    <format dxfId="259">
      <pivotArea collapsedLevelsAreSubtotals="1" fieldPosition="0">
        <references count="1">
          <reference field="7" count="0"/>
        </references>
      </pivotArea>
    </format>
    <format dxfId="258">
      <pivotArea collapsedLevelsAreSubtotals="1" fieldPosition="0">
        <references count="1">
          <reference field="7" count="0"/>
        </references>
      </pivotArea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field="7" type="button" dataOnly="0" labelOnly="1" outline="0" axis="axisRow" fieldPosition="0"/>
    </format>
    <format dxfId="254">
      <pivotArea dataOnly="0" labelOnly="1" fieldPosition="0">
        <references count="1">
          <reference field="7" count="0"/>
        </references>
      </pivotArea>
    </format>
    <format dxfId="253">
      <pivotArea dataOnly="0" labelOnly="1" grandRow="1" outline="0" fieldPosition="0"/>
    </format>
    <format dxfId="252">
      <pivotArea dataOnly="0" labelOnly="1" outline="0" axis="axisValues" fieldPosition="0"/>
    </format>
  </formats>
  <chartFormats count="8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TablaDinámica12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3">
  <location ref="Q4:R8" firstHeaderRow="1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Mes" fld="18" subtotal="count" showDataAs="percentOfTotal" baseField="11" baseItem="0" numFmtId="10"/>
  </dataFields>
  <formats count="28">
    <format dxfId="308">
      <pivotArea outline="0" collapsedLevelsAreSubtotals="1" fieldPosition="0"/>
    </format>
    <format dxfId="307">
      <pivotArea dataOnly="0" labelOnly="1" outline="0" axis="axisValues" fieldPosition="0"/>
    </format>
    <format dxfId="306">
      <pivotArea dataOnly="0" labelOnly="1" outline="0" axis="axisValues" fieldPosition="0"/>
    </format>
    <format dxfId="305">
      <pivotArea outline="0" collapsedLevelsAreSubtotals="1" fieldPosition="0"/>
    </format>
    <format dxfId="304">
      <pivotArea type="all" dataOnly="0" outline="0" fieldPosition="0"/>
    </format>
    <format dxfId="303">
      <pivotArea outline="0" collapsedLevelsAreSubtotals="1" fieldPosition="0"/>
    </format>
    <format dxfId="302">
      <pivotArea field="3" type="button" dataOnly="0" labelOnly="1" outline="0"/>
    </format>
    <format dxfId="301">
      <pivotArea dataOnly="0" labelOnly="1" outline="0" axis="axisValues" fieldPosition="0"/>
    </format>
    <format dxfId="300">
      <pivotArea dataOnly="0" labelOnly="1" grandRow="1" outline="0" fieldPosition="0"/>
    </format>
    <format dxfId="299">
      <pivotArea dataOnly="0" labelOnly="1" outline="0" axis="axisValues" fieldPosition="0"/>
    </format>
    <format dxfId="298">
      <pivotArea type="all" dataOnly="0" outline="0" fieldPosition="0"/>
    </format>
    <format dxfId="297">
      <pivotArea outline="0" collapsedLevelsAreSubtotals="1" fieldPosition="0"/>
    </format>
    <format dxfId="296">
      <pivotArea field="3" type="button" dataOnly="0" labelOnly="1" outline="0"/>
    </format>
    <format dxfId="295">
      <pivotArea dataOnly="0" labelOnly="1" outline="0" axis="axisValues" fieldPosition="0"/>
    </format>
    <format dxfId="294">
      <pivotArea dataOnly="0" labelOnly="1" grandRow="1" outline="0" fieldPosition="0"/>
    </format>
    <format dxfId="293">
      <pivotArea dataOnly="0" labelOnly="1" outline="0" axis="axisValues" fieldPosition="0"/>
    </format>
    <format dxfId="292">
      <pivotArea type="all" dataOnly="0" outline="0" fieldPosition="0"/>
    </format>
    <format dxfId="291">
      <pivotArea field="3" type="button" dataOnly="0" labelOnly="1" outline="0"/>
    </format>
    <format dxfId="290">
      <pivotArea type="all" dataOnly="0" outline="0" fieldPosition="0"/>
    </format>
    <format dxfId="289">
      <pivotArea outline="0" fieldPosition="0">
        <references count="1">
          <reference field="4294967294" count="1">
            <x v="0"/>
          </reference>
        </references>
      </pivotArea>
    </format>
    <format dxfId="288">
      <pivotArea type="all" dataOnly="0" outline="0" fieldPosition="0"/>
    </format>
    <format dxfId="287">
      <pivotArea collapsedLevelsAreSubtotals="1" fieldPosition="0">
        <references count="1">
          <reference field="11" count="0"/>
        </references>
      </pivotArea>
    </format>
    <format dxfId="286">
      <pivotArea type="all" dataOnly="0" outline="0" fieldPosition="0"/>
    </format>
    <format dxfId="285">
      <pivotArea outline="0" collapsedLevelsAreSubtotals="1" fieldPosition="0"/>
    </format>
    <format dxfId="284">
      <pivotArea field="11" type="button" dataOnly="0" labelOnly="1" outline="0" axis="axisRow" fieldPosition="0"/>
    </format>
    <format dxfId="283">
      <pivotArea dataOnly="0" labelOnly="1" fieldPosition="0">
        <references count="1">
          <reference field="11" count="0"/>
        </references>
      </pivotArea>
    </format>
    <format dxfId="282">
      <pivotArea dataOnly="0" labelOnly="1" grandRow="1" outline="0" fieldPosition="0"/>
    </format>
    <format dxfId="281">
      <pivotArea dataOnly="0" labelOnly="1" outline="0" axis="axisValues" fieldPosition="0"/>
    </format>
  </formats>
  <chartFormats count="9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TablaDinámica2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6">
  <location ref="E5:F8" firstHeaderRow="1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uenta de Mes" fld="18" subtotal="count" showDataAs="percentOfTotal" baseField="3" baseItem="0" numFmtId="10"/>
  </dataFields>
  <formats count="26">
    <format dxfId="334">
      <pivotArea outline="0" collapsedLevelsAreSubtotals="1" fieldPosition="0"/>
    </format>
    <format dxfId="333">
      <pivotArea dataOnly="0" labelOnly="1" outline="0" axis="axisValues" fieldPosition="0"/>
    </format>
    <format dxfId="332">
      <pivotArea dataOnly="0" labelOnly="1" outline="0" axis="axisValues" fieldPosition="0"/>
    </format>
    <format dxfId="331">
      <pivotArea outline="0" collapsedLevelsAreSubtotals="1" fieldPosition="0"/>
    </format>
    <format dxfId="330">
      <pivotArea outline="0" fieldPosition="0">
        <references count="1">
          <reference field="4294967294" count="1">
            <x v="0"/>
          </reference>
        </references>
      </pivotArea>
    </format>
    <format dxfId="329">
      <pivotArea type="all" dataOnly="0" outline="0" fieldPosition="0"/>
    </format>
    <format dxfId="328">
      <pivotArea outline="0" collapsedLevelsAreSubtotals="1" fieldPosition="0"/>
    </format>
    <format dxfId="327">
      <pivotArea field="3" type="button" dataOnly="0" labelOnly="1" outline="0" axis="axisRow" fieldPosition="0"/>
    </format>
    <format dxfId="326">
      <pivotArea dataOnly="0" labelOnly="1" outline="0" axis="axisValues" fieldPosition="0"/>
    </format>
    <format dxfId="325">
      <pivotArea dataOnly="0" labelOnly="1" grandRow="1" outline="0" fieldPosition="0"/>
    </format>
    <format dxfId="324">
      <pivotArea dataOnly="0" labelOnly="1" outline="0" axis="axisValues" fieldPosition="0"/>
    </format>
    <format dxfId="323">
      <pivotArea type="all" dataOnly="0" outline="0" fieldPosition="0"/>
    </format>
    <format dxfId="322">
      <pivotArea outline="0" collapsedLevelsAreSubtotals="1" fieldPosition="0"/>
    </format>
    <format dxfId="321">
      <pivotArea field="3" type="button" dataOnly="0" labelOnly="1" outline="0" axis="axisRow" fieldPosition="0"/>
    </format>
    <format dxfId="320">
      <pivotArea dataOnly="0" labelOnly="1" outline="0" axis="axisValues" fieldPosition="0"/>
    </format>
    <format dxfId="319">
      <pivotArea dataOnly="0" labelOnly="1" grandRow="1" outline="0" fieldPosition="0"/>
    </format>
    <format dxfId="318">
      <pivotArea dataOnly="0" labelOnly="1" outline="0" axis="axisValues" fieldPosition="0"/>
    </format>
    <format dxfId="317">
      <pivotArea type="all" dataOnly="0" outline="0" fieldPosition="0"/>
    </format>
    <format dxfId="316">
      <pivotArea type="all" dataOnly="0" outline="0" fieldPosition="0"/>
    </format>
    <format dxfId="315">
      <pivotArea collapsedLevelsAreSubtotals="1" fieldPosition="0">
        <references count="1">
          <reference field="3" count="0"/>
        </references>
      </pivotArea>
    </format>
    <format dxfId="314">
      <pivotArea type="all" dataOnly="0" outline="0" fieldPosition="0"/>
    </format>
    <format dxfId="313">
      <pivotArea outline="0" collapsedLevelsAreSubtotals="1" fieldPosition="0"/>
    </format>
    <format dxfId="312">
      <pivotArea field="3" type="button" dataOnly="0" labelOnly="1" outline="0" axis="axisRow" fieldPosition="0"/>
    </format>
    <format dxfId="311">
      <pivotArea dataOnly="0" labelOnly="1" fieldPosition="0">
        <references count="1">
          <reference field="3" count="0"/>
        </references>
      </pivotArea>
    </format>
    <format dxfId="310">
      <pivotArea dataOnly="0" labelOnly="1" grandRow="1" outline="0" fieldPosition="0"/>
    </format>
    <format dxfId="309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TablaDinámica7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4">
  <location ref="H23:I27" firstHeaderRow="1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h="1" x="1"/>
        <item h="1" x="5"/>
        <item h="1" x="0"/>
        <item h="1" x="2"/>
        <item h="1" x="4"/>
        <item h="1" x="8"/>
        <item h="1" x="3"/>
        <item h="1" x="6"/>
        <item h="1" x="10"/>
        <item h="1" x="9"/>
        <item x="7"/>
        <item h="1" x="1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Mes" fld="18" subtotal="count" baseField="0" baseItem="0"/>
  </dataFields>
  <formats count="22">
    <format dxfId="356">
      <pivotArea outline="0" collapsedLevelsAreSubtotals="1" fieldPosition="0"/>
    </format>
    <format dxfId="355">
      <pivotArea dataOnly="0" labelOnly="1" outline="0" axis="axisValues" fieldPosition="0"/>
    </format>
    <format dxfId="354">
      <pivotArea dataOnly="0" labelOnly="1" outline="0" axis="axisValues" fieldPosition="0"/>
    </format>
    <format dxfId="353">
      <pivotArea outline="0" collapsedLevelsAreSubtotals="1" fieldPosition="0"/>
    </format>
    <format dxfId="352">
      <pivotArea type="all" dataOnly="0" outline="0" fieldPosition="0"/>
    </format>
    <format dxfId="351">
      <pivotArea outline="0" collapsedLevelsAreSubtotals="1" fieldPosition="0"/>
    </format>
    <format dxfId="350">
      <pivotArea field="3" type="button" dataOnly="0" labelOnly="1" outline="0"/>
    </format>
    <format dxfId="349">
      <pivotArea dataOnly="0" labelOnly="1" outline="0" axis="axisValues" fieldPosition="0"/>
    </format>
    <format dxfId="348">
      <pivotArea dataOnly="0" labelOnly="1" grandRow="1" outline="0" fieldPosition="0"/>
    </format>
    <format dxfId="347">
      <pivotArea dataOnly="0" labelOnly="1" outline="0" axis="axisValues" fieldPosition="0"/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field="3" type="button" dataOnly="0" labelOnly="1" outline="0"/>
    </format>
    <format dxfId="343">
      <pivotArea dataOnly="0" labelOnly="1" outline="0" axis="axisValues" fieldPosition="0"/>
    </format>
    <format dxfId="342">
      <pivotArea dataOnly="0" labelOnly="1" grandRow="1" outline="0" fieldPosition="0"/>
    </format>
    <format dxfId="341">
      <pivotArea dataOnly="0" labelOnly="1" outline="0" axis="axisValues" fieldPosition="0"/>
    </format>
    <format dxfId="340">
      <pivotArea type="all" dataOnly="0" outline="0" fieldPosition="0"/>
    </format>
    <format dxfId="339">
      <pivotArea field="3" type="button" dataOnly="0" labelOnly="1" outline="0"/>
    </format>
    <format dxfId="338">
      <pivotArea type="all" dataOnly="0" outline="0" fieldPosition="0"/>
    </format>
    <format dxfId="337">
      <pivotArea type="all" dataOnly="0" outline="0" fieldPosition="0"/>
    </format>
    <format dxfId="336">
      <pivotArea outline="0" collapsedLevelsAreSubtotals="1" fieldPosition="0"/>
    </format>
    <format dxfId="335">
      <pivotArea field="7" type="button" dataOnly="0" labelOnly="1" outline="0"/>
    </format>
  </formats>
  <chartFormats count="3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Área" sourceName="Área ">
  <pivotTables>
    <pivotTable tabId="9" name="TablaDinámica8"/>
    <pivotTable tabId="9" name="TablaDinámica1"/>
    <pivotTable tabId="9" name="TablaDinámica10"/>
    <pivotTable tabId="9" name="TablaDinámica11"/>
    <pivotTable tabId="9" name="TablaDinámica12"/>
    <pivotTable tabId="9" name="TablaDinámica13"/>
    <pivotTable tabId="9" name="TablaDinámica14"/>
    <pivotTable tabId="9" name="TablaDinámica2"/>
    <pivotTable tabId="9" name="TablaDinámica3"/>
    <pivotTable tabId="9" name="TablaDinámica4"/>
    <pivotTable tabId="9" name="TablaDinámica5"/>
    <pivotTable tabId="9" name="TablaDinámica6"/>
    <pivotTable tabId="9" name="TablaDinámica7"/>
    <pivotTable tabId="9" name="TablaDinámica9"/>
  </pivotTables>
  <data>
    <tabular pivotCacheId="1">
      <items count="12">
        <i x="1"/>
        <i x="5"/>
        <i x="0"/>
        <i x="2"/>
        <i x="4"/>
        <i x="8"/>
        <i x="3"/>
        <i x="6"/>
        <i x="10"/>
        <i x="9"/>
        <i x="7" s="1"/>
        <i x="1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Tipo_trabajador" sourceName="Tipo trabajador">
  <pivotTables>
    <pivotTable tabId="9" name="TablaDinámica13"/>
    <pivotTable tabId="9" name="TablaDinámica1"/>
    <pivotTable tabId="9" name="TablaDinámica10"/>
    <pivotTable tabId="9" name="TablaDinámica11"/>
    <pivotTable tabId="9" name="TablaDinámica12"/>
    <pivotTable tabId="9" name="TablaDinámica14"/>
    <pivotTable tabId="9" name="TablaDinámica2"/>
    <pivotTable tabId="9" name="TablaDinámica3"/>
    <pivotTable tabId="9" name="TablaDinámica4"/>
    <pivotTable tabId="9" name="TablaDinámica5"/>
    <pivotTable tabId="9" name="TablaDinámica6"/>
    <pivotTable tabId="9" name="TablaDinámica7"/>
    <pivotTable tabId="9" name="TablaDinámica8"/>
    <pivotTable tabId="9" name="TablaDinámica9"/>
  </pivotTables>
  <data>
    <tabular pivotCacheId="1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exo" sourceName="Sexo">
  <pivotTables>
    <pivotTable tabId="9" name="TablaDinámica12"/>
    <pivotTable tabId="9" name="TablaDinámica1"/>
    <pivotTable tabId="9" name="TablaDinámica10"/>
    <pivotTable tabId="9" name="TablaDinámica11"/>
    <pivotTable tabId="9" name="TablaDinámica13"/>
    <pivotTable tabId="9" name="TablaDinámica14"/>
    <pivotTable tabId="9" name="TablaDinámica2"/>
    <pivotTable tabId="9" name="TablaDinámica3"/>
    <pivotTable tabId="9" name="TablaDinámica4"/>
    <pivotTable tabId="9" name="TablaDinámica5"/>
    <pivotTable tabId="9" name="TablaDinámica6"/>
    <pivotTable tabId="9" name="TablaDinámica7"/>
    <pivotTable tabId="9" name="TablaDinámica8"/>
    <pivotTable tabId="9" name="TablaDinámica9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Área " cache="SegmentaciónDeDatos_Área" caption="Área " style="SlicerStyleDark3" rowHeight="241300"/>
  <slicer name="Tipo trabajador" cache="SegmentaciónDeDatos_Tipo_trabajador" caption="Tipo trabajador" style="SlicerStyleDark3" rowHeight="241300"/>
  <slicer name="Sexo" cache="SegmentaciónDeDatos_Sexo" caption="Sexo" style="SlicerStyleDark3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41"/>
  <sheetViews>
    <sheetView topLeftCell="C1" workbookViewId="0">
      <selection activeCell="H1" sqref="H1:H1048576"/>
    </sheetView>
  </sheetViews>
  <sheetFormatPr baseColWidth="10"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138</v>
      </c>
      <c r="R1" t="s">
        <v>16</v>
      </c>
      <c r="S1" t="s">
        <v>17</v>
      </c>
    </row>
    <row r="2" spans="1:19">
      <c r="A2">
        <v>60000001</v>
      </c>
      <c r="B2">
        <v>24</v>
      </c>
      <c r="C2" t="s">
        <v>18</v>
      </c>
      <c r="D2" t="s">
        <v>19</v>
      </c>
      <c r="E2" t="s">
        <v>41</v>
      </c>
      <c r="F2" t="s">
        <v>21</v>
      </c>
      <c r="G2" s="23">
        <v>0.2</v>
      </c>
      <c r="H2" t="s">
        <v>29</v>
      </c>
      <c r="I2" t="s">
        <v>62</v>
      </c>
      <c r="J2" t="s">
        <v>24</v>
      </c>
      <c r="K2" t="s">
        <v>82</v>
      </c>
      <c r="L2" t="s">
        <v>26</v>
      </c>
      <c r="M2" t="s">
        <v>27</v>
      </c>
      <c r="N2" t="s">
        <v>28</v>
      </c>
      <c r="O2">
        <v>0</v>
      </c>
      <c r="P2">
        <v>32249</v>
      </c>
      <c r="Q2">
        <f t="shared" ref="Q2:Q45" si="0">+P2/1000000</f>
        <v>3.2249E-2</v>
      </c>
      <c r="R2">
        <v>43252</v>
      </c>
      <c r="S2" t="s">
        <v>122</v>
      </c>
    </row>
    <row r="3" spans="1:19">
      <c r="A3">
        <v>60000002</v>
      </c>
      <c r="B3">
        <v>43</v>
      </c>
      <c r="C3" t="s">
        <v>33</v>
      </c>
      <c r="D3" t="s">
        <v>40</v>
      </c>
      <c r="E3" t="s">
        <v>72</v>
      </c>
      <c r="F3" t="s">
        <v>21</v>
      </c>
      <c r="G3" s="23">
        <v>0.32</v>
      </c>
      <c r="H3" t="s">
        <v>42</v>
      </c>
      <c r="I3" t="s">
        <v>37</v>
      </c>
      <c r="J3" t="s">
        <v>38</v>
      </c>
      <c r="K3" t="s">
        <v>117</v>
      </c>
      <c r="L3" t="s">
        <v>26</v>
      </c>
      <c r="M3" t="s">
        <v>27</v>
      </c>
      <c r="N3" t="s">
        <v>28</v>
      </c>
      <c r="O3">
        <v>0</v>
      </c>
      <c r="P3">
        <v>50190</v>
      </c>
      <c r="Q3">
        <f t="shared" si="0"/>
        <v>5.0189999999999999E-2</v>
      </c>
      <c r="R3">
        <v>43252</v>
      </c>
      <c r="S3" t="s">
        <v>122</v>
      </c>
    </row>
    <row r="4" spans="1:19">
      <c r="A4">
        <v>60000003</v>
      </c>
      <c r="B4">
        <v>38</v>
      </c>
      <c r="C4" t="s">
        <v>18</v>
      </c>
      <c r="D4" t="s">
        <v>19</v>
      </c>
      <c r="E4" t="s">
        <v>75</v>
      </c>
      <c r="F4" t="s">
        <v>21</v>
      </c>
      <c r="G4" s="23">
        <v>0.2</v>
      </c>
      <c r="H4" t="s">
        <v>29</v>
      </c>
      <c r="I4" t="s">
        <v>37</v>
      </c>
      <c r="J4" t="s">
        <v>78</v>
      </c>
      <c r="K4" t="s">
        <v>63</v>
      </c>
      <c r="L4" t="s">
        <v>26</v>
      </c>
      <c r="M4" t="s">
        <v>27</v>
      </c>
      <c r="N4" t="s">
        <v>28</v>
      </c>
      <c r="O4">
        <v>3</v>
      </c>
      <c r="P4">
        <v>53861</v>
      </c>
      <c r="Q4">
        <f t="shared" si="0"/>
        <v>5.3860999999999999E-2</v>
      </c>
      <c r="R4">
        <v>43252</v>
      </c>
      <c r="S4" t="s">
        <v>122</v>
      </c>
    </row>
    <row r="5" spans="1:19">
      <c r="A5">
        <v>60000004</v>
      </c>
      <c r="B5">
        <v>40</v>
      </c>
      <c r="C5" t="s">
        <v>18</v>
      </c>
      <c r="D5" t="s">
        <v>19</v>
      </c>
      <c r="E5" t="s">
        <v>85</v>
      </c>
      <c r="F5" t="s">
        <v>21</v>
      </c>
      <c r="G5" s="23">
        <v>0.23</v>
      </c>
      <c r="H5" t="s">
        <v>29</v>
      </c>
      <c r="I5" t="s">
        <v>23</v>
      </c>
      <c r="J5" t="s">
        <v>74</v>
      </c>
      <c r="K5" t="s">
        <v>43</v>
      </c>
      <c r="L5" t="s">
        <v>26</v>
      </c>
      <c r="M5" t="s">
        <v>27</v>
      </c>
      <c r="N5" t="s">
        <v>28</v>
      </c>
      <c r="O5">
        <v>0</v>
      </c>
      <c r="P5">
        <v>63985</v>
      </c>
      <c r="Q5">
        <f t="shared" si="0"/>
        <v>6.3985E-2</v>
      </c>
      <c r="R5">
        <v>43252</v>
      </c>
      <c r="S5" t="s">
        <v>122</v>
      </c>
    </row>
    <row r="6" spans="1:19">
      <c r="A6">
        <v>60000005</v>
      </c>
      <c r="B6">
        <v>61</v>
      </c>
      <c r="C6" t="s">
        <v>18</v>
      </c>
      <c r="D6" t="s">
        <v>40</v>
      </c>
      <c r="E6" t="s">
        <v>72</v>
      </c>
      <c r="F6" t="s">
        <v>21</v>
      </c>
      <c r="G6" s="23">
        <v>0.36</v>
      </c>
      <c r="H6" t="s">
        <v>42</v>
      </c>
      <c r="I6" t="s">
        <v>70</v>
      </c>
      <c r="J6" t="s">
        <v>46</v>
      </c>
      <c r="K6" t="s">
        <v>89</v>
      </c>
      <c r="L6" t="s">
        <v>26</v>
      </c>
      <c r="M6" t="s">
        <v>27</v>
      </c>
      <c r="N6" t="s">
        <v>28</v>
      </c>
      <c r="O6">
        <v>2</v>
      </c>
      <c r="P6">
        <v>71975</v>
      </c>
      <c r="Q6">
        <f t="shared" si="0"/>
        <v>7.1974999999999997E-2</v>
      </c>
      <c r="R6">
        <v>43252</v>
      </c>
      <c r="S6" t="s">
        <v>122</v>
      </c>
    </row>
    <row r="7" spans="1:19">
      <c r="A7">
        <v>60000006</v>
      </c>
      <c r="B7">
        <v>27</v>
      </c>
      <c r="C7" t="s">
        <v>18</v>
      </c>
      <c r="D7" t="s">
        <v>19</v>
      </c>
      <c r="E7" t="s">
        <v>72</v>
      </c>
      <c r="F7" t="s">
        <v>21</v>
      </c>
      <c r="G7" s="23">
        <v>0.38</v>
      </c>
      <c r="H7" t="s">
        <v>42</v>
      </c>
      <c r="I7" t="s">
        <v>76</v>
      </c>
      <c r="J7" t="s">
        <v>66</v>
      </c>
      <c r="K7" t="s">
        <v>77</v>
      </c>
      <c r="L7" t="s">
        <v>26</v>
      </c>
      <c r="M7" t="s">
        <v>27</v>
      </c>
      <c r="N7" t="s">
        <v>28</v>
      </c>
      <c r="O7">
        <v>0</v>
      </c>
      <c r="P7">
        <v>38682</v>
      </c>
      <c r="Q7">
        <f t="shared" si="0"/>
        <v>3.8682000000000001E-2</v>
      </c>
      <c r="R7">
        <v>43252</v>
      </c>
      <c r="S7" t="s">
        <v>122</v>
      </c>
    </row>
    <row r="8" spans="1:19">
      <c r="A8">
        <v>60000007</v>
      </c>
      <c r="B8">
        <v>27</v>
      </c>
      <c r="C8" t="s">
        <v>18</v>
      </c>
      <c r="D8" t="s">
        <v>40</v>
      </c>
      <c r="E8" t="s">
        <v>67</v>
      </c>
      <c r="F8" t="s">
        <v>21</v>
      </c>
      <c r="G8" s="23">
        <v>0.13</v>
      </c>
      <c r="H8" t="s">
        <v>22</v>
      </c>
      <c r="I8" t="s">
        <v>68</v>
      </c>
      <c r="J8" t="s">
        <v>46</v>
      </c>
      <c r="K8" t="s">
        <v>25</v>
      </c>
      <c r="L8" t="s">
        <v>26</v>
      </c>
      <c r="M8" t="s">
        <v>27</v>
      </c>
      <c r="N8" t="s">
        <v>28</v>
      </c>
      <c r="O8">
        <v>0</v>
      </c>
      <c r="P8">
        <v>69924</v>
      </c>
      <c r="Q8">
        <f t="shared" si="0"/>
        <v>6.9924E-2</v>
      </c>
      <c r="R8">
        <v>43252</v>
      </c>
      <c r="S8" t="s">
        <v>122</v>
      </c>
    </row>
    <row r="9" spans="1:19">
      <c r="A9">
        <v>60000008</v>
      </c>
      <c r="B9">
        <v>58</v>
      </c>
      <c r="C9" t="s">
        <v>18</v>
      </c>
      <c r="D9" t="s">
        <v>40</v>
      </c>
      <c r="E9" t="s">
        <v>67</v>
      </c>
      <c r="F9" t="s">
        <v>21</v>
      </c>
      <c r="G9" s="23">
        <v>0.18</v>
      </c>
      <c r="H9" t="s">
        <v>22</v>
      </c>
      <c r="I9" t="s">
        <v>65</v>
      </c>
      <c r="J9" t="s">
        <v>74</v>
      </c>
      <c r="K9" t="s">
        <v>82</v>
      </c>
      <c r="L9" t="s">
        <v>26</v>
      </c>
      <c r="M9" t="s">
        <v>27</v>
      </c>
      <c r="N9" t="s">
        <v>28</v>
      </c>
      <c r="O9">
        <v>3</v>
      </c>
      <c r="P9">
        <v>41810</v>
      </c>
      <c r="Q9">
        <f t="shared" si="0"/>
        <v>4.181E-2</v>
      </c>
      <c r="R9">
        <v>43252</v>
      </c>
      <c r="S9" t="s">
        <v>122</v>
      </c>
    </row>
    <row r="10" spans="1:19">
      <c r="A10">
        <v>60000009</v>
      </c>
      <c r="B10">
        <v>33</v>
      </c>
      <c r="C10" t="s">
        <v>18</v>
      </c>
      <c r="D10" t="s">
        <v>40</v>
      </c>
      <c r="E10" t="s">
        <v>20</v>
      </c>
      <c r="F10" t="s">
        <v>21</v>
      </c>
      <c r="G10" s="23">
        <v>0.38</v>
      </c>
      <c r="H10" t="s">
        <v>42</v>
      </c>
      <c r="I10" t="s">
        <v>73</v>
      </c>
      <c r="J10" t="s">
        <v>24</v>
      </c>
      <c r="K10" t="s">
        <v>84</v>
      </c>
      <c r="L10" t="s">
        <v>26</v>
      </c>
      <c r="M10" t="s">
        <v>27</v>
      </c>
      <c r="N10" t="s">
        <v>28</v>
      </c>
      <c r="O10">
        <v>7</v>
      </c>
      <c r="P10">
        <v>56001</v>
      </c>
      <c r="Q10">
        <f t="shared" si="0"/>
        <v>5.6001000000000002E-2</v>
      </c>
      <c r="R10">
        <v>43252</v>
      </c>
      <c r="S10" t="s">
        <v>122</v>
      </c>
    </row>
    <row r="11" spans="1:19">
      <c r="A11">
        <v>60000010</v>
      </c>
      <c r="B11">
        <v>34</v>
      </c>
      <c r="C11" t="s">
        <v>18</v>
      </c>
      <c r="D11" t="s">
        <v>40</v>
      </c>
      <c r="E11" t="s">
        <v>67</v>
      </c>
      <c r="F11" t="s">
        <v>21</v>
      </c>
      <c r="G11" s="23">
        <v>0.21</v>
      </c>
      <c r="H11" t="s">
        <v>29</v>
      </c>
      <c r="I11" t="s">
        <v>68</v>
      </c>
      <c r="J11" t="s">
        <v>31</v>
      </c>
      <c r="K11" t="s">
        <v>55</v>
      </c>
      <c r="L11" t="s">
        <v>26</v>
      </c>
      <c r="M11" t="s">
        <v>27</v>
      </c>
      <c r="N11" t="s">
        <v>28</v>
      </c>
      <c r="O11">
        <v>0</v>
      </c>
      <c r="P11">
        <v>41600</v>
      </c>
      <c r="Q11">
        <f t="shared" si="0"/>
        <v>4.1599999999999998E-2</v>
      </c>
      <c r="R11">
        <v>43252</v>
      </c>
      <c r="S11" t="s">
        <v>122</v>
      </c>
    </row>
    <row r="12" spans="1:19">
      <c r="A12">
        <v>60000011</v>
      </c>
      <c r="B12">
        <v>49</v>
      </c>
      <c r="C12" t="s">
        <v>18</v>
      </c>
      <c r="D12" t="s">
        <v>40</v>
      </c>
      <c r="E12" t="s">
        <v>41</v>
      </c>
      <c r="F12" t="s">
        <v>21</v>
      </c>
      <c r="G12" s="23">
        <v>0.18</v>
      </c>
      <c r="H12" t="s">
        <v>22</v>
      </c>
      <c r="I12" t="s">
        <v>45</v>
      </c>
      <c r="J12" t="s">
        <v>54</v>
      </c>
      <c r="K12" t="s">
        <v>116</v>
      </c>
      <c r="L12" t="s">
        <v>26</v>
      </c>
      <c r="M12" t="s">
        <v>27</v>
      </c>
      <c r="N12" t="s">
        <v>28</v>
      </c>
      <c r="O12">
        <v>0</v>
      </c>
      <c r="P12">
        <v>62931</v>
      </c>
      <c r="Q12">
        <f t="shared" si="0"/>
        <v>6.2931000000000001E-2</v>
      </c>
      <c r="R12">
        <v>43252</v>
      </c>
      <c r="S12" t="s">
        <v>122</v>
      </c>
    </row>
    <row r="13" spans="1:19">
      <c r="A13">
        <v>60000012</v>
      </c>
      <c r="B13">
        <v>31</v>
      </c>
      <c r="C13" t="s">
        <v>18</v>
      </c>
      <c r="D13" t="s">
        <v>19</v>
      </c>
      <c r="E13" t="s">
        <v>52</v>
      </c>
      <c r="F13" t="s">
        <v>21</v>
      </c>
      <c r="G13" s="23">
        <v>0.16</v>
      </c>
      <c r="H13" t="s">
        <v>22</v>
      </c>
      <c r="I13" t="s">
        <v>68</v>
      </c>
      <c r="J13" t="s">
        <v>88</v>
      </c>
      <c r="K13" t="s">
        <v>62</v>
      </c>
      <c r="L13" t="s">
        <v>26</v>
      </c>
      <c r="M13" t="s">
        <v>27</v>
      </c>
      <c r="N13" t="s">
        <v>28</v>
      </c>
      <c r="O13">
        <v>0</v>
      </c>
      <c r="P13">
        <v>67313</v>
      </c>
      <c r="Q13">
        <f t="shared" si="0"/>
        <v>6.7312999999999998E-2</v>
      </c>
      <c r="R13">
        <v>43252</v>
      </c>
      <c r="S13" t="s">
        <v>122</v>
      </c>
    </row>
    <row r="14" spans="1:19">
      <c r="A14">
        <v>60000013</v>
      </c>
      <c r="B14">
        <v>29</v>
      </c>
      <c r="C14" t="s">
        <v>18</v>
      </c>
      <c r="D14" t="s">
        <v>40</v>
      </c>
      <c r="E14" t="s">
        <v>34</v>
      </c>
      <c r="F14" t="s">
        <v>21</v>
      </c>
      <c r="G14" s="23">
        <v>0.32</v>
      </c>
      <c r="H14" t="s">
        <v>42</v>
      </c>
      <c r="I14" t="s">
        <v>68</v>
      </c>
      <c r="J14" t="s">
        <v>46</v>
      </c>
      <c r="K14" t="s">
        <v>101</v>
      </c>
      <c r="L14" t="s">
        <v>26</v>
      </c>
      <c r="M14" t="s">
        <v>27</v>
      </c>
      <c r="N14" t="s">
        <v>28</v>
      </c>
      <c r="O14">
        <v>6</v>
      </c>
      <c r="P14">
        <v>53872</v>
      </c>
      <c r="Q14">
        <f t="shared" si="0"/>
        <v>5.3872000000000003E-2</v>
      </c>
      <c r="R14">
        <v>43252</v>
      </c>
      <c r="S14" t="s">
        <v>122</v>
      </c>
    </row>
    <row r="15" spans="1:19">
      <c r="A15">
        <v>60000014</v>
      </c>
      <c r="B15">
        <v>21</v>
      </c>
      <c r="C15" t="s">
        <v>18</v>
      </c>
      <c r="D15" t="s">
        <v>40</v>
      </c>
      <c r="E15" t="s">
        <v>85</v>
      </c>
      <c r="F15" t="s">
        <v>21</v>
      </c>
      <c r="G15" s="23">
        <v>0.18</v>
      </c>
      <c r="H15" t="s">
        <v>22</v>
      </c>
      <c r="I15" t="s">
        <v>73</v>
      </c>
      <c r="J15" t="s">
        <v>38</v>
      </c>
      <c r="K15" t="s">
        <v>82</v>
      </c>
      <c r="L15" t="s">
        <v>26</v>
      </c>
      <c r="M15" t="s">
        <v>27</v>
      </c>
      <c r="N15" t="s">
        <v>28</v>
      </c>
      <c r="O15">
        <v>0</v>
      </c>
      <c r="P15">
        <v>79273</v>
      </c>
      <c r="Q15">
        <f t="shared" si="0"/>
        <v>7.9272999999999996E-2</v>
      </c>
      <c r="R15">
        <v>43252</v>
      </c>
      <c r="S15" t="s">
        <v>122</v>
      </c>
    </row>
    <row r="16" spans="1:19">
      <c r="A16">
        <v>60000015</v>
      </c>
      <c r="B16">
        <v>35</v>
      </c>
      <c r="C16" t="s">
        <v>33</v>
      </c>
      <c r="D16" t="s">
        <v>19</v>
      </c>
      <c r="E16" t="s">
        <v>52</v>
      </c>
      <c r="F16" t="s">
        <v>21</v>
      </c>
      <c r="G16" s="23">
        <v>0.34</v>
      </c>
      <c r="H16" t="s">
        <v>42</v>
      </c>
      <c r="I16" t="s">
        <v>23</v>
      </c>
      <c r="J16" t="s">
        <v>54</v>
      </c>
      <c r="K16" t="s">
        <v>50</v>
      </c>
      <c r="L16" t="s">
        <v>26</v>
      </c>
      <c r="M16" t="s">
        <v>27</v>
      </c>
      <c r="N16" t="s">
        <v>28</v>
      </c>
      <c r="O16">
        <v>1</v>
      </c>
      <c r="P16">
        <v>38824</v>
      </c>
      <c r="Q16">
        <f t="shared" si="0"/>
        <v>3.8823999999999997E-2</v>
      </c>
      <c r="R16">
        <v>43252</v>
      </c>
      <c r="S16" t="s">
        <v>122</v>
      </c>
    </row>
    <row r="17" spans="1:19">
      <c r="A17">
        <v>60000016</v>
      </c>
      <c r="B17">
        <v>42</v>
      </c>
      <c r="C17" t="s">
        <v>18</v>
      </c>
      <c r="D17" t="s">
        <v>40</v>
      </c>
      <c r="E17" t="s">
        <v>75</v>
      </c>
      <c r="F17" t="s">
        <v>21</v>
      </c>
      <c r="G17" s="23">
        <v>0.31</v>
      </c>
      <c r="H17" t="s">
        <v>53</v>
      </c>
      <c r="I17" t="s">
        <v>76</v>
      </c>
      <c r="J17" t="s">
        <v>38</v>
      </c>
      <c r="K17" t="s">
        <v>84</v>
      </c>
      <c r="L17" t="s">
        <v>26</v>
      </c>
      <c r="M17" t="s">
        <v>27</v>
      </c>
      <c r="N17" t="s">
        <v>28</v>
      </c>
      <c r="O17">
        <v>0</v>
      </c>
      <c r="P17">
        <v>69303</v>
      </c>
      <c r="Q17">
        <f t="shared" si="0"/>
        <v>6.9303000000000003E-2</v>
      </c>
      <c r="R17">
        <v>43252</v>
      </c>
      <c r="S17" t="s">
        <v>122</v>
      </c>
    </row>
    <row r="18" spans="1:19">
      <c r="A18">
        <v>60000017</v>
      </c>
      <c r="B18">
        <v>64</v>
      </c>
      <c r="C18" t="s">
        <v>33</v>
      </c>
      <c r="D18" t="s">
        <v>19</v>
      </c>
      <c r="E18" t="s">
        <v>67</v>
      </c>
      <c r="F18" t="s">
        <v>21</v>
      </c>
      <c r="G18" s="23">
        <v>0.36</v>
      </c>
      <c r="H18" t="s">
        <v>42</v>
      </c>
      <c r="I18" t="s">
        <v>23</v>
      </c>
      <c r="J18" t="s">
        <v>24</v>
      </c>
      <c r="K18" t="s">
        <v>43</v>
      </c>
      <c r="L18" t="s">
        <v>26</v>
      </c>
      <c r="M18" t="s">
        <v>27</v>
      </c>
      <c r="N18" t="s">
        <v>28</v>
      </c>
      <c r="O18">
        <v>0</v>
      </c>
      <c r="P18">
        <v>43397</v>
      </c>
      <c r="Q18">
        <f t="shared" si="0"/>
        <v>4.3396999999999998E-2</v>
      </c>
      <c r="R18">
        <v>43252</v>
      </c>
      <c r="S18" t="s">
        <v>122</v>
      </c>
    </row>
    <row r="19" spans="1:19">
      <c r="A19">
        <v>60000018</v>
      </c>
      <c r="B19">
        <v>22</v>
      </c>
      <c r="C19" t="s">
        <v>18</v>
      </c>
      <c r="D19" t="s">
        <v>19</v>
      </c>
      <c r="E19" t="s">
        <v>41</v>
      </c>
      <c r="F19" t="s">
        <v>21</v>
      </c>
      <c r="G19" s="23">
        <v>0.12</v>
      </c>
      <c r="H19" t="s">
        <v>22</v>
      </c>
      <c r="I19" t="s">
        <v>45</v>
      </c>
      <c r="J19" t="s">
        <v>54</v>
      </c>
      <c r="K19" t="s">
        <v>102</v>
      </c>
      <c r="L19" t="s">
        <v>26</v>
      </c>
      <c r="M19" t="s">
        <v>27</v>
      </c>
      <c r="N19" t="s">
        <v>28</v>
      </c>
      <c r="O19">
        <v>0</v>
      </c>
      <c r="P19">
        <v>46382</v>
      </c>
      <c r="Q19">
        <f t="shared" si="0"/>
        <v>4.6382E-2</v>
      </c>
      <c r="R19">
        <v>43252</v>
      </c>
      <c r="S19" t="s">
        <v>122</v>
      </c>
    </row>
    <row r="20" spans="1:19">
      <c r="A20">
        <v>60000019</v>
      </c>
      <c r="B20">
        <v>34</v>
      </c>
      <c r="C20" t="s">
        <v>33</v>
      </c>
      <c r="D20" t="s">
        <v>19</v>
      </c>
      <c r="E20" t="s">
        <v>75</v>
      </c>
      <c r="F20" t="s">
        <v>21</v>
      </c>
      <c r="G20" s="23">
        <v>0.32</v>
      </c>
      <c r="H20" t="s">
        <v>42</v>
      </c>
      <c r="I20" t="s">
        <v>23</v>
      </c>
      <c r="J20" t="s">
        <v>69</v>
      </c>
      <c r="K20" t="s">
        <v>112</v>
      </c>
      <c r="L20" t="s">
        <v>26</v>
      </c>
      <c r="M20" t="s">
        <v>27</v>
      </c>
      <c r="N20" t="s">
        <v>28</v>
      </c>
      <c r="O20">
        <v>0</v>
      </c>
      <c r="P20">
        <v>53991</v>
      </c>
      <c r="Q20">
        <f t="shared" si="0"/>
        <v>5.3990999999999997E-2</v>
      </c>
      <c r="R20">
        <v>43252</v>
      </c>
      <c r="S20" t="s">
        <v>122</v>
      </c>
    </row>
    <row r="21" spans="1:19">
      <c r="A21">
        <v>60000020</v>
      </c>
      <c r="B21">
        <v>59</v>
      </c>
      <c r="C21" t="s">
        <v>18</v>
      </c>
      <c r="D21" t="s">
        <v>40</v>
      </c>
      <c r="E21" t="s">
        <v>64</v>
      </c>
      <c r="F21" t="s">
        <v>21</v>
      </c>
      <c r="G21" s="23">
        <v>0.27</v>
      </c>
      <c r="H21" t="s">
        <v>53</v>
      </c>
      <c r="I21" t="s">
        <v>45</v>
      </c>
      <c r="J21" t="s">
        <v>54</v>
      </c>
      <c r="K21" t="s">
        <v>47</v>
      </c>
      <c r="L21" t="s">
        <v>26</v>
      </c>
      <c r="M21" t="s">
        <v>27</v>
      </c>
      <c r="N21" t="s">
        <v>28</v>
      </c>
      <c r="O21">
        <v>6</v>
      </c>
      <c r="P21">
        <v>63210</v>
      </c>
      <c r="Q21">
        <f t="shared" si="0"/>
        <v>6.3210000000000002E-2</v>
      </c>
      <c r="R21">
        <v>43252</v>
      </c>
      <c r="S21" t="s">
        <v>122</v>
      </c>
    </row>
    <row r="22" spans="1:19">
      <c r="A22">
        <v>60000021</v>
      </c>
      <c r="B22">
        <v>55</v>
      </c>
      <c r="C22" t="s">
        <v>18</v>
      </c>
      <c r="D22" t="s">
        <v>40</v>
      </c>
      <c r="E22" t="s">
        <v>41</v>
      </c>
      <c r="F22" t="s">
        <v>21</v>
      </c>
      <c r="G22" s="23">
        <v>0.27</v>
      </c>
      <c r="H22" t="s">
        <v>53</v>
      </c>
      <c r="I22" t="s">
        <v>86</v>
      </c>
      <c r="J22" t="s">
        <v>54</v>
      </c>
      <c r="K22" t="s">
        <v>25</v>
      </c>
      <c r="L22" t="s">
        <v>26</v>
      </c>
      <c r="M22" t="s">
        <v>27</v>
      </c>
      <c r="N22" t="s">
        <v>28</v>
      </c>
      <c r="O22">
        <v>4</v>
      </c>
      <c r="P22">
        <v>72718</v>
      </c>
      <c r="Q22">
        <f t="shared" si="0"/>
        <v>7.2718000000000005E-2</v>
      </c>
      <c r="R22">
        <v>43252</v>
      </c>
      <c r="S22" t="s">
        <v>122</v>
      </c>
    </row>
    <row r="23" spans="1:19">
      <c r="A23">
        <v>60000022</v>
      </c>
      <c r="B23">
        <v>50</v>
      </c>
      <c r="C23" t="s">
        <v>18</v>
      </c>
      <c r="D23" t="s">
        <v>40</v>
      </c>
      <c r="E23" t="s">
        <v>67</v>
      </c>
      <c r="F23" t="s">
        <v>21</v>
      </c>
      <c r="G23" s="23">
        <v>0.38</v>
      </c>
      <c r="H23" t="s">
        <v>42</v>
      </c>
      <c r="I23" t="s">
        <v>65</v>
      </c>
      <c r="J23" t="s">
        <v>61</v>
      </c>
      <c r="K23" t="s">
        <v>102</v>
      </c>
      <c r="L23" t="s">
        <v>26</v>
      </c>
      <c r="M23" t="s">
        <v>27</v>
      </c>
      <c r="N23" t="s">
        <v>28</v>
      </c>
      <c r="O23">
        <v>3</v>
      </c>
      <c r="P23">
        <v>74859</v>
      </c>
      <c r="Q23">
        <f t="shared" si="0"/>
        <v>7.4858999999999995E-2</v>
      </c>
      <c r="R23">
        <v>43252</v>
      </c>
      <c r="S23" t="s">
        <v>122</v>
      </c>
    </row>
    <row r="24" spans="1:19">
      <c r="A24">
        <v>60000023</v>
      </c>
      <c r="B24">
        <v>55</v>
      </c>
      <c r="C24" t="s">
        <v>18</v>
      </c>
      <c r="D24" t="s">
        <v>19</v>
      </c>
      <c r="E24" t="s">
        <v>52</v>
      </c>
      <c r="F24" t="s">
        <v>21</v>
      </c>
      <c r="G24" s="23">
        <v>0.32</v>
      </c>
      <c r="H24" t="s">
        <v>42</v>
      </c>
      <c r="I24" t="s">
        <v>68</v>
      </c>
      <c r="J24" t="s">
        <v>88</v>
      </c>
      <c r="K24" t="s">
        <v>103</v>
      </c>
      <c r="L24" t="s">
        <v>26</v>
      </c>
      <c r="M24" t="s">
        <v>27</v>
      </c>
      <c r="N24" t="s">
        <v>28</v>
      </c>
      <c r="O24">
        <v>0</v>
      </c>
      <c r="P24">
        <v>76036</v>
      </c>
      <c r="Q24">
        <f t="shared" si="0"/>
        <v>7.6036000000000006E-2</v>
      </c>
      <c r="R24">
        <v>43252</v>
      </c>
      <c r="S24" t="s">
        <v>122</v>
      </c>
    </row>
    <row r="25" spans="1:19">
      <c r="A25">
        <v>60000024</v>
      </c>
      <c r="B25">
        <v>47</v>
      </c>
      <c r="C25" t="s">
        <v>33</v>
      </c>
      <c r="D25" t="s">
        <v>40</v>
      </c>
      <c r="E25" t="s">
        <v>72</v>
      </c>
      <c r="F25" t="s">
        <v>21</v>
      </c>
      <c r="G25" s="23">
        <v>0.17</v>
      </c>
      <c r="H25" t="s">
        <v>22</v>
      </c>
      <c r="I25" t="s">
        <v>73</v>
      </c>
      <c r="J25" t="s">
        <v>31</v>
      </c>
      <c r="K25" t="s">
        <v>118</v>
      </c>
      <c r="L25" t="s">
        <v>26</v>
      </c>
      <c r="M25" t="s">
        <v>27</v>
      </c>
      <c r="N25" t="s">
        <v>28</v>
      </c>
      <c r="O25">
        <v>0</v>
      </c>
      <c r="P25">
        <v>54782</v>
      </c>
      <c r="Q25">
        <f t="shared" si="0"/>
        <v>5.4781999999999997E-2</v>
      </c>
      <c r="R25">
        <v>43252</v>
      </c>
      <c r="S25" t="s">
        <v>122</v>
      </c>
    </row>
    <row r="26" spans="1:19">
      <c r="A26">
        <v>60000025</v>
      </c>
      <c r="B26">
        <v>24</v>
      </c>
      <c r="C26" t="s">
        <v>18</v>
      </c>
      <c r="D26" t="s">
        <v>40</v>
      </c>
      <c r="E26" t="s">
        <v>41</v>
      </c>
      <c r="F26" t="s">
        <v>21</v>
      </c>
      <c r="G26" s="23">
        <v>0.25</v>
      </c>
      <c r="H26" t="s">
        <v>53</v>
      </c>
      <c r="I26" t="s">
        <v>37</v>
      </c>
      <c r="J26" t="s">
        <v>69</v>
      </c>
      <c r="K26" t="s">
        <v>55</v>
      </c>
      <c r="L26" t="s">
        <v>26</v>
      </c>
      <c r="M26" t="s">
        <v>27</v>
      </c>
      <c r="N26" t="s">
        <v>28</v>
      </c>
      <c r="O26">
        <v>0</v>
      </c>
      <c r="P26">
        <v>76364</v>
      </c>
      <c r="Q26">
        <f t="shared" si="0"/>
        <v>7.6364000000000001E-2</v>
      </c>
      <c r="R26">
        <v>43252</v>
      </c>
      <c r="S26" t="s">
        <v>122</v>
      </c>
    </row>
    <row r="27" spans="1:19">
      <c r="A27">
        <v>60000026</v>
      </c>
      <c r="B27">
        <v>47</v>
      </c>
      <c r="C27" t="s">
        <v>18</v>
      </c>
      <c r="D27" t="s">
        <v>19</v>
      </c>
      <c r="E27" t="s">
        <v>72</v>
      </c>
      <c r="F27" t="s">
        <v>21</v>
      </c>
      <c r="G27" s="23">
        <v>0.24</v>
      </c>
      <c r="H27" t="s">
        <v>29</v>
      </c>
      <c r="I27" t="s">
        <v>65</v>
      </c>
      <c r="J27" t="s">
        <v>66</v>
      </c>
      <c r="K27" t="s">
        <v>77</v>
      </c>
      <c r="L27" t="s">
        <v>26</v>
      </c>
      <c r="M27" t="s">
        <v>27</v>
      </c>
      <c r="N27" t="s">
        <v>28</v>
      </c>
      <c r="O27">
        <v>1</v>
      </c>
      <c r="P27">
        <v>78267</v>
      </c>
      <c r="Q27">
        <f t="shared" si="0"/>
        <v>7.8267000000000003E-2</v>
      </c>
      <c r="R27">
        <v>43252</v>
      </c>
      <c r="S27" t="s">
        <v>122</v>
      </c>
    </row>
    <row r="28" spans="1:19">
      <c r="A28">
        <v>60000027</v>
      </c>
      <c r="B28">
        <v>47</v>
      </c>
      <c r="C28" t="s">
        <v>33</v>
      </c>
      <c r="D28" t="s">
        <v>40</v>
      </c>
      <c r="E28" t="s">
        <v>67</v>
      </c>
      <c r="F28" t="s">
        <v>21</v>
      </c>
      <c r="G28" s="23">
        <v>0.28999999999999998</v>
      </c>
      <c r="H28" t="s">
        <v>53</v>
      </c>
      <c r="I28" t="s">
        <v>65</v>
      </c>
      <c r="J28" t="s">
        <v>69</v>
      </c>
      <c r="K28" t="s">
        <v>111</v>
      </c>
      <c r="L28" t="s">
        <v>26</v>
      </c>
      <c r="M28" t="s">
        <v>27</v>
      </c>
      <c r="N28" t="s">
        <v>28</v>
      </c>
      <c r="O28">
        <v>7</v>
      </c>
      <c r="P28">
        <v>48724</v>
      </c>
      <c r="Q28">
        <f t="shared" si="0"/>
        <v>4.8724000000000003E-2</v>
      </c>
      <c r="R28">
        <v>43252</v>
      </c>
      <c r="S28" t="s">
        <v>122</v>
      </c>
    </row>
    <row r="29" spans="1:19">
      <c r="A29">
        <v>60000028</v>
      </c>
      <c r="B29">
        <v>57</v>
      </c>
      <c r="C29" t="s">
        <v>33</v>
      </c>
      <c r="D29" t="s">
        <v>40</v>
      </c>
      <c r="E29" t="s">
        <v>34</v>
      </c>
      <c r="F29" t="s">
        <v>21</v>
      </c>
      <c r="G29" s="23">
        <v>0.1</v>
      </c>
      <c r="H29" t="s">
        <v>36</v>
      </c>
      <c r="I29" t="s">
        <v>86</v>
      </c>
      <c r="J29" t="s">
        <v>91</v>
      </c>
      <c r="K29" t="s">
        <v>49</v>
      </c>
      <c r="L29" t="s">
        <v>26</v>
      </c>
      <c r="M29" t="s">
        <v>27</v>
      </c>
      <c r="N29" t="s">
        <v>28</v>
      </c>
      <c r="O29">
        <v>6</v>
      </c>
      <c r="P29">
        <v>80630</v>
      </c>
      <c r="Q29">
        <f t="shared" si="0"/>
        <v>8.0629999999999993E-2</v>
      </c>
      <c r="R29">
        <v>43252</v>
      </c>
      <c r="S29" t="s">
        <v>122</v>
      </c>
    </row>
    <row r="30" spans="1:19">
      <c r="A30">
        <v>60000029</v>
      </c>
      <c r="B30">
        <v>28</v>
      </c>
      <c r="C30" t="s">
        <v>18</v>
      </c>
      <c r="D30" t="s">
        <v>19</v>
      </c>
      <c r="E30" t="s">
        <v>52</v>
      </c>
      <c r="F30" t="s">
        <v>21</v>
      </c>
      <c r="G30" s="23">
        <v>0.37</v>
      </c>
      <c r="H30" t="s">
        <v>42</v>
      </c>
      <c r="I30" t="s">
        <v>68</v>
      </c>
      <c r="J30" t="s">
        <v>91</v>
      </c>
      <c r="K30" t="s">
        <v>103</v>
      </c>
      <c r="L30" t="s">
        <v>26</v>
      </c>
      <c r="M30" t="s">
        <v>27</v>
      </c>
      <c r="N30" t="s">
        <v>28</v>
      </c>
      <c r="O30">
        <v>4</v>
      </c>
      <c r="P30">
        <v>57422</v>
      </c>
      <c r="Q30">
        <f t="shared" si="0"/>
        <v>5.7422000000000001E-2</v>
      </c>
      <c r="R30">
        <v>43252</v>
      </c>
      <c r="S30" t="s">
        <v>122</v>
      </c>
    </row>
    <row r="31" spans="1:19">
      <c r="A31">
        <v>60000030</v>
      </c>
      <c r="B31">
        <v>55</v>
      </c>
      <c r="C31" t="s">
        <v>18</v>
      </c>
      <c r="D31" t="s">
        <v>40</v>
      </c>
      <c r="E31" t="s">
        <v>85</v>
      </c>
      <c r="F31" t="s">
        <v>21</v>
      </c>
      <c r="G31" s="23">
        <v>0.18</v>
      </c>
      <c r="H31" t="s">
        <v>22</v>
      </c>
      <c r="I31" t="s">
        <v>23</v>
      </c>
      <c r="J31" t="s">
        <v>24</v>
      </c>
      <c r="K31" t="s">
        <v>55</v>
      </c>
      <c r="L31" t="s">
        <v>26</v>
      </c>
      <c r="M31" t="s">
        <v>27</v>
      </c>
      <c r="N31" t="s">
        <v>28</v>
      </c>
      <c r="O31">
        <v>5</v>
      </c>
      <c r="P31">
        <v>82448</v>
      </c>
      <c r="Q31">
        <f t="shared" si="0"/>
        <v>8.2447999999999994E-2</v>
      </c>
      <c r="R31">
        <v>43252</v>
      </c>
      <c r="S31" t="s">
        <v>122</v>
      </c>
    </row>
    <row r="32" spans="1:19">
      <c r="A32">
        <v>60000031</v>
      </c>
      <c r="B32">
        <v>26</v>
      </c>
      <c r="C32" t="s">
        <v>18</v>
      </c>
      <c r="D32" t="s">
        <v>19</v>
      </c>
      <c r="E32" t="s">
        <v>75</v>
      </c>
      <c r="F32" t="s">
        <v>21</v>
      </c>
      <c r="G32" s="23">
        <v>0.34</v>
      </c>
      <c r="H32" t="s">
        <v>42</v>
      </c>
      <c r="I32" t="s">
        <v>80</v>
      </c>
      <c r="J32" t="s">
        <v>38</v>
      </c>
      <c r="K32" t="s">
        <v>96</v>
      </c>
      <c r="L32" t="s">
        <v>26</v>
      </c>
      <c r="M32" t="s">
        <v>27</v>
      </c>
      <c r="N32" t="s">
        <v>28</v>
      </c>
      <c r="O32">
        <v>0</v>
      </c>
      <c r="P32">
        <v>48511</v>
      </c>
      <c r="Q32">
        <f t="shared" si="0"/>
        <v>4.8510999999999999E-2</v>
      </c>
      <c r="R32">
        <v>43252</v>
      </c>
      <c r="S32" t="s">
        <v>122</v>
      </c>
    </row>
    <row r="33" spans="1:19">
      <c r="A33">
        <v>60000032</v>
      </c>
      <c r="B33">
        <v>47</v>
      </c>
      <c r="C33" t="s">
        <v>33</v>
      </c>
      <c r="D33" t="s">
        <v>19</v>
      </c>
      <c r="E33" t="s">
        <v>34</v>
      </c>
      <c r="F33" t="s">
        <v>21</v>
      </c>
      <c r="G33" s="23">
        <v>0.22</v>
      </c>
      <c r="H33" t="s">
        <v>29</v>
      </c>
      <c r="I33" t="s">
        <v>23</v>
      </c>
      <c r="J33" t="s">
        <v>69</v>
      </c>
      <c r="K33" t="s">
        <v>98</v>
      </c>
      <c r="L33" t="s">
        <v>26</v>
      </c>
      <c r="M33" t="s">
        <v>27</v>
      </c>
      <c r="N33" t="s">
        <v>28</v>
      </c>
      <c r="O33">
        <v>0</v>
      </c>
      <c r="P33">
        <v>60906</v>
      </c>
      <c r="Q33">
        <f t="shared" si="0"/>
        <v>6.0906000000000002E-2</v>
      </c>
      <c r="R33">
        <v>43252</v>
      </c>
      <c r="S33" t="s">
        <v>122</v>
      </c>
    </row>
    <row r="34" spans="1:19">
      <c r="A34">
        <v>60000033</v>
      </c>
      <c r="B34">
        <v>48</v>
      </c>
      <c r="C34" t="s">
        <v>33</v>
      </c>
      <c r="D34" t="s">
        <v>19</v>
      </c>
      <c r="E34" t="s">
        <v>20</v>
      </c>
      <c r="F34" t="s">
        <v>21</v>
      </c>
      <c r="G34" s="23">
        <v>0.31</v>
      </c>
      <c r="H34" t="s">
        <v>53</v>
      </c>
      <c r="I34" t="s">
        <v>45</v>
      </c>
      <c r="J34" t="s">
        <v>88</v>
      </c>
      <c r="K34" t="s">
        <v>111</v>
      </c>
      <c r="L34" t="s">
        <v>26</v>
      </c>
      <c r="M34" t="s">
        <v>27</v>
      </c>
      <c r="N34" t="s">
        <v>28</v>
      </c>
      <c r="O34">
        <v>0</v>
      </c>
      <c r="P34">
        <v>60696</v>
      </c>
      <c r="Q34">
        <f t="shared" si="0"/>
        <v>6.0696E-2</v>
      </c>
      <c r="R34">
        <v>43252</v>
      </c>
      <c r="S34" t="s">
        <v>122</v>
      </c>
    </row>
    <row r="35" spans="1:19">
      <c r="A35">
        <v>60000034</v>
      </c>
      <c r="B35">
        <v>39</v>
      </c>
      <c r="C35" t="s">
        <v>33</v>
      </c>
      <c r="D35" t="s">
        <v>40</v>
      </c>
      <c r="E35" t="s">
        <v>41</v>
      </c>
      <c r="F35" t="s">
        <v>21</v>
      </c>
      <c r="G35" s="23">
        <v>0.2</v>
      </c>
      <c r="H35" t="s">
        <v>29</v>
      </c>
      <c r="I35" t="s">
        <v>68</v>
      </c>
      <c r="J35" t="s">
        <v>38</v>
      </c>
      <c r="K35" t="s">
        <v>96</v>
      </c>
      <c r="L35" t="s">
        <v>26</v>
      </c>
      <c r="M35" t="s">
        <v>27</v>
      </c>
      <c r="N35" t="s">
        <v>28</v>
      </c>
      <c r="O35">
        <v>0</v>
      </c>
      <c r="P35">
        <v>68931</v>
      </c>
      <c r="Q35">
        <f t="shared" si="0"/>
        <v>6.8931000000000006E-2</v>
      </c>
      <c r="R35">
        <v>43252</v>
      </c>
      <c r="S35" t="s">
        <v>122</v>
      </c>
    </row>
    <row r="36" spans="1:19">
      <c r="A36">
        <v>60000035</v>
      </c>
      <c r="B36">
        <v>27</v>
      </c>
      <c r="C36" t="s">
        <v>33</v>
      </c>
      <c r="D36" t="s">
        <v>19</v>
      </c>
      <c r="E36" t="s">
        <v>41</v>
      </c>
      <c r="F36" t="s">
        <v>21</v>
      </c>
      <c r="G36" s="23">
        <v>0.25</v>
      </c>
      <c r="H36" t="s">
        <v>53</v>
      </c>
      <c r="I36" t="s">
        <v>68</v>
      </c>
      <c r="J36" t="s">
        <v>91</v>
      </c>
      <c r="K36" t="s">
        <v>114</v>
      </c>
      <c r="L36" t="s">
        <v>26</v>
      </c>
      <c r="M36" t="s">
        <v>27</v>
      </c>
      <c r="N36" t="s">
        <v>28</v>
      </c>
      <c r="O36">
        <v>0</v>
      </c>
      <c r="P36">
        <v>72486</v>
      </c>
      <c r="Q36">
        <f t="shared" si="0"/>
        <v>7.2485999999999995E-2</v>
      </c>
      <c r="R36">
        <v>43252</v>
      </c>
      <c r="S36" t="s">
        <v>122</v>
      </c>
    </row>
    <row r="37" spans="1:19">
      <c r="A37">
        <v>60000036</v>
      </c>
      <c r="B37">
        <v>50</v>
      </c>
      <c r="C37" t="s">
        <v>18</v>
      </c>
      <c r="D37" t="s">
        <v>40</v>
      </c>
      <c r="E37" t="s">
        <v>20</v>
      </c>
      <c r="F37" t="s">
        <v>21</v>
      </c>
      <c r="G37" s="23">
        <v>0.34</v>
      </c>
      <c r="H37" t="s">
        <v>42</v>
      </c>
      <c r="I37" t="s">
        <v>62</v>
      </c>
      <c r="J37" t="s">
        <v>58</v>
      </c>
      <c r="K37" t="s">
        <v>49</v>
      </c>
      <c r="L37" t="s">
        <v>26</v>
      </c>
      <c r="M37" t="s">
        <v>27</v>
      </c>
      <c r="N37" t="s">
        <v>28</v>
      </c>
      <c r="O37">
        <v>0</v>
      </c>
      <c r="P37">
        <v>25064</v>
      </c>
      <c r="Q37">
        <f t="shared" si="0"/>
        <v>2.5063999999999999E-2</v>
      </c>
      <c r="R37">
        <v>43252</v>
      </c>
      <c r="S37" t="s">
        <v>122</v>
      </c>
    </row>
    <row r="38" spans="1:19">
      <c r="A38">
        <v>60000037</v>
      </c>
      <c r="B38">
        <v>43</v>
      </c>
      <c r="C38" t="s">
        <v>18</v>
      </c>
      <c r="D38" t="s">
        <v>40</v>
      </c>
      <c r="E38" t="s">
        <v>75</v>
      </c>
      <c r="F38" t="s">
        <v>21</v>
      </c>
      <c r="G38" s="23">
        <v>0.27</v>
      </c>
      <c r="H38" t="s">
        <v>53</v>
      </c>
      <c r="I38" t="s">
        <v>83</v>
      </c>
      <c r="J38" t="s">
        <v>24</v>
      </c>
      <c r="K38" t="s">
        <v>110</v>
      </c>
      <c r="L38" t="s">
        <v>26</v>
      </c>
      <c r="M38" t="s">
        <v>27</v>
      </c>
      <c r="N38" t="s">
        <v>28</v>
      </c>
      <c r="O38">
        <v>0</v>
      </c>
      <c r="P38">
        <v>66485</v>
      </c>
      <c r="Q38">
        <f t="shared" si="0"/>
        <v>6.6485000000000002E-2</v>
      </c>
      <c r="R38">
        <v>43252</v>
      </c>
      <c r="S38" t="s">
        <v>122</v>
      </c>
    </row>
    <row r="39" spans="1:19">
      <c r="A39">
        <v>60000038</v>
      </c>
      <c r="B39">
        <v>26</v>
      </c>
      <c r="C39" t="s">
        <v>33</v>
      </c>
      <c r="D39" t="s">
        <v>40</v>
      </c>
      <c r="E39" t="s">
        <v>67</v>
      </c>
      <c r="F39" t="s">
        <v>21</v>
      </c>
      <c r="G39" s="23">
        <v>0.17</v>
      </c>
      <c r="H39" t="s">
        <v>22</v>
      </c>
      <c r="I39" t="s">
        <v>73</v>
      </c>
      <c r="J39" t="s">
        <v>69</v>
      </c>
      <c r="K39" t="s">
        <v>81</v>
      </c>
      <c r="L39" t="s">
        <v>26</v>
      </c>
      <c r="M39" t="s">
        <v>27</v>
      </c>
      <c r="N39" t="s">
        <v>28</v>
      </c>
      <c r="O39">
        <v>0</v>
      </c>
      <c r="P39">
        <v>32920</v>
      </c>
      <c r="Q39">
        <f t="shared" si="0"/>
        <v>3.2919999999999998E-2</v>
      </c>
      <c r="R39">
        <v>43252</v>
      </c>
      <c r="S39" t="s">
        <v>122</v>
      </c>
    </row>
    <row r="40" spans="1:19">
      <c r="A40">
        <v>60000039</v>
      </c>
      <c r="B40">
        <v>23</v>
      </c>
      <c r="C40" t="s">
        <v>18</v>
      </c>
      <c r="D40" t="s">
        <v>19</v>
      </c>
      <c r="E40" t="s">
        <v>56</v>
      </c>
      <c r="F40" t="s">
        <v>21</v>
      </c>
      <c r="G40" s="23">
        <v>0.1</v>
      </c>
      <c r="H40" t="s">
        <v>36</v>
      </c>
      <c r="I40" t="s">
        <v>76</v>
      </c>
      <c r="J40" t="s">
        <v>88</v>
      </c>
      <c r="K40" t="s">
        <v>77</v>
      </c>
      <c r="L40" t="s">
        <v>26</v>
      </c>
      <c r="M40" t="s">
        <v>27</v>
      </c>
      <c r="N40" t="s">
        <v>28</v>
      </c>
      <c r="O40">
        <v>0</v>
      </c>
      <c r="P40">
        <v>60181</v>
      </c>
      <c r="Q40">
        <f t="shared" si="0"/>
        <v>6.0180999999999998E-2</v>
      </c>
      <c r="R40">
        <v>43252</v>
      </c>
      <c r="S40" t="s">
        <v>122</v>
      </c>
    </row>
    <row r="41" spans="1:19">
      <c r="A41">
        <v>60000040</v>
      </c>
      <c r="B41">
        <v>47</v>
      </c>
      <c r="C41" t="s">
        <v>33</v>
      </c>
      <c r="D41" t="s">
        <v>19</v>
      </c>
      <c r="E41" t="s">
        <v>64</v>
      </c>
      <c r="F41" t="s">
        <v>21</v>
      </c>
      <c r="G41" s="23">
        <v>0.28000000000000003</v>
      </c>
      <c r="H41" t="s">
        <v>53</v>
      </c>
      <c r="I41" t="s">
        <v>45</v>
      </c>
      <c r="J41" t="s">
        <v>58</v>
      </c>
      <c r="K41" t="s">
        <v>49</v>
      </c>
      <c r="L41" t="s">
        <v>26</v>
      </c>
      <c r="M41" t="s">
        <v>27</v>
      </c>
      <c r="N41" t="s">
        <v>28</v>
      </c>
      <c r="O41">
        <v>7</v>
      </c>
      <c r="P41">
        <v>64200</v>
      </c>
      <c r="Q41">
        <f t="shared" si="0"/>
        <v>6.4199999999999993E-2</v>
      </c>
      <c r="R41">
        <v>43252</v>
      </c>
      <c r="S41" t="s">
        <v>122</v>
      </c>
    </row>
    <row r="42" spans="1:19">
      <c r="A42">
        <v>60000041</v>
      </c>
      <c r="B42">
        <v>54</v>
      </c>
      <c r="C42" t="s">
        <v>33</v>
      </c>
      <c r="D42" t="s">
        <v>19</v>
      </c>
      <c r="E42" t="s">
        <v>44</v>
      </c>
      <c r="F42" t="s">
        <v>21</v>
      </c>
      <c r="G42" s="23">
        <v>0.32</v>
      </c>
      <c r="H42" t="s">
        <v>42</v>
      </c>
      <c r="I42" t="s">
        <v>37</v>
      </c>
      <c r="J42" t="s">
        <v>74</v>
      </c>
      <c r="K42" t="s">
        <v>81</v>
      </c>
      <c r="L42" t="s">
        <v>26</v>
      </c>
      <c r="M42" t="s">
        <v>27</v>
      </c>
      <c r="N42" t="s">
        <v>28</v>
      </c>
      <c r="O42">
        <v>0</v>
      </c>
      <c r="P42">
        <v>27376</v>
      </c>
      <c r="Q42">
        <f t="shared" si="0"/>
        <v>2.7376000000000001E-2</v>
      </c>
      <c r="R42">
        <v>43252</v>
      </c>
      <c r="S42" t="s">
        <v>122</v>
      </c>
    </row>
    <row r="43" spans="1:19">
      <c r="A43">
        <v>60000042</v>
      </c>
      <c r="B43">
        <v>47</v>
      </c>
      <c r="C43" t="s">
        <v>18</v>
      </c>
      <c r="D43" t="s">
        <v>40</v>
      </c>
      <c r="E43" t="s">
        <v>44</v>
      </c>
      <c r="F43" t="s">
        <v>21</v>
      </c>
      <c r="G43" s="23">
        <v>0.36</v>
      </c>
      <c r="H43" t="s">
        <v>42</v>
      </c>
      <c r="I43" t="s">
        <v>68</v>
      </c>
      <c r="J43" t="s">
        <v>38</v>
      </c>
      <c r="K43" t="s">
        <v>111</v>
      </c>
      <c r="L43" t="s">
        <v>26</v>
      </c>
      <c r="M43" t="s">
        <v>27</v>
      </c>
      <c r="N43" t="s">
        <v>28</v>
      </c>
      <c r="O43">
        <v>6</v>
      </c>
      <c r="P43">
        <v>73100</v>
      </c>
      <c r="Q43">
        <f t="shared" si="0"/>
        <v>7.3099999999999998E-2</v>
      </c>
      <c r="R43">
        <v>43252</v>
      </c>
      <c r="S43" t="s">
        <v>122</v>
      </c>
    </row>
    <row r="44" spans="1:19">
      <c r="A44">
        <v>60000043</v>
      </c>
      <c r="B44">
        <v>37</v>
      </c>
      <c r="C44" t="s">
        <v>33</v>
      </c>
      <c r="D44" t="s">
        <v>40</v>
      </c>
      <c r="E44" t="s">
        <v>20</v>
      </c>
      <c r="F44" t="s">
        <v>21</v>
      </c>
      <c r="G44" s="23">
        <v>0.33</v>
      </c>
      <c r="H44" t="s">
        <v>42</v>
      </c>
      <c r="I44" t="s">
        <v>23</v>
      </c>
      <c r="J44" t="s">
        <v>88</v>
      </c>
      <c r="K44" t="s">
        <v>110</v>
      </c>
      <c r="L44" t="s">
        <v>26</v>
      </c>
      <c r="M44" t="s">
        <v>27</v>
      </c>
      <c r="N44" t="s">
        <v>28</v>
      </c>
      <c r="O44">
        <v>0</v>
      </c>
      <c r="P44">
        <v>51512</v>
      </c>
      <c r="Q44">
        <f t="shared" si="0"/>
        <v>5.1512000000000002E-2</v>
      </c>
      <c r="R44">
        <v>43252</v>
      </c>
      <c r="S44" t="s">
        <v>122</v>
      </c>
    </row>
    <row r="45" spans="1:19">
      <c r="A45">
        <v>60000044</v>
      </c>
      <c r="B45">
        <v>65</v>
      </c>
      <c r="C45" t="s">
        <v>33</v>
      </c>
      <c r="D45" t="s">
        <v>40</v>
      </c>
      <c r="E45" t="s">
        <v>34</v>
      </c>
      <c r="F45" t="s">
        <v>21</v>
      </c>
      <c r="G45" s="23">
        <v>0.24</v>
      </c>
      <c r="H45" t="s">
        <v>29</v>
      </c>
      <c r="I45" t="s">
        <v>49</v>
      </c>
      <c r="J45" t="s">
        <v>46</v>
      </c>
      <c r="K45" t="s">
        <v>43</v>
      </c>
      <c r="L45" t="s">
        <v>26</v>
      </c>
      <c r="M45" t="s">
        <v>27</v>
      </c>
      <c r="N45" t="s">
        <v>28</v>
      </c>
      <c r="O45">
        <v>4</v>
      </c>
      <c r="P45">
        <v>32853</v>
      </c>
      <c r="Q45">
        <f t="shared" si="0"/>
        <v>3.2853E-2</v>
      </c>
      <c r="R45">
        <v>43252</v>
      </c>
      <c r="S45" t="s">
        <v>122</v>
      </c>
    </row>
    <row r="46" spans="1:19">
      <c r="A46">
        <v>60000045</v>
      </c>
      <c r="B46">
        <v>42</v>
      </c>
      <c r="C46" t="s">
        <v>33</v>
      </c>
      <c r="D46" t="s">
        <v>19</v>
      </c>
      <c r="E46" t="s">
        <v>85</v>
      </c>
      <c r="F46" t="s">
        <v>21</v>
      </c>
      <c r="G46" s="23">
        <v>0.34</v>
      </c>
      <c r="H46" t="s">
        <v>42</v>
      </c>
      <c r="I46" t="s">
        <v>80</v>
      </c>
      <c r="J46" t="s">
        <v>58</v>
      </c>
      <c r="K46" t="s">
        <v>102</v>
      </c>
      <c r="L46" t="s">
        <v>26</v>
      </c>
      <c r="M46" t="s">
        <v>27</v>
      </c>
      <c r="N46" t="s">
        <v>28</v>
      </c>
      <c r="O46">
        <v>0</v>
      </c>
      <c r="P46">
        <v>33519</v>
      </c>
      <c r="Q46">
        <f t="shared" ref="Q46:Q109" si="1">+P46/1000000</f>
        <v>3.3519E-2</v>
      </c>
      <c r="R46">
        <v>43252</v>
      </c>
      <c r="S46" t="s">
        <v>122</v>
      </c>
    </row>
    <row r="47" spans="1:19">
      <c r="A47">
        <v>60000046</v>
      </c>
      <c r="B47">
        <v>29</v>
      </c>
      <c r="C47" t="s">
        <v>33</v>
      </c>
      <c r="D47" t="s">
        <v>40</v>
      </c>
      <c r="E47" t="s">
        <v>67</v>
      </c>
      <c r="F47" t="s">
        <v>21</v>
      </c>
      <c r="G47" s="23">
        <v>0.23</v>
      </c>
      <c r="H47" t="s">
        <v>29</v>
      </c>
      <c r="I47" t="s">
        <v>86</v>
      </c>
      <c r="J47" t="s">
        <v>38</v>
      </c>
      <c r="K47" t="s">
        <v>25</v>
      </c>
      <c r="L47" t="s">
        <v>26</v>
      </c>
      <c r="M47" t="s">
        <v>27</v>
      </c>
      <c r="N47" t="s">
        <v>28</v>
      </c>
      <c r="O47">
        <v>0</v>
      </c>
      <c r="P47">
        <v>47392</v>
      </c>
      <c r="Q47">
        <f t="shared" si="1"/>
        <v>4.7391999999999997E-2</v>
      </c>
      <c r="R47">
        <v>43252</v>
      </c>
      <c r="S47" t="s">
        <v>122</v>
      </c>
    </row>
    <row r="48" spans="1:19">
      <c r="A48">
        <v>60000047</v>
      </c>
      <c r="B48">
        <v>21</v>
      </c>
      <c r="C48" t="s">
        <v>18</v>
      </c>
      <c r="D48" t="s">
        <v>19</v>
      </c>
      <c r="E48" t="s">
        <v>20</v>
      </c>
      <c r="F48" t="s">
        <v>21</v>
      </c>
      <c r="G48" s="23">
        <v>0.16</v>
      </c>
      <c r="H48" t="s">
        <v>22</v>
      </c>
      <c r="I48" t="s">
        <v>62</v>
      </c>
      <c r="J48" t="s">
        <v>46</v>
      </c>
      <c r="K48" t="s">
        <v>93</v>
      </c>
      <c r="L48" t="s">
        <v>26</v>
      </c>
      <c r="M48" t="s">
        <v>27</v>
      </c>
      <c r="N48" t="s">
        <v>28</v>
      </c>
      <c r="O48">
        <v>7</v>
      </c>
      <c r="P48">
        <v>81471</v>
      </c>
      <c r="Q48">
        <f t="shared" si="1"/>
        <v>8.1471000000000002E-2</v>
      </c>
      <c r="R48">
        <v>43252</v>
      </c>
      <c r="S48" t="s">
        <v>122</v>
      </c>
    </row>
    <row r="49" spans="1:19">
      <c r="A49">
        <v>60000048</v>
      </c>
      <c r="B49">
        <v>65</v>
      </c>
      <c r="C49" t="s">
        <v>18</v>
      </c>
      <c r="D49" t="s">
        <v>19</v>
      </c>
      <c r="E49" t="s">
        <v>85</v>
      </c>
      <c r="F49" t="s">
        <v>21</v>
      </c>
      <c r="G49" s="23">
        <v>0.36</v>
      </c>
      <c r="H49" t="s">
        <v>42</v>
      </c>
      <c r="I49" t="s">
        <v>65</v>
      </c>
      <c r="J49" t="s">
        <v>24</v>
      </c>
      <c r="K49" t="s">
        <v>102</v>
      </c>
      <c r="L49" t="s">
        <v>26</v>
      </c>
      <c r="M49" t="s">
        <v>27</v>
      </c>
      <c r="N49" t="s">
        <v>28</v>
      </c>
      <c r="O49">
        <v>4</v>
      </c>
      <c r="P49">
        <v>46613</v>
      </c>
      <c r="Q49">
        <f t="shared" si="1"/>
        <v>4.6613000000000002E-2</v>
      </c>
      <c r="R49">
        <v>43252</v>
      </c>
      <c r="S49" t="s">
        <v>122</v>
      </c>
    </row>
    <row r="50" spans="1:19">
      <c r="A50">
        <v>60000049</v>
      </c>
      <c r="B50">
        <v>47</v>
      </c>
      <c r="C50" t="s">
        <v>33</v>
      </c>
      <c r="D50" t="s">
        <v>40</v>
      </c>
      <c r="E50" t="s">
        <v>52</v>
      </c>
      <c r="F50" t="s">
        <v>21</v>
      </c>
      <c r="G50" s="23">
        <v>0.12</v>
      </c>
      <c r="H50" t="s">
        <v>22</v>
      </c>
      <c r="I50" t="s">
        <v>68</v>
      </c>
      <c r="J50" t="s">
        <v>74</v>
      </c>
      <c r="K50" t="s">
        <v>87</v>
      </c>
      <c r="L50" t="s">
        <v>26</v>
      </c>
      <c r="M50" t="s">
        <v>27</v>
      </c>
      <c r="N50" t="s">
        <v>28</v>
      </c>
      <c r="O50">
        <v>0</v>
      </c>
      <c r="P50">
        <v>75842</v>
      </c>
      <c r="Q50">
        <f t="shared" si="1"/>
        <v>7.5842000000000007E-2</v>
      </c>
      <c r="R50">
        <v>43252</v>
      </c>
      <c r="S50" t="s">
        <v>122</v>
      </c>
    </row>
    <row r="51" spans="1:19">
      <c r="A51">
        <v>60000050</v>
      </c>
      <c r="B51">
        <v>47</v>
      </c>
      <c r="C51" t="s">
        <v>18</v>
      </c>
      <c r="D51" t="s">
        <v>40</v>
      </c>
      <c r="E51" t="s">
        <v>52</v>
      </c>
      <c r="F51" t="s">
        <v>21</v>
      </c>
      <c r="G51" s="23">
        <v>0.18</v>
      </c>
      <c r="H51" t="s">
        <v>22</v>
      </c>
      <c r="I51" t="s">
        <v>65</v>
      </c>
      <c r="J51" t="s">
        <v>31</v>
      </c>
      <c r="K51" t="s">
        <v>94</v>
      </c>
      <c r="L51" t="s">
        <v>26</v>
      </c>
      <c r="M51" t="s">
        <v>27</v>
      </c>
      <c r="N51" t="s">
        <v>28</v>
      </c>
      <c r="O51">
        <v>0</v>
      </c>
      <c r="P51">
        <v>77615</v>
      </c>
      <c r="Q51">
        <f t="shared" si="1"/>
        <v>7.7615000000000003E-2</v>
      </c>
      <c r="R51">
        <v>43252</v>
      </c>
      <c r="S51" t="s">
        <v>122</v>
      </c>
    </row>
    <row r="52" spans="1:19">
      <c r="A52">
        <v>60000051</v>
      </c>
      <c r="B52">
        <v>48</v>
      </c>
      <c r="C52" t="s">
        <v>33</v>
      </c>
      <c r="D52" t="s">
        <v>19</v>
      </c>
      <c r="E52" t="s">
        <v>67</v>
      </c>
      <c r="F52" t="s">
        <v>21</v>
      </c>
      <c r="G52" s="23">
        <v>0.31</v>
      </c>
      <c r="H52" t="s">
        <v>53</v>
      </c>
      <c r="I52" t="s">
        <v>45</v>
      </c>
      <c r="J52" t="s">
        <v>78</v>
      </c>
      <c r="K52" t="s">
        <v>62</v>
      </c>
      <c r="L52" t="s">
        <v>26</v>
      </c>
      <c r="M52" t="s">
        <v>27</v>
      </c>
      <c r="N52" t="s">
        <v>28</v>
      </c>
      <c r="O52">
        <v>0</v>
      </c>
      <c r="P52">
        <v>46121</v>
      </c>
      <c r="Q52">
        <f t="shared" si="1"/>
        <v>4.6121000000000002E-2</v>
      </c>
      <c r="R52">
        <v>43252</v>
      </c>
      <c r="S52" t="s">
        <v>122</v>
      </c>
    </row>
    <row r="53" spans="1:19">
      <c r="A53">
        <v>60000052</v>
      </c>
      <c r="B53">
        <v>24</v>
      </c>
      <c r="C53" t="s">
        <v>18</v>
      </c>
      <c r="D53" t="s">
        <v>19</v>
      </c>
      <c r="E53" t="s">
        <v>75</v>
      </c>
      <c r="F53" t="s">
        <v>21</v>
      </c>
      <c r="G53" s="23">
        <v>0.25</v>
      </c>
      <c r="H53" t="s">
        <v>53</v>
      </c>
      <c r="I53" t="s">
        <v>45</v>
      </c>
      <c r="J53" t="s">
        <v>91</v>
      </c>
      <c r="K53" t="s">
        <v>109</v>
      </c>
      <c r="L53" t="s">
        <v>26</v>
      </c>
      <c r="M53" t="s">
        <v>27</v>
      </c>
      <c r="N53" t="s">
        <v>28</v>
      </c>
      <c r="O53">
        <v>6</v>
      </c>
      <c r="P53">
        <v>39270</v>
      </c>
      <c r="Q53">
        <f t="shared" si="1"/>
        <v>3.9269999999999999E-2</v>
      </c>
      <c r="R53">
        <v>43252</v>
      </c>
      <c r="S53" t="s">
        <v>122</v>
      </c>
    </row>
    <row r="54" spans="1:19">
      <c r="A54">
        <v>60000053</v>
      </c>
      <c r="B54">
        <v>61</v>
      </c>
      <c r="C54" t="s">
        <v>18</v>
      </c>
      <c r="D54" t="s">
        <v>19</v>
      </c>
      <c r="E54" t="s">
        <v>56</v>
      </c>
      <c r="F54" t="s">
        <v>21</v>
      </c>
      <c r="G54" s="23">
        <v>0.1</v>
      </c>
      <c r="H54" t="s">
        <v>36</v>
      </c>
      <c r="I54" t="s">
        <v>65</v>
      </c>
      <c r="J54" t="s">
        <v>61</v>
      </c>
      <c r="K54" t="s">
        <v>39</v>
      </c>
      <c r="L54" t="s">
        <v>26</v>
      </c>
      <c r="M54" t="s">
        <v>27</v>
      </c>
      <c r="N54" t="s">
        <v>28</v>
      </c>
      <c r="O54">
        <v>5</v>
      </c>
      <c r="P54">
        <v>77754</v>
      </c>
      <c r="Q54">
        <f t="shared" si="1"/>
        <v>7.7754000000000004E-2</v>
      </c>
      <c r="R54">
        <v>43252</v>
      </c>
      <c r="S54" t="s">
        <v>122</v>
      </c>
    </row>
    <row r="55" spans="1:19">
      <c r="A55">
        <v>60000054</v>
      </c>
      <c r="B55">
        <v>45</v>
      </c>
      <c r="C55" t="s">
        <v>18</v>
      </c>
      <c r="D55" t="s">
        <v>19</v>
      </c>
      <c r="E55" t="s">
        <v>44</v>
      </c>
      <c r="F55" t="s">
        <v>21</v>
      </c>
      <c r="G55" s="23">
        <v>0.15</v>
      </c>
      <c r="H55" t="s">
        <v>22</v>
      </c>
      <c r="I55" t="s">
        <v>45</v>
      </c>
      <c r="J55" t="s">
        <v>66</v>
      </c>
      <c r="K55" t="s">
        <v>62</v>
      </c>
      <c r="L55" t="s">
        <v>26</v>
      </c>
      <c r="M55" t="s">
        <v>27</v>
      </c>
      <c r="N55" t="s">
        <v>28</v>
      </c>
      <c r="O55">
        <v>3</v>
      </c>
      <c r="P55">
        <v>55314</v>
      </c>
      <c r="Q55">
        <f t="shared" si="1"/>
        <v>5.5314000000000002E-2</v>
      </c>
      <c r="R55">
        <v>43252</v>
      </c>
      <c r="S55" t="s">
        <v>122</v>
      </c>
    </row>
    <row r="56" spans="1:19">
      <c r="A56">
        <v>60000055</v>
      </c>
      <c r="B56">
        <v>60</v>
      </c>
      <c r="C56" t="s">
        <v>18</v>
      </c>
      <c r="D56" t="s">
        <v>40</v>
      </c>
      <c r="E56" t="s">
        <v>44</v>
      </c>
      <c r="F56" t="s">
        <v>21</v>
      </c>
      <c r="G56" s="23">
        <v>0.28000000000000003</v>
      </c>
      <c r="H56" t="s">
        <v>53</v>
      </c>
      <c r="I56" t="s">
        <v>83</v>
      </c>
      <c r="J56" t="s">
        <v>69</v>
      </c>
      <c r="K56" t="s">
        <v>71</v>
      </c>
      <c r="L56" t="s">
        <v>26</v>
      </c>
      <c r="M56" t="s">
        <v>27</v>
      </c>
      <c r="N56" t="s">
        <v>28</v>
      </c>
      <c r="O56">
        <v>5</v>
      </c>
      <c r="P56">
        <v>44686</v>
      </c>
      <c r="Q56">
        <f t="shared" si="1"/>
        <v>4.4685999999999997E-2</v>
      </c>
      <c r="R56">
        <v>43252</v>
      </c>
      <c r="S56" t="s">
        <v>122</v>
      </c>
    </row>
    <row r="57" spans="1:19">
      <c r="A57">
        <v>60000056</v>
      </c>
      <c r="B57">
        <v>27</v>
      </c>
      <c r="C57" t="s">
        <v>33</v>
      </c>
      <c r="D57" t="s">
        <v>19</v>
      </c>
      <c r="E57" t="s">
        <v>85</v>
      </c>
      <c r="F57" t="s">
        <v>21</v>
      </c>
      <c r="G57" s="23">
        <v>0.16</v>
      </c>
      <c r="H57" t="s">
        <v>22</v>
      </c>
      <c r="I57" t="s">
        <v>45</v>
      </c>
      <c r="J57" t="s">
        <v>46</v>
      </c>
      <c r="K57" t="s">
        <v>49</v>
      </c>
      <c r="L57" t="s">
        <v>26</v>
      </c>
      <c r="M57" t="s">
        <v>27</v>
      </c>
      <c r="N57" t="s">
        <v>28</v>
      </c>
      <c r="O57">
        <v>0</v>
      </c>
      <c r="P57">
        <v>79381</v>
      </c>
      <c r="Q57">
        <f t="shared" si="1"/>
        <v>7.9380999999999993E-2</v>
      </c>
      <c r="R57">
        <v>43252</v>
      </c>
      <c r="S57" t="s">
        <v>122</v>
      </c>
    </row>
    <row r="58" spans="1:19">
      <c r="A58">
        <v>60000057</v>
      </c>
      <c r="B58">
        <v>29</v>
      </c>
      <c r="C58" t="s">
        <v>18</v>
      </c>
      <c r="D58" t="s">
        <v>19</v>
      </c>
      <c r="E58" t="s">
        <v>67</v>
      </c>
      <c r="F58" t="s">
        <v>21</v>
      </c>
      <c r="G58" s="23">
        <v>0.25</v>
      </c>
      <c r="H58" t="s">
        <v>53</v>
      </c>
      <c r="I58" t="s">
        <v>49</v>
      </c>
      <c r="J58" t="s">
        <v>31</v>
      </c>
      <c r="K58" t="s">
        <v>97</v>
      </c>
      <c r="L58" t="s">
        <v>26</v>
      </c>
      <c r="M58" t="s">
        <v>27</v>
      </c>
      <c r="N58" t="s">
        <v>28</v>
      </c>
      <c r="O58">
        <v>4</v>
      </c>
      <c r="P58">
        <v>55151</v>
      </c>
      <c r="Q58">
        <f t="shared" si="1"/>
        <v>5.5150999999999999E-2</v>
      </c>
      <c r="R58">
        <v>43252</v>
      </c>
      <c r="S58" t="s">
        <v>122</v>
      </c>
    </row>
    <row r="59" spans="1:19">
      <c r="A59">
        <v>60000058</v>
      </c>
      <c r="B59">
        <v>59</v>
      </c>
      <c r="C59" t="s">
        <v>18</v>
      </c>
      <c r="D59" t="s">
        <v>40</v>
      </c>
      <c r="E59" t="s">
        <v>85</v>
      </c>
      <c r="F59" t="s">
        <v>21</v>
      </c>
      <c r="G59" s="23">
        <v>0.27</v>
      </c>
      <c r="H59" t="s">
        <v>53</v>
      </c>
      <c r="I59" t="s">
        <v>83</v>
      </c>
      <c r="J59" t="s">
        <v>88</v>
      </c>
      <c r="K59" t="s">
        <v>96</v>
      </c>
      <c r="L59" t="s">
        <v>26</v>
      </c>
      <c r="M59" t="s">
        <v>27</v>
      </c>
      <c r="N59" t="s">
        <v>28</v>
      </c>
      <c r="O59">
        <v>1</v>
      </c>
      <c r="P59">
        <v>65029</v>
      </c>
      <c r="Q59">
        <f t="shared" si="1"/>
        <v>6.5029000000000003E-2</v>
      </c>
      <c r="R59">
        <v>43252</v>
      </c>
      <c r="S59" t="s">
        <v>122</v>
      </c>
    </row>
    <row r="60" spans="1:19">
      <c r="A60">
        <v>60000059</v>
      </c>
      <c r="B60">
        <v>56</v>
      </c>
      <c r="C60" t="s">
        <v>33</v>
      </c>
      <c r="D60" t="s">
        <v>19</v>
      </c>
      <c r="E60" t="s">
        <v>67</v>
      </c>
      <c r="F60" t="s">
        <v>21</v>
      </c>
      <c r="G60" s="23">
        <v>0.2</v>
      </c>
      <c r="H60" t="s">
        <v>29</v>
      </c>
      <c r="I60" t="s">
        <v>37</v>
      </c>
      <c r="J60" t="s">
        <v>54</v>
      </c>
      <c r="K60" t="s">
        <v>39</v>
      </c>
      <c r="L60" t="s">
        <v>26</v>
      </c>
      <c r="M60" t="s">
        <v>27</v>
      </c>
      <c r="N60" t="s">
        <v>28</v>
      </c>
      <c r="O60">
        <v>5</v>
      </c>
      <c r="P60">
        <v>26628</v>
      </c>
      <c r="Q60">
        <f t="shared" si="1"/>
        <v>2.6627999999999999E-2</v>
      </c>
      <c r="R60">
        <v>43252</v>
      </c>
      <c r="S60" t="s">
        <v>122</v>
      </c>
    </row>
    <row r="61" spans="1:19">
      <c r="A61">
        <v>60000060</v>
      </c>
      <c r="B61">
        <v>42</v>
      </c>
      <c r="C61" t="s">
        <v>18</v>
      </c>
      <c r="D61" t="s">
        <v>19</v>
      </c>
      <c r="E61" t="s">
        <v>56</v>
      </c>
      <c r="F61" t="s">
        <v>21</v>
      </c>
      <c r="G61" s="23">
        <v>0.19</v>
      </c>
      <c r="H61" t="s">
        <v>29</v>
      </c>
      <c r="I61" t="s">
        <v>60</v>
      </c>
      <c r="J61" t="s">
        <v>61</v>
      </c>
      <c r="K61" t="s">
        <v>47</v>
      </c>
      <c r="L61" t="s">
        <v>26</v>
      </c>
      <c r="M61" t="s">
        <v>27</v>
      </c>
      <c r="N61" t="s">
        <v>28</v>
      </c>
      <c r="O61">
        <v>0</v>
      </c>
      <c r="P61">
        <v>49132</v>
      </c>
      <c r="Q61">
        <f t="shared" si="1"/>
        <v>4.9132000000000002E-2</v>
      </c>
      <c r="R61">
        <v>43252</v>
      </c>
      <c r="S61" t="s">
        <v>122</v>
      </c>
    </row>
    <row r="62" spans="1:19">
      <c r="A62">
        <v>60000061</v>
      </c>
      <c r="B62">
        <v>52</v>
      </c>
      <c r="C62" t="s">
        <v>33</v>
      </c>
      <c r="D62" t="s">
        <v>19</v>
      </c>
      <c r="E62" t="s">
        <v>75</v>
      </c>
      <c r="F62" t="s">
        <v>21</v>
      </c>
      <c r="G62" s="23">
        <v>0.31</v>
      </c>
      <c r="H62" t="s">
        <v>53</v>
      </c>
      <c r="I62" t="s">
        <v>57</v>
      </c>
      <c r="J62" t="s">
        <v>24</v>
      </c>
      <c r="K62" t="s">
        <v>103</v>
      </c>
      <c r="L62" t="s">
        <v>26</v>
      </c>
      <c r="M62" t="s">
        <v>27</v>
      </c>
      <c r="N62" t="s">
        <v>28</v>
      </c>
      <c r="O62">
        <v>2</v>
      </c>
      <c r="P62">
        <v>75641</v>
      </c>
      <c r="Q62">
        <f t="shared" si="1"/>
        <v>7.5641E-2</v>
      </c>
      <c r="R62">
        <v>43252</v>
      </c>
      <c r="S62" t="s">
        <v>122</v>
      </c>
    </row>
    <row r="63" spans="1:19">
      <c r="A63">
        <v>60000062</v>
      </c>
      <c r="B63">
        <v>44</v>
      </c>
      <c r="C63" t="s">
        <v>33</v>
      </c>
      <c r="D63" t="s">
        <v>40</v>
      </c>
      <c r="E63" t="s">
        <v>56</v>
      </c>
      <c r="F63" t="s">
        <v>21</v>
      </c>
      <c r="G63" s="23">
        <v>0.18</v>
      </c>
      <c r="H63" t="s">
        <v>22</v>
      </c>
      <c r="I63" t="s">
        <v>45</v>
      </c>
      <c r="J63" t="s">
        <v>69</v>
      </c>
      <c r="K63" t="s">
        <v>71</v>
      </c>
      <c r="L63" t="s">
        <v>26</v>
      </c>
      <c r="M63" t="s">
        <v>27</v>
      </c>
      <c r="N63" t="s">
        <v>28</v>
      </c>
      <c r="O63">
        <v>0</v>
      </c>
      <c r="P63">
        <v>46107</v>
      </c>
      <c r="Q63">
        <f t="shared" si="1"/>
        <v>4.6107000000000002E-2</v>
      </c>
      <c r="R63">
        <v>43252</v>
      </c>
      <c r="S63" t="s">
        <v>122</v>
      </c>
    </row>
    <row r="64" spans="1:19">
      <c r="A64">
        <v>60000063</v>
      </c>
      <c r="B64">
        <v>37</v>
      </c>
      <c r="C64" t="s">
        <v>33</v>
      </c>
      <c r="D64" t="s">
        <v>40</v>
      </c>
      <c r="E64" t="s">
        <v>52</v>
      </c>
      <c r="F64" t="s">
        <v>21</v>
      </c>
      <c r="G64" s="23">
        <v>0.28999999999999998</v>
      </c>
      <c r="H64" t="s">
        <v>53</v>
      </c>
      <c r="I64" t="s">
        <v>60</v>
      </c>
      <c r="J64" t="s">
        <v>38</v>
      </c>
      <c r="K64" t="s">
        <v>98</v>
      </c>
      <c r="L64" t="s">
        <v>26</v>
      </c>
      <c r="M64" t="s">
        <v>27</v>
      </c>
      <c r="N64" t="s">
        <v>28</v>
      </c>
      <c r="O64">
        <v>5</v>
      </c>
      <c r="P64">
        <v>54603</v>
      </c>
      <c r="Q64">
        <f t="shared" si="1"/>
        <v>5.4602999999999999E-2</v>
      </c>
      <c r="R64">
        <v>43252</v>
      </c>
      <c r="S64" t="s">
        <v>122</v>
      </c>
    </row>
    <row r="65" spans="1:19">
      <c r="A65">
        <v>60000064</v>
      </c>
      <c r="B65">
        <v>20</v>
      </c>
      <c r="C65" t="s">
        <v>33</v>
      </c>
      <c r="D65" t="s">
        <v>40</v>
      </c>
      <c r="E65" t="s">
        <v>85</v>
      </c>
      <c r="F65" t="s">
        <v>21</v>
      </c>
      <c r="G65" s="23">
        <v>0.12</v>
      </c>
      <c r="H65" t="s">
        <v>22</v>
      </c>
      <c r="I65" t="s">
        <v>86</v>
      </c>
      <c r="J65" t="s">
        <v>61</v>
      </c>
      <c r="K65" t="s">
        <v>102</v>
      </c>
      <c r="L65" t="s">
        <v>26</v>
      </c>
      <c r="M65" t="s">
        <v>27</v>
      </c>
      <c r="N65" t="s">
        <v>28</v>
      </c>
      <c r="O65">
        <v>2</v>
      </c>
      <c r="P65">
        <v>76546</v>
      </c>
      <c r="Q65">
        <f t="shared" si="1"/>
        <v>7.6546000000000003E-2</v>
      </c>
      <c r="R65">
        <v>43252</v>
      </c>
      <c r="S65" t="s">
        <v>122</v>
      </c>
    </row>
    <row r="66" spans="1:19">
      <c r="A66">
        <v>60000065</v>
      </c>
      <c r="B66">
        <v>20</v>
      </c>
      <c r="C66" t="s">
        <v>18</v>
      </c>
      <c r="D66" t="s">
        <v>19</v>
      </c>
      <c r="E66" t="s">
        <v>56</v>
      </c>
      <c r="F66" t="s">
        <v>21</v>
      </c>
      <c r="G66" s="23">
        <v>0.14000000000000001</v>
      </c>
      <c r="H66" t="s">
        <v>22</v>
      </c>
      <c r="I66" t="s">
        <v>62</v>
      </c>
      <c r="J66" t="s">
        <v>74</v>
      </c>
      <c r="K66" t="s">
        <v>60</v>
      </c>
      <c r="L66" t="s">
        <v>26</v>
      </c>
      <c r="M66" t="s">
        <v>27</v>
      </c>
      <c r="N66" t="s">
        <v>28</v>
      </c>
      <c r="O66">
        <v>4</v>
      </c>
      <c r="P66">
        <v>51693</v>
      </c>
      <c r="Q66">
        <f t="shared" si="1"/>
        <v>5.1693000000000003E-2</v>
      </c>
      <c r="R66">
        <v>43252</v>
      </c>
      <c r="S66" t="s">
        <v>122</v>
      </c>
    </row>
    <row r="67" spans="1:19">
      <c r="A67">
        <v>60000066</v>
      </c>
      <c r="B67">
        <v>43</v>
      </c>
      <c r="C67" t="s">
        <v>18</v>
      </c>
      <c r="D67" t="s">
        <v>19</v>
      </c>
      <c r="E67" t="s">
        <v>75</v>
      </c>
      <c r="F67" t="s">
        <v>21</v>
      </c>
      <c r="G67" s="23">
        <v>0.21</v>
      </c>
      <c r="H67" t="s">
        <v>29</v>
      </c>
      <c r="I67" t="s">
        <v>83</v>
      </c>
      <c r="J67" t="s">
        <v>54</v>
      </c>
      <c r="K67" t="s">
        <v>77</v>
      </c>
      <c r="L67" t="s">
        <v>26</v>
      </c>
      <c r="M67" t="s">
        <v>27</v>
      </c>
      <c r="N67" t="s">
        <v>28</v>
      </c>
      <c r="O67">
        <v>2</v>
      </c>
      <c r="P67">
        <v>74562</v>
      </c>
      <c r="Q67">
        <f t="shared" si="1"/>
        <v>7.4562000000000003E-2</v>
      </c>
      <c r="R67">
        <v>43252</v>
      </c>
      <c r="S67" t="s">
        <v>122</v>
      </c>
    </row>
    <row r="68" spans="1:19">
      <c r="A68">
        <v>60000067</v>
      </c>
      <c r="B68">
        <v>48</v>
      </c>
      <c r="C68" t="s">
        <v>33</v>
      </c>
      <c r="D68" t="s">
        <v>19</v>
      </c>
      <c r="E68" t="s">
        <v>56</v>
      </c>
      <c r="F68" t="s">
        <v>21</v>
      </c>
      <c r="G68" s="23">
        <v>0.15</v>
      </c>
      <c r="H68" t="s">
        <v>22</v>
      </c>
      <c r="I68" t="s">
        <v>70</v>
      </c>
      <c r="J68" t="s">
        <v>78</v>
      </c>
      <c r="K68" t="s">
        <v>118</v>
      </c>
      <c r="L68" t="s">
        <v>26</v>
      </c>
      <c r="M68" t="s">
        <v>27</v>
      </c>
      <c r="N68" t="s">
        <v>28</v>
      </c>
      <c r="O68">
        <v>0</v>
      </c>
      <c r="P68">
        <v>23033</v>
      </c>
      <c r="Q68">
        <f t="shared" si="1"/>
        <v>2.3033000000000001E-2</v>
      </c>
      <c r="R68">
        <v>43252</v>
      </c>
      <c r="S68" t="s">
        <v>122</v>
      </c>
    </row>
    <row r="69" spans="1:19">
      <c r="A69">
        <v>60000068</v>
      </c>
      <c r="B69">
        <v>57</v>
      </c>
      <c r="C69" t="s">
        <v>33</v>
      </c>
      <c r="D69" t="s">
        <v>40</v>
      </c>
      <c r="E69" t="s">
        <v>67</v>
      </c>
      <c r="F69" t="s">
        <v>21</v>
      </c>
      <c r="G69" s="23">
        <v>0.32</v>
      </c>
      <c r="H69" t="s">
        <v>42</v>
      </c>
      <c r="I69" t="s">
        <v>60</v>
      </c>
      <c r="J69" t="s">
        <v>38</v>
      </c>
      <c r="K69" t="s">
        <v>55</v>
      </c>
      <c r="L69" t="s">
        <v>26</v>
      </c>
      <c r="M69" t="s">
        <v>27</v>
      </c>
      <c r="N69" t="s">
        <v>28</v>
      </c>
      <c r="O69">
        <v>7</v>
      </c>
      <c r="P69">
        <v>49487</v>
      </c>
      <c r="Q69">
        <f t="shared" si="1"/>
        <v>4.9487000000000003E-2</v>
      </c>
      <c r="R69">
        <v>43252</v>
      </c>
      <c r="S69" t="s">
        <v>122</v>
      </c>
    </row>
    <row r="70" spans="1:19">
      <c r="A70">
        <v>60000069</v>
      </c>
      <c r="B70">
        <v>20</v>
      </c>
      <c r="C70" t="s">
        <v>18</v>
      </c>
      <c r="D70" t="s">
        <v>40</v>
      </c>
      <c r="E70" t="s">
        <v>41</v>
      </c>
      <c r="F70" t="s">
        <v>21</v>
      </c>
      <c r="G70" s="23">
        <v>0.13</v>
      </c>
      <c r="H70" t="s">
        <v>22</v>
      </c>
      <c r="I70" t="s">
        <v>37</v>
      </c>
      <c r="J70" t="s">
        <v>66</v>
      </c>
      <c r="K70" t="s">
        <v>116</v>
      </c>
      <c r="L70" t="s">
        <v>26</v>
      </c>
      <c r="M70" t="s">
        <v>27</v>
      </c>
      <c r="N70" t="s">
        <v>28</v>
      </c>
      <c r="O70">
        <v>6</v>
      </c>
      <c r="P70">
        <v>81554</v>
      </c>
      <c r="Q70">
        <f t="shared" si="1"/>
        <v>8.1554000000000001E-2</v>
      </c>
      <c r="R70">
        <v>43252</v>
      </c>
      <c r="S70" t="s">
        <v>122</v>
      </c>
    </row>
    <row r="71" spans="1:19">
      <c r="A71">
        <v>60000070</v>
      </c>
      <c r="B71">
        <v>63</v>
      </c>
      <c r="C71" t="s">
        <v>33</v>
      </c>
      <c r="D71" t="s">
        <v>40</v>
      </c>
      <c r="E71" t="s">
        <v>41</v>
      </c>
      <c r="F71" t="s">
        <v>21</v>
      </c>
      <c r="G71" s="23">
        <v>0.23</v>
      </c>
      <c r="H71" t="s">
        <v>29</v>
      </c>
      <c r="I71" t="s">
        <v>80</v>
      </c>
      <c r="J71" t="s">
        <v>58</v>
      </c>
      <c r="K71" t="s">
        <v>79</v>
      </c>
      <c r="L71" t="s">
        <v>26</v>
      </c>
      <c r="M71" t="s">
        <v>27</v>
      </c>
      <c r="N71" t="s">
        <v>28</v>
      </c>
      <c r="O71">
        <v>0</v>
      </c>
      <c r="P71">
        <v>50937</v>
      </c>
      <c r="Q71">
        <f t="shared" si="1"/>
        <v>5.0937000000000003E-2</v>
      </c>
      <c r="R71">
        <v>43252</v>
      </c>
      <c r="S71" t="s">
        <v>122</v>
      </c>
    </row>
    <row r="72" spans="1:19">
      <c r="A72">
        <v>60000071</v>
      </c>
      <c r="B72">
        <v>54</v>
      </c>
      <c r="C72" t="s">
        <v>18</v>
      </c>
      <c r="D72" t="s">
        <v>19</v>
      </c>
      <c r="E72" t="s">
        <v>72</v>
      </c>
      <c r="F72" t="s">
        <v>21</v>
      </c>
      <c r="G72" s="23">
        <v>0.38</v>
      </c>
      <c r="H72" t="s">
        <v>42</v>
      </c>
      <c r="I72" t="s">
        <v>23</v>
      </c>
      <c r="J72" t="s">
        <v>74</v>
      </c>
      <c r="K72" t="s">
        <v>111</v>
      </c>
      <c r="L72" t="s">
        <v>26</v>
      </c>
      <c r="M72" t="s">
        <v>27</v>
      </c>
      <c r="N72" t="s">
        <v>28</v>
      </c>
      <c r="O72">
        <v>0</v>
      </c>
      <c r="P72">
        <v>50926</v>
      </c>
      <c r="Q72">
        <f t="shared" si="1"/>
        <v>5.0925999999999999E-2</v>
      </c>
      <c r="R72">
        <v>43252</v>
      </c>
      <c r="S72" t="s">
        <v>122</v>
      </c>
    </row>
    <row r="73" spans="1:19">
      <c r="A73">
        <v>60000072</v>
      </c>
      <c r="B73">
        <v>34</v>
      </c>
      <c r="C73" t="s">
        <v>18</v>
      </c>
      <c r="D73" t="s">
        <v>19</v>
      </c>
      <c r="E73" t="s">
        <v>56</v>
      </c>
      <c r="F73" t="s">
        <v>21</v>
      </c>
      <c r="G73" s="23">
        <v>0.2</v>
      </c>
      <c r="H73" t="s">
        <v>29</v>
      </c>
      <c r="I73" t="s">
        <v>30</v>
      </c>
      <c r="J73" t="s">
        <v>78</v>
      </c>
      <c r="K73" t="s">
        <v>71</v>
      </c>
      <c r="L73" t="s">
        <v>26</v>
      </c>
      <c r="M73" t="s">
        <v>27</v>
      </c>
      <c r="N73" t="s">
        <v>28</v>
      </c>
      <c r="O73">
        <v>0</v>
      </c>
      <c r="P73">
        <v>65453</v>
      </c>
      <c r="Q73">
        <f t="shared" si="1"/>
        <v>6.5452999999999997E-2</v>
      </c>
      <c r="R73">
        <v>43252</v>
      </c>
      <c r="S73" t="s">
        <v>122</v>
      </c>
    </row>
    <row r="74" spans="1:19">
      <c r="A74">
        <v>60000073</v>
      </c>
      <c r="B74">
        <v>26</v>
      </c>
      <c r="C74" t="s">
        <v>33</v>
      </c>
      <c r="D74" t="s">
        <v>40</v>
      </c>
      <c r="E74" t="s">
        <v>52</v>
      </c>
      <c r="F74" t="s">
        <v>21</v>
      </c>
      <c r="G74" s="23">
        <v>0.15</v>
      </c>
      <c r="H74" t="s">
        <v>22</v>
      </c>
      <c r="I74" t="s">
        <v>80</v>
      </c>
      <c r="J74" t="s">
        <v>78</v>
      </c>
      <c r="K74" t="s">
        <v>109</v>
      </c>
      <c r="L74" t="s">
        <v>26</v>
      </c>
      <c r="M74" t="s">
        <v>27</v>
      </c>
      <c r="N74" t="s">
        <v>28</v>
      </c>
      <c r="O74">
        <v>4</v>
      </c>
      <c r="P74">
        <v>60126</v>
      </c>
      <c r="Q74">
        <f t="shared" si="1"/>
        <v>6.0125999999999999E-2</v>
      </c>
      <c r="R74">
        <v>43252</v>
      </c>
      <c r="S74" t="s">
        <v>122</v>
      </c>
    </row>
    <row r="75" spans="1:19">
      <c r="A75">
        <v>60000074</v>
      </c>
      <c r="B75">
        <v>40</v>
      </c>
      <c r="C75" t="s">
        <v>18</v>
      </c>
      <c r="D75" t="s">
        <v>19</v>
      </c>
      <c r="E75" t="s">
        <v>64</v>
      </c>
      <c r="F75" t="s">
        <v>21</v>
      </c>
      <c r="G75" s="23">
        <v>0.13</v>
      </c>
      <c r="H75" t="s">
        <v>22</v>
      </c>
      <c r="I75" t="s">
        <v>80</v>
      </c>
      <c r="J75" t="s">
        <v>31</v>
      </c>
      <c r="K75" t="s">
        <v>94</v>
      </c>
      <c r="L75" t="s">
        <v>26</v>
      </c>
      <c r="M75" t="s">
        <v>27</v>
      </c>
      <c r="N75" t="s">
        <v>28</v>
      </c>
      <c r="O75">
        <v>0</v>
      </c>
      <c r="P75">
        <v>23711</v>
      </c>
      <c r="Q75">
        <f t="shared" si="1"/>
        <v>2.3710999999999999E-2</v>
      </c>
      <c r="R75">
        <v>43252</v>
      </c>
      <c r="S75" t="s">
        <v>122</v>
      </c>
    </row>
    <row r="76" spans="1:19">
      <c r="A76">
        <v>60000075</v>
      </c>
      <c r="B76">
        <v>57</v>
      </c>
      <c r="C76" t="s">
        <v>33</v>
      </c>
      <c r="D76" t="s">
        <v>19</v>
      </c>
      <c r="E76" t="s">
        <v>72</v>
      </c>
      <c r="F76" t="s">
        <v>21</v>
      </c>
      <c r="G76" s="23">
        <v>0.33</v>
      </c>
      <c r="H76" t="s">
        <v>42</v>
      </c>
      <c r="I76" t="s">
        <v>62</v>
      </c>
      <c r="J76" t="s">
        <v>66</v>
      </c>
      <c r="K76" t="s">
        <v>118</v>
      </c>
      <c r="L76" t="s">
        <v>26</v>
      </c>
      <c r="M76" t="s">
        <v>27</v>
      </c>
      <c r="N76" t="s">
        <v>28</v>
      </c>
      <c r="O76">
        <v>0</v>
      </c>
      <c r="P76">
        <v>77308</v>
      </c>
      <c r="Q76">
        <f t="shared" si="1"/>
        <v>7.7308000000000002E-2</v>
      </c>
      <c r="R76">
        <v>43252</v>
      </c>
      <c r="S76" t="s">
        <v>122</v>
      </c>
    </row>
    <row r="77" spans="1:19">
      <c r="A77">
        <v>60000076</v>
      </c>
      <c r="B77">
        <v>21</v>
      </c>
      <c r="C77" t="s">
        <v>18</v>
      </c>
      <c r="D77" t="s">
        <v>40</v>
      </c>
      <c r="E77" t="s">
        <v>41</v>
      </c>
      <c r="F77" t="s">
        <v>21</v>
      </c>
      <c r="G77" s="23">
        <v>0.1</v>
      </c>
      <c r="H77" t="s">
        <v>36</v>
      </c>
      <c r="I77" t="s">
        <v>62</v>
      </c>
      <c r="J77" t="s">
        <v>91</v>
      </c>
      <c r="K77" t="s">
        <v>55</v>
      </c>
      <c r="L77" t="s">
        <v>26</v>
      </c>
      <c r="M77" t="s">
        <v>27</v>
      </c>
      <c r="N77" t="s">
        <v>28</v>
      </c>
      <c r="O77">
        <v>0</v>
      </c>
      <c r="P77">
        <v>34801</v>
      </c>
      <c r="Q77">
        <f t="shared" si="1"/>
        <v>3.4800999999999999E-2</v>
      </c>
      <c r="R77">
        <v>43252</v>
      </c>
      <c r="S77" t="s">
        <v>122</v>
      </c>
    </row>
    <row r="78" spans="1:19">
      <c r="A78">
        <v>60000077</v>
      </c>
      <c r="B78">
        <v>27</v>
      </c>
      <c r="C78" t="s">
        <v>33</v>
      </c>
      <c r="D78" t="s">
        <v>40</v>
      </c>
      <c r="E78" t="s">
        <v>52</v>
      </c>
      <c r="F78" t="s">
        <v>21</v>
      </c>
      <c r="G78" s="23">
        <v>0.16</v>
      </c>
      <c r="H78" t="s">
        <v>22</v>
      </c>
      <c r="I78" t="s">
        <v>37</v>
      </c>
      <c r="J78" t="s">
        <v>91</v>
      </c>
      <c r="K78" t="s">
        <v>60</v>
      </c>
      <c r="L78" t="s">
        <v>26</v>
      </c>
      <c r="M78" t="s">
        <v>27</v>
      </c>
      <c r="N78" t="s">
        <v>28</v>
      </c>
      <c r="O78">
        <v>2</v>
      </c>
      <c r="P78">
        <v>79253</v>
      </c>
      <c r="Q78">
        <f t="shared" si="1"/>
        <v>7.9253000000000004E-2</v>
      </c>
      <c r="R78">
        <v>43252</v>
      </c>
      <c r="S78" t="s">
        <v>122</v>
      </c>
    </row>
    <row r="79" spans="1:19">
      <c r="A79">
        <v>60000078</v>
      </c>
      <c r="B79">
        <v>59</v>
      </c>
      <c r="C79" t="s">
        <v>33</v>
      </c>
      <c r="D79" t="s">
        <v>40</v>
      </c>
      <c r="E79" t="s">
        <v>34</v>
      </c>
      <c r="F79" t="s">
        <v>21</v>
      </c>
      <c r="G79" s="23">
        <v>0.38</v>
      </c>
      <c r="H79" t="s">
        <v>42</v>
      </c>
      <c r="I79" t="s">
        <v>76</v>
      </c>
      <c r="J79" t="s">
        <v>66</v>
      </c>
      <c r="K79" t="s">
        <v>81</v>
      </c>
      <c r="L79" t="s">
        <v>26</v>
      </c>
      <c r="M79" t="s">
        <v>27</v>
      </c>
      <c r="N79" t="s">
        <v>28</v>
      </c>
      <c r="O79">
        <v>0</v>
      </c>
      <c r="P79">
        <v>74467</v>
      </c>
      <c r="Q79">
        <f t="shared" si="1"/>
        <v>7.4467000000000005E-2</v>
      </c>
      <c r="R79">
        <v>43252</v>
      </c>
      <c r="S79" t="s">
        <v>122</v>
      </c>
    </row>
    <row r="80" spans="1:19">
      <c r="A80">
        <v>60000079</v>
      </c>
      <c r="B80">
        <v>50</v>
      </c>
      <c r="C80" t="s">
        <v>33</v>
      </c>
      <c r="D80" t="s">
        <v>40</v>
      </c>
      <c r="E80" t="s">
        <v>72</v>
      </c>
      <c r="F80" t="s">
        <v>21</v>
      </c>
      <c r="G80" s="23">
        <v>0.31</v>
      </c>
      <c r="H80" t="s">
        <v>53</v>
      </c>
      <c r="I80" t="s">
        <v>73</v>
      </c>
      <c r="J80" t="s">
        <v>58</v>
      </c>
      <c r="K80" t="s">
        <v>25</v>
      </c>
      <c r="L80" t="s">
        <v>26</v>
      </c>
      <c r="M80" t="s">
        <v>27</v>
      </c>
      <c r="N80" t="s">
        <v>28</v>
      </c>
      <c r="O80">
        <v>0</v>
      </c>
      <c r="P80">
        <v>71270</v>
      </c>
      <c r="Q80">
        <f t="shared" si="1"/>
        <v>7.127E-2</v>
      </c>
      <c r="R80">
        <v>43252</v>
      </c>
      <c r="S80" t="s">
        <v>122</v>
      </c>
    </row>
    <row r="81" spans="1:19">
      <c r="A81">
        <v>60000080</v>
      </c>
      <c r="B81">
        <v>51</v>
      </c>
      <c r="C81" t="s">
        <v>33</v>
      </c>
      <c r="D81" t="s">
        <v>19</v>
      </c>
      <c r="E81" t="s">
        <v>85</v>
      </c>
      <c r="F81" t="s">
        <v>21</v>
      </c>
      <c r="G81" s="23">
        <v>0.35</v>
      </c>
      <c r="H81" t="s">
        <v>42</v>
      </c>
      <c r="I81" t="s">
        <v>60</v>
      </c>
      <c r="J81" t="s">
        <v>74</v>
      </c>
      <c r="K81" t="s">
        <v>84</v>
      </c>
      <c r="L81" t="s">
        <v>26</v>
      </c>
      <c r="M81" t="s">
        <v>27</v>
      </c>
      <c r="N81" t="s">
        <v>28</v>
      </c>
      <c r="O81">
        <v>0</v>
      </c>
      <c r="P81">
        <v>84560</v>
      </c>
      <c r="Q81">
        <f t="shared" si="1"/>
        <v>8.4559999999999996E-2</v>
      </c>
      <c r="R81">
        <v>43252</v>
      </c>
      <c r="S81" t="s">
        <v>122</v>
      </c>
    </row>
    <row r="82" spans="1:19">
      <c r="A82">
        <v>60000081</v>
      </c>
      <c r="B82">
        <v>44</v>
      </c>
      <c r="C82" t="s">
        <v>33</v>
      </c>
      <c r="D82" t="s">
        <v>19</v>
      </c>
      <c r="E82" t="s">
        <v>44</v>
      </c>
      <c r="F82" t="s">
        <v>21</v>
      </c>
      <c r="G82" s="23">
        <v>0.19</v>
      </c>
      <c r="H82" t="s">
        <v>29</v>
      </c>
      <c r="I82" t="s">
        <v>49</v>
      </c>
      <c r="J82" t="s">
        <v>61</v>
      </c>
      <c r="K82" t="s">
        <v>96</v>
      </c>
      <c r="L82" t="s">
        <v>26</v>
      </c>
      <c r="M82" t="s">
        <v>27</v>
      </c>
      <c r="N82" t="s">
        <v>28</v>
      </c>
      <c r="O82">
        <v>0</v>
      </c>
      <c r="P82">
        <v>67808</v>
      </c>
      <c r="Q82">
        <f t="shared" si="1"/>
        <v>6.7807999999999993E-2</v>
      </c>
      <c r="R82">
        <v>43252</v>
      </c>
      <c r="S82" t="s">
        <v>122</v>
      </c>
    </row>
    <row r="83" spans="1:19">
      <c r="A83">
        <v>60000082</v>
      </c>
      <c r="B83">
        <v>22</v>
      </c>
      <c r="C83" t="s">
        <v>18</v>
      </c>
      <c r="D83" t="s">
        <v>40</v>
      </c>
      <c r="E83" t="s">
        <v>41</v>
      </c>
      <c r="F83" t="s">
        <v>21</v>
      </c>
      <c r="G83" s="23">
        <v>0.13</v>
      </c>
      <c r="H83" t="s">
        <v>22</v>
      </c>
      <c r="I83" t="s">
        <v>23</v>
      </c>
      <c r="J83" t="s">
        <v>46</v>
      </c>
      <c r="K83" t="s">
        <v>95</v>
      </c>
      <c r="L83" t="s">
        <v>26</v>
      </c>
      <c r="M83" t="s">
        <v>27</v>
      </c>
      <c r="N83" t="s">
        <v>28</v>
      </c>
      <c r="O83">
        <v>0</v>
      </c>
      <c r="P83">
        <v>35771</v>
      </c>
      <c r="Q83">
        <f t="shared" si="1"/>
        <v>3.5770999999999997E-2</v>
      </c>
      <c r="R83">
        <v>43252</v>
      </c>
      <c r="S83" t="s">
        <v>122</v>
      </c>
    </row>
    <row r="84" spans="1:19">
      <c r="A84">
        <v>60000083</v>
      </c>
      <c r="B84">
        <v>30</v>
      </c>
      <c r="C84" t="s">
        <v>18</v>
      </c>
      <c r="D84" t="s">
        <v>40</v>
      </c>
      <c r="E84" t="s">
        <v>34</v>
      </c>
      <c r="F84" t="s">
        <v>21</v>
      </c>
      <c r="G84" s="23">
        <v>0.17</v>
      </c>
      <c r="H84" t="s">
        <v>22</v>
      </c>
      <c r="I84" t="s">
        <v>49</v>
      </c>
      <c r="J84" t="s">
        <v>38</v>
      </c>
      <c r="K84" t="s">
        <v>97</v>
      </c>
      <c r="L84" t="s">
        <v>26</v>
      </c>
      <c r="M84" t="s">
        <v>27</v>
      </c>
      <c r="N84" t="s">
        <v>28</v>
      </c>
      <c r="O84">
        <v>0</v>
      </c>
      <c r="P84">
        <v>28257</v>
      </c>
      <c r="Q84">
        <f t="shared" si="1"/>
        <v>2.8257000000000001E-2</v>
      </c>
      <c r="R84">
        <v>43252</v>
      </c>
      <c r="S84" t="s">
        <v>122</v>
      </c>
    </row>
    <row r="85" spans="1:19">
      <c r="A85">
        <v>60000084</v>
      </c>
      <c r="B85">
        <v>52</v>
      </c>
      <c r="C85" t="s">
        <v>33</v>
      </c>
      <c r="D85" t="s">
        <v>19</v>
      </c>
      <c r="E85" t="s">
        <v>64</v>
      </c>
      <c r="F85" t="s">
        <v>21</v>
      </c>
      <c r="G85" s="23">
        <v>0.12</v>
      </c>
      <c r="H85" t="s">
        <v>22</v>
      </c>
      <c r="I85" t="s">
        <v>45</v>
      </c>
      <c r="J85" t="s">
        <v>46</v>
      </c>
      <c r="K85" t="s">
        <v>79</v>
      </c>
      <c r="L85" t="s">
        <v>26</v>
      </c>
      <c r="M85" t="s">
        <v>27</v>
      </c>
      <c r="N85" t="s">
        <v>28</v>
      </c>
      <c r="O85">
        <v>0</v>
      </c>
      <c r="P85">
        <v>65096</v>
      </c>
      <c r="Q85">
        <f t="shared" si="1"/>
        <v>6.5096000000000001E-2</v>
      </c>
      <c r="R85">
        <v>43252</v>
      </c>
      <c r="S85" t="s">
        <v>122</v>
      </c>
    </row>
    <row r="86" spans="1:19">
      <c r="A86">
        <v>60000085</v>
      </c>
      <c r="B86">
        <v>51</v>
      </c>
      <c r="C86" t="s">
        <v>33</v>
      </c>
      <c r="D86" t="s">
        <v>40</v>
      </c>
      <c r="E86" t="s">
        <v>75</v>
      </c>
      <c r="F86" t="s">
        <v>21</v>
      </c>
      <c r="G86" s="23">
        <v>0.27</v>
      </c>
      <c r="H86" t="s">
        <v>53</v>
      </c>
      <c r="I86" t="s">
        <v>60</v>
      </c>
      <c r="J86" t="s">
        <v>74</v>
      </c>
      <c r="K86" t="s">
        <v>105</v>
      </c>
      <c r="L86" t="s">
        <v>26</v>
      </c>
      <c r="M86" t="s">
        <v>27</v>
      </c>
      <c r="N86" t="s">
        <v>28</v>
      </c>
      <c r="O86">
        <v>0</v>
      </c>
      <c r="P86">
        <v>46817</v>
      </c>
      <c r="Q86">
        <f t="shared" si="1"/>
        <v>4.6816999999999998E-2</v>
      </c>
      <c r="R86">
        <v>43252</v>
      </c>
      <c r="S86" t="s">
        <v>122</v>
      </c>
    </row>
    <row r="87" spans="1:19">
      <c r="A87">
        <v>60000086</v>
      </c>
      <c r="B87">
        <v>60</v>
      </c>
      <c r="C87" t="s">
        <v>33</v>
      </c>
      <c r="D87" t="s">
        <v>19</v>
      </c>
      <c r="E87" t="s">
        <v>75</v>
      </c>
      <c r="F87" t="s">
        <v>21</v>
      </c>
      <c r="G87" s="23">
        <v>0.17</v>
      </c>
      <c r="H87" t="s">
        <v>22</v>
      </c>
      <c r="I87" t="s">
        <v>68</v>
      </c>
      <c r="J87" t="s">
        <v>31</v>
      </c>
      <c r="K87" t="s">
        <v>115</v>
      </c>
      <c r="L87" t="s">
        <v>26</v>
      </c>
      <c r="M87" t="s">
        <v>27</v>
      </c>
      <c r="N87" t="s">
        <v>28</v>
      </c>
      <c r="O87">
        <v>3</v>
      </c>
      <c r="P87">
        <v>70068</v>
      </c>
      <c r="Q87">
        <f t="shared" si="1"/>
        <v>7.0068000000000005E-2</v>
      </c>
      <c r="R87">
        <v>43252</v>
      </c>
      <c r="S87" t="s">
        <v>122</v>
      </c>
    </row>
    <row r="88" spans="1:19">
      <c r="A88">
        <v>60000087</v>
      </c>
      <c r="B88">
        <v>40</v>
      </c>
      <c r="C88" t="s">
        <v>18</v>
      </c>
      <c r="D88" t="s">
        <v>40</v>
      </c>
      <c r="E88" t="s">
        <v>52</v>
      </c>
      <c r="F88" t="s">
        <v>21</v>
      </c>
      <c r="G88" s="23">
        <v>0.26</v>
      </c>
      <c r="H88" t="s">
        <v>53</v>
      </c>
      <c r="I88" t="s">
        <v>60</v>
      </c>
      <c r="J88" t="s">
        <v>69</v>
      </c>
      <c r="K88" t="s">
        <v>109</v>
      </c>
      <c r="L88" t="s">
        <v>26</v>
      </c>
      <c r="M88" t="s">
        <v>27</v>
      </c>
      <c r="N88" t="s">
        <v>28</v>
      </c>
      <c r="O88">
        <v>0</v>
      </c>
      <c r="P88">
        <v>64035</v>
      </c>
      <c r="Q88">
        <f t="shared" si="1"/>
        <v>6.4034999999999995E-2</v>
      </c>
      <c r="R88">
        <v>43252</v>
      </c>
      <c r="S88" t="s">
        <v>122</v>
      </c>
    </row>
    <row r="89" spans="1:19">
      <c r="A89">
        <v>60000088</v>
      </c>
      <c r="B89">
        <v>48</v>
      </c>
      <c r="C89" t="s">
        <v>18</v>
      </c>
      <c r="D89" t="s">
        <v>40</v>
      </c>
      <c r="E89" t="s">
        <v>44</v>
      </c>
      <c r="F89" t="s">
        <v>21</v>
      </c>
      <c r="G89" s="23">
        <v>0.26</v>
      </c>
      <c r="H89" t="s">
        <v>53</v>
      </c>
      <c r="I89" t="s">
        <v>73</v>
      </c>
      <c r="J89" t="s">
        <v>66</v>
      </c>
      <c r="K89" t="s">
        <v>77</v>
      </c>
      <c r="L89" t="s">
        <v>26</v>
      </c>
      <c r="M89" t="s">
        <v>27</v>
      </c>
      <c r="N89" t="s">
        <v>28</v>
      </c>
      <c r="O89">
        <v>0</v>
      </c>
      <c r="P89">
        <v>59746</v>
      </c>
      <c r="Q89">
        <f t="shared" si="1"/>
        <v>5.9746E-2</v>
      </c>
      <c r="R89">
        <v>43252</v>
      </c>
      <c r="S89" t="s">
        <v>122</v>
      </c>
    </row>
    <row r="90" spans="1:19">
      <c r="A90">
        <v>60000089</v>
      </c>
      <c r="B90">
        <v>32</v>
      </c>
      <c r="C90" t="s">
        <v>18</v>
      </c>
      <c r="D90" t="s">
        <v>40</v>
      </c>
      <c r="E90" t="s">
        <v>75</v>
      </c>
      <c r="F90" t="s">
        <v>21</v>
      </c>
      <c r="G90" s="23">
        <v>0.38</v>
      </c>
      <c r="H90" t="s">
        <v>42</v>
      </c>
      <c r="I90" t="s">
        <v>49</v>
      </c>
      <c r="J90" t="s">
        <v>91</v>
      </c>
      <c r="K90" t="s">
        <v>118</v>
      </c>
      <c r="L90" t="s">
        <v>26</v>
      </c>
      <c r="M90" t="s">
        <v>27</v>
      </c>
      <c r="N90" t="s">
        <v>28</v>
      </c>
      <c r="O90">
        <v>0</v>
      </c>
      <c r="P90">
        <v>65443</v>
      </c>
      <c r="Q90">
        <f t="shared" si="1"/>
        <v>6.5443000000000001E-2</v>
      </c>
      <c r="R90">
        <v>43252</v>
      </c>
      <c r="S90" t="s">
        <v>122</v>
      </c>
    </row>
    <row r="91" spans="1:19">
      <c r="A91">
        <v>60000090</v>
      </c>
      <c r="B91">
        <v>65</v>
      </c>
      <c r="C91" t="s">
        <v>33</v>
      </c>
      <c r="D91" t="s">
        <v>19</v>
      </c>
      <c r="E91" t="s">
        <v>75</v>
      </c>
      <c r="F91" t="s">
        <v>21</v>
      </c>
      <c r="G91" s="23">
        <v>0.28999999999999998</v>
      </c>
      <c r="H91" t="s">
        <v>53</v>
      </c>
      <c r="I91" t="s">
        <v>37</v>
      </c>
      <c r="J91" t="s">
        <v>46</v>
      </c>
      <c r="K91" t="s">
        <v>99</v>
      </c>
      <c r="L91" t="s">
        <v>26</v>
      </c>
      <c r="M91" t="s">
        <v>27</v>
      </c>
      <c r="N91" t="s">
        <v>28</v>
      </c>
      <c r="O91">
        <v>7</v>
      </c>
      <c r="P91">
        <v>77471</v>
      </c>
      <c r="Q91">
        <f t="shared" si="1"/>
        <v>7.7470999999999998E-2</v>
      </c>
      <c r="R91">
        <v>43252</v>
      </c>
      <c r="S91" t="s">
        <v>122</v>
      </c>
    </row>
    <row r="92" spans="1:19">
      <c r="A92">
        <v>60000091</v>
      </c>
      <c r="B92">
        <v>62</v>
      </c>
      <c r="C92" t="s">
        <v>33</v>
      </c>
      <c r="D92" t="s">
        <v>19</v>
      </c>
      <c r="E92" t="s">
        <v>75</v>
      </c>
      <c r="F92" t="s">
        <v>21</v>
      </c>
      <c r="G92" s="23">
        <v>0.13</v>
      </c>
      <c r="H92" t="s">
        <v>22</v>
      </c>
      <c r="I92" t="s">
        <v>70</v>
      </c>
      <c r="J92" t="s">
        <v>88</v>
      </c>
      <c r="K92" t="s">
        <v>101</v>
      </c>
      <c r="L92" t="s">
        <v>26</v>
      </c>
      <c r="M92" t="s">
        <v>27</v>
      </c>
      <c r="N92" t="s">
        <v>28</v>
      </c>
      <c r="O92">
        <v>1</v>
      </c>
      <c r="P92">
        <v>62047</v>
      </c>
      <c r="Q92">
        <f t="shared" si="1"/>
        <v>6.2046999999999998E-2</v>
      </c>
      <c r="R92">
        <v>43252</v>
      </c>
      <c r="S92" t="s">
        <v>122</v>
      </c>
    </row>
    <row r="93" spans="1:19">
      <c r="A93">
        <v>60000092</v>
      </c>
      <c r="B93">
        <v>49</v>
      </c>
      <c r="C93" t="s">
        <v>18</v>
      </c>
      <c r="D93" t="s">
        <v>40</v>
      </c>
      <c r="E93" t="s">
        <v>64</v>
      </c>
      <c r="F93" t="s">
        <v>21</v>
      </c>
      <c r="G93" s="23">
        <v>0.35</v>
      </c>
      <c r="H93" t="s">
        <v>42</v>
      </c>
      <c r="I93" t="s">
        <v>68</v>
      </c>
      <c r="J93" t="s">
        <v>74</v>
      </c>
      <c r="K93" t="s">
        <v>60</v>
      </c>
      <c r="L93" t="s">
        <v>26</v>
      </c>
      <c r="M93" t="s">
        <v>27</v>
      </c>
      <c r="N93" t="s">
        <v>28</v>
      </c>
      <c r="O93">
        <v>3</v>
      </c>
      <c r="P93">
        <v>72608</v>
      </c>
      <c r="Q93">
        <f t="shared" si="1"/>
        <v>7.2608000000000006E-2</v>
      </c>
      <c r="R93">
        <v>43252</v>
      </c>
      <c r="S93" t="s">
        <v>122</v>
      </c>
    </row>
    <row r="94" spans="1:19">
      <c r="A94">
        <v>60000093</v>
      </c>
      <c r="B94">
        <v>33</v>
      </c>
      <c r="C94" t="s">
        <v>18</v>
      </c>
      <c r="D94" t="s">
        <v>19</v>
      </c>
      <c r="E94" t="s">
        <v>64</v>
      </c>
      <c r="F94" t="s">
        <v>21</v>
      </c>
      <c r="G94" s="23">
        <v>0.35</v>
      </c>
      <c r="H94" t="s">
        <v>42</v>
      </c>
      <c r="I94" t="s">
        <v>62</v>
      </c>
      <c r="J94" t="s">
        <v>38</v>
      </c>
      <c r="K94" t="s">
        <v>111</v>
      </c>
      <c r="L94" t="s">
        <v>26</v>
      </c>
      <c r="M94" t="s">
        <v>27</v>
      </c>
      <c r="N94" t="s">
        <v>28</v>
      </c>
      <c r="O94">
        <v>6</v>
      </c>
      <c r="P94">
        <v>33947</v>
      </c>
      <c r="Q94">
        <f t="shared" si="1"/>
        <v>3.3946999999999998E-2</v>
      </c>
      <c r="R94">
        <v>43252</v>
      </c>
      <c r="S94" t="s">
        <v>122</v>
      </c>
    </row>
    <row r="95" spans="1:19">
      <c r="A95">
        <v>60000094</v>
      </c>
      <c r="B95">
        <v>37</v>
      </c>
      <c r="C95" t="s">
        <v>18</v>
      </c>
      <c r="D95" t="s">
        <v>19</v>
      </c>
      <c r="E95" t="s">
        <v>85</v>
      </c>
      <c r="F95" t="s">
        <v>21</v>
      </c>
      <c r="G95" s="23">
        <v>0.25</v>
      </c>
      <c r="H95" t="s">
        <v>53</v>
      </c>
      <c r="I95" t="s">
        <v>60</v>
      </c>
      <c r="J95" t="s">
        <v>61</v>
      </c>
      <c r="K95" t="s">
        <v>113</v>
      </c>
      <c r="L95" t="s">
        <v>26</v>
      </c>
      <c r="M95" t="s">
        <v>27</v>
      </c>
      <c r="N95" t="s">
        <v>28</v>
      </c>
      <c r="O95">
        <v>6</v>
      </c>
      <c r="P95">
        <v>37975</v>
      </c>
      <c r="Q95">
        <f t="shared" si="1"/>
        <v>3.7975000000000002E-2</v>
      </c>
      <c r="R95">
        <v>43252</v>
      </c>
      <c r="S95" t="s">
        <v>122</v>
      </c>
    </row>
    <row r="96" spans="1:19">
      <c r="A96">
        <v>60000095</v>
      </c>
      <c r="B96">
        <v>23</v>
      </c>
      <c r="C96" t="s">
        <v>18</v>
      </c>
      <c r="D96" t="s">
        <v>19</v>
      </c>
      <c r="E96" t="s">
        <v>44</v>
      </c>
      <c r="F96" t="s">
        <v>21</v>
      </c>
      <c r="G96" s="23">
        <v>0.12</v>
      </c>
      <c r="H96" t="s">
        <v>22</v>
      </c>
      <c r="I96" t="s">
        <v>45</v>
      </c>
      <c r="J96" t="s">
        <v>74</v>
      </c>
      <c r="K96" t="s">
        <v>39</v>
      </c>
      <c r="L96" t="s">
        <v>26</v>
      </c>
      <c r="M96" t="s">
        <v>27</v>
      </c>
      <c r="N96" t="s">
        <v>28</v>
      </c>
      <c r="O96">
        <v>0</v>
      </c>
      <c r="P96">
        <v>29675</v>
      </c>
      <c r="Q96">
        <f t="shared" si="1"/>
        <v>2.9675E-2</v>
      </c>
      <c r="R96">
        <v>43252</v>
      </c>
      <c r="S96" t="s">
        <v>122</v>
      </c>
    </row>
    <row r="97" spans="1:19">
      <c r="A97">
        <v>60000096</v>
      </c>
      <c r="B97">
        <v>40</v>
      </c>
      <c r="C97" t="s">
        <v>33</v>
      </c>
      <c r="D97" t="s">
        <v>40</v>
      </c>
      <c r="E97" t="s">
        <v>20</v>
      </c>
      <c r="F97" t="s">
        <v>21</v>
      </c>
      <c r="G97" s="23">
        <v>0.31</v>
      </c>
      <c r="H97" t="s">
        <v>53</v>
      </c>
      <c r="I97" t="s">
        <v>68</v>
      </c>
      <c r="J97" t="s">
        <v>58</v>
      </c>
      <c r="K97" t="s">
        <v>25</v>
      </c>
      <c r="L97" t="s">
        <v>26</v>
      </c>
      <c r="M97" t="s">
        <v>27</v>
      </c>
      <c r="N97" t="s">
        <v>28</v>
      </c>
      <c r="O97">
        <v>0</v>
      </c>
      <c r="P97">
        <v>51903</v>
      </c>
      <c r="Q97">
        <f t="shared" si="1"/>
        <v>5.1902999999999998E-2</v>
      </c>
      <c r="R97">
        <v>43252</v>
      </c>
      <c r="S97" t="s">
        <v>122</v>
      </c>
    </row>
    <row r="98" spans="1:19">
      <c r="A98">
        <v>60000097</v>
      </c>
      <c r="B98">
        <v>40</v>
      </c>
      <c r="C98" t="s">
        <v>33</v>
      </c>
      <c r="D98" t="s">
        <v>40</v>
      </c>
      <c r="E98" t="s">
        <v>34</v>
      </c>
      <c r="F98" t="s">
        <v>21</v>
      </c>
      <c r="G98" s="23">
        <v>0.19</v>
      </c>
      <c r="H98" t="s">
        <v>29</v>
      </c>
      <c r="I98" t="s">
        <v>83</v>
      </c>
      <c r="J98" t="s">
        <v>88</v>
      </c>
      <c r="K98" t="s">
        <v>103</v>
      </c>
      <c r="L98" t="s">
        <v>26</v>
      </c>
      <c r="M98" t="s">
        <v>27</v>
      </c>
      <c r="N98" t="s">
        <v>28</v>
      </c>
      <c r="O98">
        <v>0</v>
      </c>
      <c r="P98">
        <v>75407</v>
      </c>
      <c r="Q98">
        <f t="shared" si="1"/>
        <v>7.5407000000000002E-2</v>
      </c>
      <c r="R98">
        <v>43252</v>
      </c>
      <c r="S98" t="s">
        <v>122</v>
      </c>
    </row>
    <row r="99" spans="1:19">
      <c r="A99">
        <v>60000098</v>
      </c>
      <c r="B99">
        <v>62</v>
      </c>
      <c r="C99" t="s">
        <v>33</v>
      </c>
      <c r="D99" t="s">
        <v>40</v>
      </c>
      <c r="E99" t="s">
        <v>72</v>
      </c>
      <c r="F99" t="s">
        <v>21</v>
      </c>
      <c r="G99" s="23">
        <v>0.35</v>
      </c>
      <c r="H99" t="s">
        <v>42</v>
      </c>
      <c r="I99" t="s">
        <v>37</v>
      </c>
      <c r="J99" t="s">
        <v>78</v>
      </c>
      <c r="K99" t="s">
        <v>99</v>
      </c>
      <c r="L99" t="s">
        <v>26</v>
      </c>
      <c r="M99" t="s">
        <v>27</v>
      </c>
      <c r="N99" t="s">
        <v>28</v>
      </c>
      <c r="O99">
        <v>0</v>
      </c>
      <c r="P99">
        <v>53325</v>
      </c>
      <c r="Q99">
        <f t="shared" si="1"/>
        <v>5.3324999999999997E-2</v>
      </c>
      <c r="R99">
        <v>43252</v>
      </c>
      <c r="S99" t="s">
        <v>122</v>
      </c>
    </row>
    <row r="100" spans="1:19">
      <c r="A100">
        <v>60000099</v>
      </c>
      <c r="B100">
        <v>45</v>
      </c>
      <c r="C100" t="s">
        <v>18</v>
      </c>
      <c r="D100" t="s">
        <v>19</v>
      </c>
      <c r="E100" t="s">
        <v>34</v>
      </c>
      <c r="F100" t="s">
        <v>21</v>
      </c>
      <c r="G100" s="23">
        <v>0.36</v>
      </c>
      <c r="H100" t="s">
        <v>42</v>
      </c>
      <c r="I100" t="s">
        <v>68</v>
      </c>
      <c r="J100" t="s">
        <v>74</v>
      </c>
      <c r="K100" t="s">
        <v>92</v>
      </c>
      <c r="L100" t="s">
        <v>26</v>
      </c>
      <c r="M100" t="s">
        <v>27</v>
      </c>
      <c r="N100" t="s">
        <v>28</v>
      </c>
      <c r="O100">
        <v>7</v>
      </c>
      <c r="P100">
        <v>67527</v>
      </c>
      <c r="Q100">
        <f t="shared" si="1"/>
        <v>6.7527000000000004E-2</v>
      </c>
      <c r="R100">
        <v>43252</v>
      </c>
      <c r="S100" t="s">
        <v>122</v>
      </c>
    </row>
    <row r="101" spans="1:19">
      <c r="A101">
        <v>60000100</v>
      </c>
      <c r="B101">
        <v>58</v>
      </c>
      <c r="C101" t="s">
        <v>33</v>
      </c>
      <c r="D101" t="s">
        <v>40</v>
      </c>
      <c r="E101" t="s">
        <v>85</v>
      </c>
      <c r="F101" t="s">
        <v>21</v>
      </c>
      <c r="G101" s="23">
        <v>0.17</v>
      </c>
      <c r="H101" t="s">
        <v>22</v>
      </c>
      <c r="I101" t="s">
        <v>83</v>
      </c>
      <c r="J101" t="s">
        <v>38</v>
      </c>
      <c r="K101" t="s">
        <v>84</v>
      </c>
      <c r="L101" t="s">
        <v>26</v>
      </c>
      <c r="M101" t="s">
        <v>27</v>
      </c>
      <c r="N101" t="s">
        <v>28</v>
      </c>
      <c r="O101">
        <v>5</v>
      </c>
      <c r="P101">
        <v>41676</v>
      </c>
      <c r="Q101">
        <f t="shared" si="1"/>
        <v>4.1675999999999998E-2</v>
      </c>
      <c r="R101">
        <v>43252</v>
      </c>
      <c r="S101" t="s">
        <v>122</v>
      </c>
    </row>
    <row r="102" spans="1:19">
      <c r="A102">
        <v>60000101</v>
      </c>
      <c r="B102">
        <v>28</v>
      </c>
      <c r="C102" t="s">
        <v>33</v>
      </c>
      <c r="D102" t="s">
        <v>19</v>
      </c>
      <c r="E102" t="s">
        <v>67</v>
      </c>
      <c r="F102" t="s">
        <v>21</v>
      </c>
      <c r="G102" s="23">
        <v>0.27</v>
      </c>
      <c r="H102" t="s">
        <v>53</v>
      </c>
      <c r="I102" t="s">
        <v>57</v>
      </c>
      <c r="J102" t="s">
        <v>58</v>
      </c>
      <c r="K102" t="s">
        <v>113</v>
      </c>
      <c r="L102" t="s">
        <v>26</v>
      </c>
      <c r="M102" t="s">
        <v>27</v>
      </c>
      <c r="N102" t="s">
        <v>28</v>
      </c>
      <c r="O102">
        <v>0</v>
      </c>
      <c r="P102">
        <v>83260</v>
      </c>
      <c r="Q102">
        <f t="shared" si="1"/>
        <v>8.3260000000000001E-2</v>
      </c>
      <c r="R102">
        <v>43252</v>
      </c>
      <c r="S102" t="s">
        <v>122</v>
      </c>
    </row>
    <row r="103" spans="1:19">
      <c r="A103">
        <v>60000102</v>
      </c>
      <c r="B103">
        <v>49</v>
      </c>
      <c r="C103" t="s">
        <v>33</v>
      </c>
      <c r="D103" t="s">
        <v>40</v>
      </c>
      <c r="E103" t="s">
        <v>64</v>
      </c>
      <c r="F103" t="s">
        <v>21</v>
      </c>
      <c r="G103" s="23">
        <v>0.28999999999999998</v>
      </c>
      <c r="H103" t="s">
        <v>53</v>
      </c>
      <c r="I103" t="s">
        <v>45</v>
      </c>
      <c r="J103" t="s">
        <v>69</v>
      </c>
      <c r="K103" t="s">
        <v>89</v>
      </c>
      <c r="L103" t="s">
        <v>26</v>
      </c>
      <c r="M103" t="s">
        <v>27</v>
      </c>
      <c r="N103" t="s">
        <v>28</v>
      </c>
      <c r="O103">
        <v>0</v>
      </c>
      <c r="P103">
        <v>42293</v>
      </c>
      <c r="Q103">
        <f t="shared" si="1"/>
        <v>4.2292999999999997E-2</v>
      </c>
      <c r="R103">
        <v>43252</v>
      </c>
      <c r="S103" t="s">
        <v>122</v>
      </c>
    </row>
    <row r="104" spans="1:19">
      <c r="A104">
        <v>60000103</v>
      </c>
      <c r="B104">
        <v>41</v>
      </c>
      <c r="C104" t="s">
        <v>33</v>
      </c>
      <c r="D104" t="s">
        <v>40</v>
      </c>
      <c r="E104" t="s">
        <v>67</v>
      </c>
      <c r="F104" t="s">
        <v>21</v>
      </c>
      <c r="G104" s="23">
        <v>0.23</v>
      </c>
      <c r="H104" t="s">
        <v>29</v>
      </c>
      <c r="I104" t="s">
        <v>30</v>
      </c>
      <c r="J104" t="s">
        <v>38</v>
      </c>
      <c r="K104" t="s">
        <v>39</v>
      </c>
      <c r="L104" t="s">
        <v>26</v>
      </c>
      <c r="M104" t="s">
        <v>27</v>
      </c>
      <c r="N104" t="s">
        <v>28</v>
      </c>
      <c r="O104">
        <v>4</v>
      </c>
      <c r="P104">
        <v>31530</v>
      </c>
      <c r="Q104">
        <f t="shared" si="1"/>
        <v>3.1530000000000002E-2</v>
      </c>
      <c r="R104">
        <v>43252</v>
      </c>
      <c r="S104" t="s">
        <v>122</v>
      </c>
    </row>
    <row r="105" spans="1:19">
      <c r="A105">
        <v>60000104</v>
      </c>
      <c r="B105">
        <v>57</v>
      </c>
      <c r="C105" t="s">
        <v>18</v>
      </c>
      <c r="D105" t="s">
        <v>19</v>
      </c>
      <c r="E105" t="s">
        <v>52</v>
      </c>
      <c r="F105" t="s">
        <v>21</v>
      </c>
      <c r="G105" s="23">
        <v>0.21</v>
      </c>
      <c r="H105" t="s">
        <v>29</v>
      </c>
      <c r="I105" t="s">
        <v>57</v>
      </c>
      <c r="J105" t="s">
        <v>58</v>
      </c>
      <c r="K105" t="s">
        <v>109</v>
      </c>
      <c r="L105" t="s">
        <v>26</v>
      </c>
      <c r="M105" t="s">
        <v>27</v>
      </c>
      <c r="N105" t="s">
        <v>28</v>
      </c>
      <c r="O105">
        <v>0</v>
      </c>
      <c r="P105">
        <v>80431</v>
      </c>
      <c r="Q105">
        <f t="shared" si="1"/>
        <v>8.0431000000000002E-2</v>
      </c>
      <c r="R105">
        <v>43252</v>
      </c>
      <c r="S105" t="s">
        <v>122</v>
      </c>
    </row>
    <row r="106" spans="1:19">
      <c r="A106">
        <v>60000105</v>
      </c>
      <c r="B106">
        <v>56</v>
      </c>
      <c r="C106" t="s">
        <v>18</v>
      </c>
      <c r="D106" t="s">
        <v>19</v>
      </c>
      <c r="E106" t="s">
        <v>44</v>
      </c>
      <c r="F106" t="s">
        <v>21</v>
      </c>
      <c r="G106" s="23">
        <v>0.36</v>
      </c>
      <c r="H106" t="s">
        <v>42</v>
      </c>
      <c r="I106" t="s">
        <v>70</v>
      </c>
      <c r="J106" t="s">
        <v>66</v>
      </c>
      <c r="K106" t="s">
        <v>106</v>
      </c>
      <c r="L106" t="s">
        <v>26</v>
      </c>
      <c r="M106" t="s">
        <v>27</v>
      </c>
      <c r="N106" t="s">
        <v>28</v>
      </c>
      <c r="O106">
        <v>2</v>
      </c>
      <c r="P106">
        <v>27023</v>
      </c>
      <c r="Q106">
        <f t="shared" si="1"/>
        <v>2.7022999999999998E-2</v>
      </c>
      <c r="R106">
        <v>43252</v>
      </c>
      <c r="S106" t="s">
        <v>122</v>
      </c>
    </row>
    <row r="107" spans="1:19">
      <c r="A107">
        <v>60000106</v>
      </c>
      <c r="B107">
        <v>34</v>
      </c>
      <c r="C107" t="s">
        <v>18</v>
      </c>
      <c r="D107" t="s">
        <v>19</v>
      </c>
      <c r="E107" t="s">
        <v>52</v>
      </c>
      <c r="F107" t="s">
        <v>21</v>
      </c>
      <c r="G107" s="23">
        <v>0.11</v>
      </c>
      <c r="H107" t="s">
        <v>36</v>
      </c>
      <c r="I107" t="s">
        <v>62</v>
      </c>
      <c r="J107" t="s">
        <v>74</v>
      </c>
      <c r="K107" t="s">
        <v>108</v>
      </c>
      <c r="L107" t="s">
        <v>26</v>
      </c>
      <c r="M107" t="s">
        <v>27</v>
      </c>
      <c r="N107" t="s">
        <v>28</v>
      </c>
      <c r="O107">
        <v>0</v>
      </c>
      <c r="P107">
        <v>30628</v>
      </c>
      <c r="Q107">
        <f t="shared" si="1"/>
        <v>3.0627999999999999E-2</v>
      </c>
      <c r="R107">
        <v>43252</v>
      </c>
      <c r="S107" t="s">
        <v>122</v>
      </c>
    </row>
    <row r="108" spans="1:19">
      <c r="A108">
        <v>60000107</v>
      </c>
      <c r="B108">
        <v>48</v>
      </c>
      <c r="C108" t="s">
        <v>33</v>
      </c>
      <c r="D108" t="s">
        <v>19</v>
      </c>
      <c r="E108" t="s">
        <v>34</v>
      </c>
      <c r="F108" t="s">
        <v>21</v>
      </c>
      <c r="G108" s="23">
        <v>0.11</v>
      </c>
      <c r="H108" t="s">
        <v>36</v>
      </c>
      <c r="I108" t="s">
        <v>80</v>
      </c>
      <c r="J108" t="s">
        <v>61</v>
      </c>
      <c r="K108" t="s">
        <v>90</v>
      </c>
      <c r="L108" t="s">
        <v>26</v>
      </c>
      <c r="M108" t="s">
        <v>27</v>
      </c>
      <c r="N108" t="s">
        <v>28</v>
      </c>
      <c r="O108">
        <v>7</v>
      </c>
      <c r="P108">
        <v>84173</v>
      </c>
      <c r="Q108">
        <f t="shared" si="1"/>
        <v>8.4172999999999998E-2</v>
      </c>
      <c r="R108">
        <v>43252</v>
      </c>
      <c r="S108" t="s">
        <v>122</v>
      </c>
    </row>
    <row r="109" spans="1:19">
      <c r="A109">
        <v>60000108</v>
      </c>
      <c r="B109">
        <v>63</v>
      </c>
      <c r="C109" t="s">
        <v>33</v>
      </c>
      <c r="D109" t="s">
        <v>19</v>
      </c>
      <c r="E109" t="s">
        <v>85</v>
      </c>
      <c r="F109" t="s">
        <v>21</v>
      </c>
      <c r="G109" s="23">
        <v>0.28000000000000003</v>
      </c>
      <c r="H109" t="s">
        <v>53</v>
      </c>
      <c r="I109" t="s">
        <v>45</v>
      </c>
      <c r="J109" t="s">
        <v>61</v>
      </c>
      <c r="K109" t="s">
        <v>102</v>
      </c>
      <c r="L109" t="s">
        <v>26</v>
      </c>
      <c r="M109" t="s">
        <v>27</v>
      </c>
      <c r="N109" t="s">
        <v>28</v>
      </c>
      <c r="O109">
        <v>4</v>
      </c>
      <c r="P109">
        <v>40057</v>
      </c>
      <c r="Q109">
        <f t="shared" si="1"/>
        <v>4.0057000000000002E-2</v>
      </c>
      <c r="R109">
        <v>43252</v>
      </c>
      <c r="S109" t="s">
        <v>122</v>
      </c>
    </row>
    <row r="110" spans="1:19">
      <c r="A110">
        <v>60000109</v>
      </c>
      <c r="B110">
        <v>20</v>
      </c>
      <c r="C110" t="s">
        <v>33</v>
      </c>
      <c r="D110" t="s">
        <v>40</v>
      </c>
      <c r="E110" t="s">
        <v>75</v>
      </c>
      <c r="F110" t="s">
        <v>21</v>
      </c>
      <c r="G110" s="23">
        <v>0.32</v>
      </c>
      <c r="H110" t="s">
        <v>42</v>
      </c>
      <c r="I110" t="s">
        <v>62</v>
      </c>
      <c r="J110" t="s">
        <v>88</v>
      </c>
      <c r="K110" t="s">
        <v>39</v>
      </c>
      <c r="L110" t="s">
        <v>26</v>
      </c>
      <c r="M110" t="s">
        <v>27</v>
      </c>
      <c r="N110" t="s">
        <v>28</v>
      </c>
      <c r="O110">
        <v>0</v>
      </c>
      <c r="P110">
        <v>31074</v>
      </c>
      <c r="Q110">
        <f t="shared" ref="Q110:Q173" si="2">+P110/1000000</f>
        <v>3.1074000000000001E-2</v>
      </c>
      <c r="R110">
        <v>43252</v>
      </c>
      <c r="S110" t="s">
        <v>122</v>
      </c>
    </row>
    <row r="111" spans="1:19">
      <c r="A111">
        <v>60000110</v>
      </c>
      <c r="B111">
        <v>50</v>
      </c>
      <c r="C111" t="s">
        <v>18</v>
      </c>
      <c r="D111" t="s">
        <v>40</v>
      </c>
      <c r="E111" t="s">
        <v>20</v>
      </c>
      <c r="F111" t="s">
        <v>21</v>
      </c>
      <c r="G111" s="23">
        <v>0.35</v>
      </c>
      <c r="H111" t="s">
        <v>42</v>
      </c>
      <c r="I111" t="s">
        <v>80</v>
      </c>
      <c r="J111" t="s">
        <v>91</v>
      </c>
      <c r="K111" t="s">
        <v>114</v>
      </c>
      <c r="L111" t="s">
        <v>26</v>
      </c>
      <c r="M111" t="s">
        <v>27</v>
      </c>
      <c r="N111" t="s">
        <v>28</v>
      </c>
      <c r="O111">
        <v>5</v>
      </c>
      <c r="P111">
        <v>40029</v>
      </c>
      <c r="Q111">
        <f t="shared" si="2"/>
        <v>4.0029000000000002E-2</v>
      </c>
      <c r="R111">
        <v>43252</v>
      </c>
      <c r="S111" t="s">
        <v>122</v>
      </c>
    </row>
    <row r="112" spans="1:19">
      <c r="A112">
        <v>60000111</v>
      </c>
      <c r="B112">
        <v>51</v>
      </c>
      <c r="C112" t="s">
        <v>18</v>
      </c>
      <c r="D112" t="s">
        <v>19</v>
      </c>
      <c r="E112" t="s">
        <v>56</v>
      </c>
      <c r="F112" t="s">
        <v>21</v>
      </c>
      <c r="G112" s="23">
        <v>0.22</v>
      </c>
      <c r="H112" t="s">
        <v>29</v>
      </c>
      <c r="I112" t="s">
        <v>76</v>
      </c>
      <c r="J112" t="s">
        <v>91</v>
      </c>
      <c r="K112" t="s">
        <v>62</v>
      </c>
      <c r="L112" t="s">
        <v>26</v>
      </c>
      <c r="M112" t="s">
        <v>27</v>
      </c>
      <c r="N112" t="s">
        <v>28</v>
      </c>
      <c r="O112">
        <v>0</v>
      </c>
      <c r="P112">
        <v>63650</v>
      </c>
      <c r="Q112">
        <f t="shared" si="2"/>
        <v>6.3649999999999998E-2</v>
      </c>
      <c r="R112">
        <v>43252</v>
      </c>
      <c r="S112" t="s">
        <v>122</v>
      </c>
    </row>
    <row r="113" spans="1:19">
      <c r="A113">
        <v>60000112</v>
      </c>
      <c r="B113">
        <v>63</v>
      </c>
      <c r="C113" t="s">
        <v>18</v>
      </c>
      <c r="D113" t="s">
        <v>40</v>
      </c>
      <c r="E113" t="s">
        <v>34</v>
      </c>
      <c r="F113" t="s">
        <v>21</v>
      </c>
      <c r="G113" s="23">
        <v>0.28000000000000003</v>
      </c>
      <c r="H113" t="s">
        <v>53</v>
      </c>
      <c r="I113" t="s">
        <v>60</v>
      </c>
      <c r="J113" t="s">
        <v>38</v>
      </c>
      <c r="K113" t="s">
        <v>84</v>
      </c>
      <c r="L113" t="s">
        <v>26</v>
      </c>
      <c r="M113" t="s">
        <v>27</v>
      </c>
      <c r="N113" t="s">
        <v>28</v>
      </c>
      <c r="O113">
        <v>0</v>
      </c>
      <c r="P113">
        <v>78866</v>
      </c>
      <c r="Q113">
        <f t="shared" si="2"/>
        <v>7.8866000000000006E-2</v>
      </c>
      <c r="R113">
        <v>43252</v>
      </c>
      <c r="S113" t="s">
        <v>122</v>
      </c>
    </row>
    <row r="114" spans="1:19">
      <c r="A114">
        <v>60000113</v>
      </c>
      <c r="B114">
        <v>53</v>
      </c>
      <c r="C114" t="s">
        <v>33</v>
      </c>
      <c r="D114" t="s">
        <v>40</v>
      </c>
      <c r="E114" t="s">
        <v>20</v>
      </c>
      <c r="F114" t="s">
        <v>21</v>
      </c>
      <c r="G114" s="23">
        <v>0.25</v>
      </c>
      <c r="H114" t="s">
        <v>53</v>
      </c>
      <c r="I114" t="s">
        <v>30</v>
      </c>
      <c r="J114" t="s">
        <v>88</v>
      </c>
      <c r="K114" t="s">
        <v>62</v>
      </c>
      <c r="L114" t="s">
        <v>26</v>
      </c>
      <c r="M114" t="s">
        <v>27</v>
      </c>
      <c r="N114" t="s">
        <v>28</v>
      </c>
      <c r="O114">
        <v>3</v>
      </c>
      <c r="P114">
        <v>51138</v>
      </c>
      <c r="Q114">
        <f t="shared" si="2"/>
        <v>5.1138000000000003E-2</v>
      </c>
      <c r="R114">
        <v>43252</v>
      </c>
      <c r="S114" t="s">
        <v>122</v>
      </c>
    </row>
    <row r="115" spans="1:19">
      <c r="A115">
        <v>60000114</v>
      </c>
      <c r="B115">
        <v>50</v>
      </c>
      <c r="C115" t="s">
        <v>33</v>
      </c>
      <c r="D115" t="s">
        <v>19</v>
      </c>
      <c r="E115" t="s">
        <v>75</v>
      </c>
      <c r="F115" t="s">
        <v>21</v>
      </c>
      <c r="G115" s="23">
        <v>0.19</v>
      </c>
      <c r="H115" t="s">
        <v>29</v>
      </c>
      <c r="I115" t="s">
        <v>70</v>
      </c>
      <c r="J115" t="s">
        <v>91</v>
      </c>
      <c r="K115" t="s">
        <v>117</v>
      </c>
      <c r="L115" t="s">
        <v>26</v>
      </c>
      <c r="M115" t="s">
        <v>27</v>
      </c>
      <c r="N115" t="s">
        <v>28</v>
      </c>
      <c r="O115">
        <v>6</v>
      </c>
      <c r="P115">
        <v>66491</v>
      </c>
      <c r="Q115">
        <f t="shared" si="2"/>
        <v>6.6490999999999995E-2</v>
      </c>
      <c r="R115">
        <v>43252</v>
      </c>
      <c r="S115" t="s">
        <v>122</v>
      </c>
    </row>
    <row r="116" spans="1:19">
      <c r="A116">
        <v>60000115</v>
      </c>
      <c r="B116">
        <v>31</v>
      </c>
      <c r="C116" t="s">
        <v>33</v>
      </c>
      <c r="D116" t="s">
        <v>19</v>
      </c>
      <c r="E116" t="s">
        <v>44</v>
      </c>
      <c r="F116" t="s">
        <v>21</v>
      </c>
      <c r="G116" s="23">
        <v>0.17</v>
      </c>
      <c r="H116" t="s">
        <v>22</v>
      </c>
      <c r="I116" t="s">
        <v>45</v>
      </c>
      <c r="J116" t="s">
        <v>88</v>
      </c>
      <c r="K116" t="s">
        <v>113</v>
      </c>
      <c r="L116" t="s">
        <v>26</v>
      </c>
      <c r="M116" t="s">
        <v>27</v>
      </c>
      <c r="N116" t="s">
        <v>28</v>
      </c>
      <c r="O116">
        <v>3</v>
      </c>
      <c r="P116">
        <v>48516</v>
      </c>
      <c r="Q116">
        <f t="shared" si="2"/>
        <v>4.8515999999999997E-2</v>
      </c>
      <c r="R116">
        <v>43252</v>
      </c>
      <c r="S116" t="s">
        <v>122</v>
      </c>
    </row>
    <row r="117" spans="1:19">
      <c r="A117">
        <v>60000116</v>
      </c>
      <c r="B117">
        <v>36</v>
      </c>
      <c r="C117" t="s">
        <v>18</v>
      </c>
      <c r="D117" t="s">
        <v>40</v>
      </c>
      <c r="E117" t="s">
        <v>72</v>
      </c>
      <c r="F117" t="s">
        <v>21</v>
      </c>
      <c r="G117" s="23">
        <v>0.23</v>
      </c>
      <c r="H117" t="s">
        <v>29</v>
      </c>
      <c r="I117" t="s">
        <v>80</v>
      </c>
      <c r="J117" t="s">
        <v>61</v>
      </c>
      <c r="K117" t="s">
        <v>97</v>
      </c>
      <c r="L117" t="s">
        <v>26</v>
      </c>
      <c r="M117" t="s">
        <v>27</v>
      </c>
      <c r="N117" t="s">
        <v>28</v>
      </c>
      <c r="O117">
        <v>0</v>
      </c>
      <c r="P117">
        <v>58625</v>
      </c>
      <c r="Q117">
        <f t="shared" si="2"/>
        <v>5.8624999999999997E-2</v>
      </c>
      <c r="R117">
        <v>43252</v>
      </c>
      <c r="S117" t="s">
        <v>122</v>
      </c>
    </row>
    <row r="118" spans="1:19">
      <c r="A118">
        <v>60000117</v>
      </c>
      <c r="B118">
        <v>38</v>
      </c>
      <c r="C118" t="s">
        <v>33</v>
      </c>
      <c r="D118" t="s">
        <v>19</v>
      </c>
      <c r="E118" t="s">
        <v>52</v>
      </c>
      <c r="F118" t="s">
        <v>21</v>
      </c>
      <c r="G118" s="23">
        <v>0.2</v>
      </c>
      <c r="H118" t="s">
        <v>29</v>
      </c>
      <c r="I118" t="s">
        <v>76</v>
      </c>
      <c r="J118" t="s">
        <v>54</v>
      </c>
      <c r="K118" t="s">
        <v>97</v>
      </c>
      <c r="L118" t="s">
        <v>26</v>
      </c>
      <c r="M118" t="s">
        <v>27</v>
      </c>
      <c r="N118" t="s">
        <v>28</v>
      </c>
      <c r="O118">
        <v>1</v>
      </c>
      <c r="P118">
        <v>35181</v>
      </c>
      <c r="Q118">
        <f t="shared" si="2"/>
        <v>3.5180999999999997E-2</v>
      </c>
      <c r="R118">
        <v>43252</v>
      </c>
      <c r="S118" t="s">
        <v>122</v>
      </c>
    </row>
    <row r="119" spans="1:19">
      <c r="A119">
        <v>60000118</v>
      </c>
      <c r="B119">
        <v>26</v>
      </c>
      <c r="C119" t="s">
        <v>18</v>
      </c>
      <c r="D119" t="s">
        <v>19</v>
      </c>
      <c r="E119" t="s">
        <v>64</v>
      </c>
      <c r="F119" t="s">
        <v>21</v>
      </c>
      <c r="G119" s="23">
        <v>0.28000000000000003</v>
      </c>
      <c r="H119" t="s">
        <v>53</v>
      </c>
      <c r="I119" t="s">
        <v>83</v>
      </c>
      <c r="J119" t="s">
        <v>66</v>
      </c>
      <c r="K119" t="s">
        <v>43</v>
      </c>
      <c r="L119" t="s">
        <v>26</v>
      </c>
      <c r="M119" t="s">
        <v>27</v>
      </c>
      <c r="N119" t="s">
        <v>28</v>
      </c>
      <c r="O119">
        <v>0</v>
      </c>
      <c r="P119">
        <v>30585</v>
      </c>
      <c r="Q119">
        <f t="shared" si="2"/>
        <v>3.0585000000000001E-2</v>
      </c>
      <c r="R119">
        <v>43252</v>
      </c>
      <c r="S119" t="s">
        <v>122</v>
      </c>
    </row>
    <row r="120" spans="1:19">
      <c r="A120">
        <v>60000119</v>
      </c>
      <c r="B120">
        <v>34</v>
      </c>
      <c r="C120" t="s">
        <v>18</v>
      </c>
      <c r="D120" t="s">
        <v>40</v>
      </c>
      <c r="E120" t="s">
        <v>48</v>
      </c>
      <c r="F120" t="s">
        <v>21</v>
      </c>
      <c r="G120" s="23">
        <v>0.37</v>
      </c>
      <c r="H120" t="s">
        <v>42</v>
      </c>
      <c r="I120" t="s">
        <v>23</v>
      </c>
      <c r="J120" t="s">
        <v>54</v>
      </c>
      <c r="K120" t="s">
        <v>104</v>
      </c>
      <c r="L120" t="s">
        <v>26</v>
      </c>
      <c r="M120" t="s">
        <v>27</v>
      </c>
      <c r="N120" t="s">
        <v>28</v>
      </c>
      <c r="O120">
        <v>0</v>
      </c>
      <c r="P120">
        <v>52519</v>
      </c>
      <c r="Q120">
        <f t="shared" si="2"/>
        <v>5.2519000000000003E-2</v>
      </c>
      <c r="R120">
        <v>43252</v>
      </c>
      <c r="S120" t="s">
        <v>122</v>
      </c>
    </row>
    <row r="121" spans="1:19">
      <c r="A121">
        <v>60000120</v>
      </c>
      <c r="B121">
        <v>35</v>
      </c>
      <c r="C121" t="s">
        <v>18</v>
      </c>
      <c r="D121" t="s">
        <v>19</v>
      </c>
      <c r="E121" t="s">
        <v>34</v>
      </c>
      <c r="F121" t="s">
        <v>21</v>
      </c>
      <c r="G121" s="23">
        <v>0.37</v>
      </c>
      <c r="H121" t="s">
        <v>42</v>
      </c>
      <c r="I121" t="s">
        <v>65</v>
      </c>
      <c r="J121" t="s">
        <v>54</v>
      </c>
      <c r="K121" t="s">
        <v>47</v>
      </c>
      <c r="L121" t="s">
        <v>26</v>
      </c>
      <c r="M121" t="s">
        <v>27</v>
      </c>
      <c r="N121" t="s">
        <v>28</v>
      </c>
      <c r="O121">
        <v>0</v>
      </c>
      <c r="P121">
        <v>33470</v>
      </c>
      <c r="Q121">
        <f t="shared" si="2"/>
        <v>3.347E-2</v>
      </c>
      <c r="R121">
        <v>43252</v>
      </c>
      <c r="S121" t="s">
        <v>122</v>
      </c>
    </row>
    <row r="122" spans="1:19">
      <c r="A122">
        <v>60000121</v>
      </c>
      <c r="B122">
        <v>48</v>
      </c>
      <c r="C122" t="s">
        <v>18</v>
      </c>
      <c r="D122" t="s">
        <v>19</v>
      </c>
      <c r="E122" t="s">
        <v>56</v>
      </c>
      <c r="F122" t="s">
        <v>21</v>
      </c>
      <c r="G122" s="23">
        <v>0.2</v>
      </c>
      <c r="H122" t="s">
        <v>29</v>
      </c>
      <c r="I122" t="s">
        <v>70</v>
      </c>
      <c r="J122" t="s">
        <v>31</v>
      </c>
      <c r="K122" t="s">
        <v>111</v>
      </c>
      <c r="L122" t="s">
        <v>26</v>
      </c>
      <c r="M122" t="s">
        <v>27</v>
      </c>
      <c r="N122" t="s">
        <v>28</v>
      </c>
      <c r="O122">
        <v>0</v>
      </c>
      <c r="P122">
        <v>35876</v>
      </c>
      <c r="Q122">
        <f t="shared" si="2"/>
        <v>3.5875999999999998E-2</v>
      </c>
      <c r="R122">
        <v>43252</v>
      </c>
      <c r="S122" t="s">
        <v>122</v>
      </c>
    </row>
    <row r="123" spans="1:19">
      <c r="A123">
        <v>60000122</v>
      </c>
      <c r="B123">
        <v>62</v>
      </c>
      <c r="C123" t="s">
        <v>33</v>
      </c>
      <c r="D123" t="s">
        <v>40</v>
      </c>
      <c r="E123" t="s">
        <v>56</v>
      </c>
      <c r="F123" t="s">
        <v>21</v>
      </c>
      <c r="G123" s="23">
        <v>0.1</v>
      </c>
      <c r="H123" t="s">
        <v>36</v>
      </c>
      <c r="I123" t="s">
        <v>68</v>
      </c>
      <c r="J123" t="s">
        <v>46</v>
      </c>
      <c r="K123" t="s">
        <v>32</v>
      </c>
      <c r="L123" t="s">
        <v>26</v>
      </c>
      <c r="M123" t="s">
        <v>27</v>
      </c>
      <c r="N123" t="s">
        <v>28</v>
      </c>
      <c r="O123">
        <v>0</v>
      </c>
      <c r="P123">
        <v>27806</v>
      </c>
      <c r="Q123">
        <f t="shared" si="2"/>
        <v>2.7806000000000001E-2</v>
      </c>
      <c r="R123">
        <v>43252</v>
      </c>
      <c r="S123" t="s">
        <v>122</v>
      </c>
    </row>
    <row r="124" spans="1:19">
      <c r="A124">
        <v>60000123</v>
      </c>
      <c r="B124">
        <v>63</v>
      </c>
      <c r="C124" t="s">
        <v>33</v>
      </c>
      <c r="D124" t="s">
        <v>19</v>
      </c>
      <c r="E124" t="s">
        <v>48</v>
      </c>
      <c r="F124" t="s">
        <v>21</v>
      </c>
      <c r="G124" s="23">
        <v>0.21</v>
      </c>
      <c r="H124" t="s">
        <v>29</v>
      </c>
      <c r="I124" t="s">
        <v>45</v>
      </c>
      <c r="J124" t="s">
        <v>91</v>
      </c>
      <c r="K124" t="s">
        <v>99</v>
      </c>
      <c r="L124" t="s">
        <v>26</v>
      </c>
      <c r="M124" t="s">
        <v>27</v>
      </c>
      <c r="N124" t="s">
        <v>28</v>
      </c>
      <c r="O124">
        <v>7</v>
      </c>
      <c r="P124">
        <v>63422</v>
      </c>
      <c r="Q124">
        <f t="shared" si="2"/>
        <v>6.3422000000000006E-2</v>
      </c>
      <c r="R124">
        <v>43252</v>
      </c>
      <c r="S124" t="s">
        <v>122</v>
      </c>
    </row>
    <row r="125" spans="1:19">
      <c r="A125">
        <v>60000124</v>
      </c>
      <c r="B125">
        <v>40</v>
      </c>
      <c r="C125" t="s">
        <v>33</v>
      </c>
      <c r="D125" t="s">
        <v>19</v>
      </c>
      <c r="E125" t="s">
        <v>85</v>
      </c>
      <c r="F125" t="s">
        <v>21</v>
      </c>
      <c r="G125" s="23">
        <v>0.21</v>
      </c>
      <c r="H125" t="s">
        <v>29</v>
      </c>
      <c r="I125" t="s">
        <v>70</v>
      </c>
      <c r="J125" t="s">
        <v>66</v>
      </c>
      <c r="K125" t="s">
        <v>100</v>
      </c>
      <c r="L125" t="s">
        <v>26</v>
      </c>
      <c r="M125" t="s">
        <v>27</v>
      </c>
      <c r="N125" t="s">
        <v>28</v>
      </c>
      <c r="O125">
        <v>4</v>
      </c>
      <c r="P125">
        <v>52615</v>
      </c>
      <c r="Q125">
        <f t="shared" si="2"/>
        <v>5.2615000000000002E-2</v>
      </c>
      <c r="R125">
        <v>43252</v>
      </c>
      <c r="S125" t="s">
        <v>122</v>
      </c>
    </row>
    <row r="126" spans="1:19">
      <c r="A126">
        <v>60000125</v>
      </c>
      <c r="B126">
        <v>32</v>
      </c>
      <c r="C126" t="s">
        <v>33</v>
      </c>
      <c r="D126" t="s">
        <v>19</v>
      </c>
      <c r="E126" t="s">
        <v>41</v>
      </c>
      <c r="F126" t="s">
        <v>21</v>
      </c>
      <c r="G126" s="23">
        <v>0.35</v>
      </c>
      <c r="H126" t="s">
        <v>42</v>
      </c>
      <c r="I126" t="s">
        <v>45</v>
      </c>
      <c r="J126" t="s">
        <v>74</v>
      </c>
      <c r="K126" t="s">
        <v>93</v>
      </c>
      <c r="L126" t="s">
        <v>26</v>
      </c>
      <c r="M126" t="s">
        <v>27</v>
      </c>
      <c r="N126" t="s">
        <v>28</v>
      </c>
      <c r="O126">
        <v>0</v>
      </c>
      <c r="P126">
        <v>77731</v>
      </c>
      <c r="Q126">
        <f t="shared" si="2"/>
        <v>7.7730999999999995E-2</v>
      </c>
      <c r="R126">
        <v>43252</v>
      </c>
      <c r="S126" t="s">
        <v>122</v>
      </c>
    </row>
    <row r="127" spans="1:19">
      <c r="A127">
        <v>60000126</v>
      </c>
      <c r="B127">
        <v>54</v>
      </c>
      <c r="C127" t="s">
        <v>33</v>
      </c>
      <c r="D127" t="s">
        <v>40</v>
      </c>
      <c r="E127" t="s">
        <v>75</v>
      </c>
      <c r="F127" t="s">
        <v>21</v>
      </c>
      <c r="G127" s="23">
        <v>0.33</v>
      </c>
      <c r="H127" t="s">
        <v>42</v>
      </c>
      <c r="I127" t="s">
        <v>76</v>
      </c>
      <c r="J127" t="s">
        <v>54</v>
      </c>
      <c r="K127" t="s">
        <v>89</v>
      </c>
      <c r="L127" t="s">
        <v>26</v>
      </c>
      <c r="M127" t="s">
        <v>27</v>
      </c>
      <c r="N127" t="s">
        <v>28</v>
      </c>
      <c r="O127">
        <v>0</v>
      </c>
      <c r="P127">
        <v>58121</v>
      </c>
      <c r="Q127">
        <f t="shared" si="2"/>
        <v>5.8120999999999999E-2</v>
      </c>
      <c r="R127">
        <v>43252</v>
      </c>
      <c r="S127" t="s">
        <v>122</v>
      </c>
    </row>
    <row r="128" spans="1:19">
      <c r="A128">
        <v>60000127</v>
      </c>
      <c r="B128">
        <v>21</v>
      </c>
      <c r="C128" t="s">
        <v>33</v>
      </c>
      <c r="D128" t="s">
        <v>40</v>
      </c>
      <c r="E128" t="s">
        <v>75</v>
      </c>
      <c r="F128" t="s">
        <v>21</v>
      </c>
      <c r="G128" s="23">
        <v>0.23</v>
      </c>
      <c r="H128" t="s">
        <v>29</v>
      </c>
      <c r="I128" t="s">
        <v>30</v>
      </c>
      <c r="J128" t="s">
        <v>24</v>
      </c>
      <c r="K128" t="s">
        <v>62</v>
      </c>
      <c r="L128" t="s">
        <v>26</v>
      </c>
      <c r="M128" t="s">
        <v>27</v>
      </c>
      <c r="N128" t="s">
        <v>28</v>
      </c>
      <c r="O128">
        <v>4</v>
      </c>
      <c r="P128">
        <v>48154</v>
      </c>
      <c r="Q128">
        <f t="shared" si="2"/>
        <v>4.8154000000000002E-2</v>
      </c>
      <c r="R128">
        <v>43252</v>
      </c>
      <c r="S128" t="s">
        <v>122</v>
      </c>
    </row>
    <row r="129" spans="1:19">
      <c r="A129">
        <v>60000128</v>
      </c>
      <c r="B129">
        <v>33</v>
      </c>
      <c r="C129" t="s">
        <v>18</v>
      </c>
      <c r="D129" t="s">
        <v>19</v>
      </c>
      <c r="E129" t="s">
        <v>44</v>
      </c>
      <c r="F129" t="s">
        <v>21</v>
      </c>
      <c r="G129" s="23">
        <v>0.13</v>
      </c>
      <c r="H129" t="s">
        <v>22</v>
      </c>
      <c r="I129" t="s">
        <v>68</v>
      </c>
      <c r="J129" t="s">
        <v>61</v>
      </c>
      <c r="K129" t="s">
        <v>59</v>
      </c>
      <c r="L129" t="s">
        <v>26</v>
      </c>
      <c r="M129" t="s">
        <v>27</v>
      </c>
      <c r="N129" t="s">
        <v>28</v>
      </c>
      <c r="O129">
        <v>4</v>
      </c>
      <c r="P129">
        <v>30044</v>
      </c>
      <c r="Q129">
        <f t="shared" si="2"/>
        <v>3.0044000000000001E-2</v>
      </c>
      <c r="R129">
        <v>43252</v>
      </c>
      <c r="S129" t="s">
        <v>122</v>
      </c>
    </row>
    <row r="130" spans="1:19">
      <c r="A130">
        <v>60000129</v>
      </c>
      <c r="B130">
        <v>41</v>
      </c>
      <c r="C130" t="s">
        <v>33</v>
      </c>
      <c r="D130" t="s">
        <v>40</v>
      </c>
      <c r="E130" t="s">
        <v>72</v>
      </c>
      <c r="F130" t="s">
        <v>21</v>
      </c>
      <c r="G130" s="23">
        <v>0.12</v>
      </c>
      <c r="H130" t="s">
        <v>22</v>
      </c>
      <c r="I130" t="s">
        <v>60</v>
      </c>
      <c r="J130" t="s">
        <v>38</v>
      </c>
      <c r="K130" t="s">
        <v>83</v>
      </c>
      <c r="L130" t="s">
        <v>26</v>
      </c>
      <c r="M130" t="s">
        <v>27</v>
      </c>
      <c r="N130" t="s">
        <v>28</v>
      </c>
      <c r="O130">
        <v>1</v>
      </c>
      <c r="P130">
        <v>70847</v>
      </c>
      <c r="Q130">
        <f t="shared" si="2"/>
        <v>7.0846999999999993E-2</v>
      </c>
      <c r="R130">
        <v>43252</v>
      </c>
      <c r="S130" t="s">
        <v>122</v>
      </c>
    </row>
    <row r="131" spans="1:19">
      <c r="A131">
        <v>60000130</v>
      </c>
      <c r="B131">
        <v>62</v>
      </c>
      <c r="C131" t="s">
        <v>18</v>
      </c>
      <c r="D131" t="s">
        <v>40</v>
      </c>
      <c r="E131" t="s">
        <v>44</v>
      </c>
      <c r="F131" t="s">
        <v>21</v>
      </c>
      <c r="G131" s="23">
        <v>0.15</v>
      </c>
      <c r="H131" t="s">
        <v>22</v>
      </c>
      <c r="I131" t="s">
        <v>37</v>
      </c>
      <c r="J131" t="s">
        <v>54</v>
      </c>
      <c r="K131" t="s">
        <v>25</v>
      </c>
      <c r="L131" t="s">
        <v>26</v>
      </c>
      <c r="M131" t="s">
        <v>27</v>
      </c>
      <c r="N131" t="s">
        <v>28</v>
      </c>
      <c r="O131">
        <v>1</v>
      </c>
      <c r="P131">
        <v>73043</v>
      </c>
      <c r="Q131">
        <f t="shared" si="2"/>
        <v>7.3042999999999997E-2</v>
      </c>
      <c r="R131">
        <v>43252</v>
      </c>
      <c r="S131" t="s">
        <v>122</v>
      </c>
    </row>
    <row r="132" spans="1:19">
      <c r="A132">
        <v>60000131</v>
      </c>
      <c r="B132">
        <v>55</v>
      </c>
      <c r="C132" t="s">
        <v>33</v>
      </c>
      <c r="D132" t="s">
        <v>19</v>
      </c>
      <c r="E132" t="s">
        <v>48</v>
      </c>
      <c r="F132" t="s">
        <v>21</v>
      </c>
      <c r="G132" s="23">
        <v>0.21</v>
      </c>
      <c r="H132" t="s">
        <v>29</v>
      </c>
      <c r="I132" t="s">
        <v>76</v>
      </c>
      <c r="J132" t="s">
        <v>78</v>
      </c>
      <c r="K132" t="s">
        <v>109</v>
      </c>
      <c r="L132" t="s">
        <v>26</v>
      </c>
      <c r="M132" t="s">
        <v>27</v>
      </c>
      <c r="N132" t="s">
        <v>28</v>
      </c>
      <c r="O132">
        <v>0</v>
      </c>
      <c r="P132">
        <v>31925</v>
      </c>
      <c r="Q132">
        <f t="shared" si="2"/>
        <v>3.1925000000000002E-2</v>
      </c>
      <c r="R132">
        <v>43252</v>
      </c>
      <c r="S132" t="s">
        <v>122</v>
      </c>
    </row>
    <row r="133" spans="1:19">
      <c r="A133">
        <v>60000132</v>
      </c>
      <c r="B133">
        <v>60</v>
      </c>
      <c r="C133" t="s">
        <v>33</v>
      </c>
      <c r="D133" t="s">
        <v>19</v>
      </c>
      <c r="E133" t="s">
        <v>41</v>
      </c>
      <c r="F133" t="s">
        <v>21</v>
      </c>
      <c r="G133" s="23">
        <v>0.11</v>
      </c>
      <c r="H133" t="s">
        <v>36</v>
      </c>
      <c r="I133" t="s">
        <v>80</v>
      </c>
      <c r="J133" t="s">
        <v>58</v>
      </c>
      <c r="K133" t="s">
        <v>87</v>
      </c>
      <c r="L133" t="s">
        <v>26</v>
      </c>
      <c r="M133" t="s">
        <v>27</v>
      </c>
      <c r="N133" t="s">
        <v>28</v>
      </c>
      <c r="O133">
        <v>0</v>
      </c>
      <c r="P133">
        <v>75752</v>
      </c>
      <c r="Q133">
        <f t="shared" si="2"/>
        <v>7.5752E-2</v>
      </c>
      <c r="R133">
        <v>43252</v>
      </c>
      <c r="S133" t="s">
        <v>122</v>
      </c>
    </row>
    <row r="134" spans="1:19">
      <c r="A134">
        <v>60000133</v>
      </c>
      <c r="B134">
        <v>43</v>
      </c>
      <c r="C134" t="s">
        <v>33</v>
      </c>
      <c r="D134" t="s">
        <v>19</v>
      </c>
      <c r="E134" t="s">
        <v>72</v>
      </c>
      <c r="F134" t="s">
        <v>21</v>
      </c>
      <c r="G134" s="23">
        <v>0.21</v>
      </c>
      <c r="H134" t="s">
        <v>29</v>
      </c>
      <c r="I134" t="s">
        <v>45</v>
      </c>
      <c r="J134" t="s">
        <v>69</v>
      </c>
      <c r="K134" t="s">
        <v>97</v>
      </c>
      <c r="L134" t="s">
        <v>26</v>
      </c>
      <c r="M134" t="s">
        <v>27</v>
      </c>
      <c r="N134" t="s">
        <v>28</v>
      </c>
      <c r="O134">
        <v>0</v>
      </c>
      <c r="P134">
        <v>24793</v>
      </c>
      <c r="Q134">
        <f t="shared" si="2"/>
        <v>2.4792999999999999E-2</v>
      </c>
      <c r="R134">
        <v>43252</v>
      </c>
      <c r="S134" t="s">
        <v>122</v>
      </c>
    </row>
    <row r="135" spans="1:19">
      <c r="A135">
        <v>60000134</v>
      </c>
      <c r="B135">
        <v>26</v>
      </c>
      <c r="C135" t="s">
        <v>18</v>
      </c>
      <c r="D135" t="s">
        <v>40</v>
      </c>
      <c r="E135" t="s">
        <v>85</v>
      </c>
      <c r="F135" t="s">
        <v>21</v>
      </c>
      <c r="G135" s="23">
        <v>0.28999999999999998</v>
      </c>
      <c r="H135" t="s">
        <v>53</v>
      </c>
      <c r="I135" t="s">
        <v>86</v>
      </c>
      <c r="J135" t="s">
        <v>74</v>
      </c>
      <c r="K135" t="s">
        <v>49</v>
      </c>
      <c r="L135" t="s">
        <v>26</v>
      </c>
      <c r="M135" t="s">
        <v>27</v>
      </c>
      <c r="N135" t="s">
        <v>28</v>
      </c>
      <c r="O135">
        <v>0</v>
      </c>
      <c r="P135">
        <v>58103</v>
      </c>
      <c r="Q135">
        <f t="shared" si="2"/>
        <v>5.8103000000000002E-2</v>
      </c>
      <c r="R135">
        <v>43252</v>
      </c>
      <c r="S135" t="s">
        <v>122</v>
      </c>
    </row>
    <row r="136" spans="1:19">
      <c r="A136">
        <v>60000135</v>
      </c>
      <c r="B136">
        <v>60</v>
      </c>
      <c r="C136" t="s">
        <v>18</v>
      </c>
      <c r="D136" t="s">
        <v>40</v>
      </c>
      <c r="E136" t="s">
        <v>56</v>
      </c>
      <c r="F136" t="s">
        <v>21</v>
      </c>
      <c r="G136" s="23">
        <v>0.33</v>
      </c>
      <c r="H136" t="s">
        <v>42</v>
      </c>
      <c r="I136" t="s">
        <v>70</v>
      </c>
      <c r="J136" t="s">
        <v>91</v>
      </c>
      <c r="K136" t="s">
        <v>96</v>
      </c>
      <c r="L136" t="s">
        <v>26</v>
      </c>
      <c r="M136" t="s">
        <v>27</v>
      </c>
      <c r="N136" t="s">
        <v>28</v>
      </c>
      <c r="O136">
        <v>1</v>
      </c>
      <c r="P136">
        <v>46478</v>
      </c>
      <c r="Q136">
        <f t="shared" si="2"/>
        <v>4.6477999999999998E-2</v>
      </c>
      <c r="R136">
        <v>43252</v>
      </c>
      <c r="S136" t="s">
        <v>122</v>
      </c>
    </row>
    <row r="137" spans="1:19">
      <c r="A137">
        <v>60000136</v>
      </c>
      <c r="B137">
        <v>34</v>
      </c>
      <c r="C137" t="s">
        <v>18</v>
      </c>
      <c r="D137" t="s">
        <v>19</v>
      </c>
      <c r="E137" t="s">
        <v>20</v>
      </c>
      <c r="F137" t="s">
        <v>21</v>
      </c>
      <c r="G137" s="23">
        <v>0.3</v>
      </c>
      <c r="H137" t="s">
        <v>53</v>
      </c>
      <c r="I137" t="s">
        <v>70</v>
      </c>
      <c r="J137" t="s">
        <v>24</v>
      </c>
      <c r="K137" t="s">
        <v>109</v>
      </c>
      <c r="L137" t="s">
        <v>26</v>
      </c>
      <c r="M137" t="s">
        <v>27</v>
      </c>
      <c r="N137" t="s">
        <v>28</v>
      </c>
      <c r="O137">
        <v>3</v>
      </c>
      <c r="P137">
        <v>83401</v>
      </c>
      <c r="Q137">
        <f t="shared" si="2"/>
        <v>8.3401000000000003E-2</v>
      </c>
      <c r="R137">
        <v>43252</v>
      </c>
      <c r="S137" t="s">
        <v>122</v>
      </c>
    </row>
    <row r="138" spans="1:19">
      <c r="A138">
        <v>60000137</v>
      </c>
      <c r="B138">
        <v>55</v>
      </c>
      <c r="C138" t="s">
        <v>18</v>
      </c>
      <c r="D138" t="s">
        <v>19</v>
      </c>
      <c r="E138" t="s">
        <v>75</v>
      </c>
      <c r="F138" t="s">
        <v>21</v>
      </c>
      <c r="G138" s="23">
        <v>0.25</v>
      </c>
      <c r="H138" t="s">
        <v>53</v>
      </c>
      <c r="I138" t="s">
        <v>60</v>
      </c>
      <c r="J138" t="s">
        <v>74</v>
      </c>
      <c r="K138" t="s">
        <v>71</v>
      </c>
      <c r="L138" t="s">
        <v>26</v>
      </c>
      <c r="M138" t="s">
        <v>27</v>
      </c>
      <c r="N138" t="s">
        <v>28</v>
      </c>
      <c r="O138">
        <v>0</v>
      </c>
      <c r="P138">
        <v>61812</v>
      </c>
      <c r="Q138">
        <f t="shared" si="2"/>
        <v>6.1811999999999999E-2</v>
      </c>
      <c r="R138">
        <v>43252</v>
      </c>
      <c r="S138" t="s">
        <v>122</v>
      </c>
    </row>
    <row r="139" spans="1:19">
      <c r="A139">
        <v>60000138</v>
      </c>
      <c r="B139">
        <v>26</v>
      </c>
      <c r="C139" t="s">
        <v>18</v>
      </c>
      <c r="D139" t="s">
        <v>19</v>
      </c>
      <c r="E139" t="s">
        <v>85</v>
      </c>
      <c r="F139" t="s">
        <v>21</v>
      </c>
      <c r="G139" s="23">
        <v>0.33</v>
      </c>
      <c r="H139" t="s">
        <v>42</v>
      </c>
      <c r="I139" t="s">
        <v>62</v>
      </c>
      <c r="J139" t="s">
        <v>31</v>
      </c>
      <c r="K139" t="s">
        <v>108</v>
      </c>
      <c r="L139" t="s">
        <v>26</v>
      </c>
      <c r="M139" t="s">
        <v>27</v>
      </c>
      <c r="N139" t="s">
        <v>28</v>
      </c>
      <c r="O139">
        <v>0</v>
      </c>
      <c r="P139">
        <v>58973</v>
      </c>
      <c r="Q139">
        <f t="shared" si="2"/>
        <v>5.8972999999999998E-2</v>
      </c>
      <c r="R139">
        <v>43252</v>
      </c>
      <c r="S139" t="s">
        <v>122</v>
      </c>
    </row>
    <row r="140" spans="1:19">
      <c r="A140">
        <v>60000139</v>
      </c>
      <c r="B140">
        <v>31</v>
      </c>
      <c r="C140" t="s">
        <v>18</v>
      </c>
      <c r="D140" t="s">
        <v>40</v>
      </c>
      <c r="E140" t="s">
        <v>52</v>
      </c>
      <c r="F140" t="s">
        <v>21</v>
      </c>
      <c r="G140" s="23">
        <v>0.23</v>
      </c>
      <c r="H140" t="s">
        <v>29</v>
      </c>
      <c r="I140" t="s">
        <v>83</v>
      </c>
      <c r="J140" t="s">
        <v>66</v>
      </c>
      <c r="K140" t="s">
        <v>95</v>
      </c>
      <c r="L140" t="s">
        <v>26</v>
      </c>
      <c r="M140" t="s">
        <v>27</v>
      </c>
      <c r="N140" t="s">
        <v>28</v>
      </c>
      <c r="O140">
        <v>0</v>
      </c>
      <c r="P140">
        <v>36477</v>
      </c>
      <c r="Q140">
        <f t="shared" si="2"/>
        <v>3.6477000000000002E-2</v>
      </c>
      <c r="R140">
        <v>43252</v>
      </c>
      <c r="S140" t="s">
        <v>122</v>
      </c>
    </row>
    <row r="141" spans="1:19">
      <c r="A141">
        <v>60000140</v>
      </c>
      <c r="B141">
        <v>43</v>
      </c>
      <c r="C141" t="s">
        <v>33</v>
      </c>
      <c r="D141" t="s">
        <v>40</v>
      </c>
      <c r="E141" t="s">
        <v>56</v>
      </c>
      <c r="F141" t="s">
        <v>21</v>
      </c>
      <c r="G141" s="23">
        <v>0.33</v>
      </c>
      <c r="H141" t="s">
        <v>42</v>
      </c>
      <c r="I141" t="s">
        <v>37</v>
      </c>
      <c r="J141" t="s">
        <v>54</v>
      </c>
      <c r="K141" t="s">
        <v>92</v>
      </c>
      <c r="L141" t="s">
        <v>26</v>
      </c>
      <c r="M141" t="s">
        <v>27</v>
      </c>
      <c r="N141" t="s">
        <v>28</v>
      </c>
      <c r="O141">
        <v>4</v>
      </c>
      <c r="P141">
        <v>33098</v>
      </c>
      <c r="Q141">
        <f t="shared" si="2"/>
        <v>3.3098000000000002E-2</v>
      </c>
      <c r="R141">
        <v>43252</v>
      </c>
      <c r="S141" t="s">
        <v>122</v>
      </c>
    </row>
    <row r="142" spans="1:19">
      <c r="A142">
        <v>60000141</v>
      </c>
      <c r="B142">
        <v>55</v>
      </c>
      <c r="C142" t="s">
        <v>18</v>
      </c>
      <c r="D142" t="s">
        <v>40</v>
      </c>
      <c r="E142" t="s">
        <v>72</v>
      </c>
      <c r="F142" t="s">
        <v>21</v>
      </c>
      <c r="G142" s="23">
        <v>0.12</v>
      </c>
      <c r="H142" t="s">
        <v>22</v>
      </c>
      <c r="I142" t="s">
        <v>62</v>
      </c>
      <c r="J142" t="s">
        <v>58</v>
      </c>
      <c r="K142" t="s">
        <v>32</v>
      </c>
      <c r="L142" t="s">
        <v>26</v>
      </c>
      <c r="M142" t="s">
        <v>27</v>
      </c>
      <c r="N142" t="s">
        <v>28</v>
      </c>
      <c r="O142">
        <v>0</v>
      </c>
      <c r="P142">
        <v>71611</v>
      </c>
      <c r="Q142">
        <f t="shared" si="2"/>
        <v>7.1610999999999994E-2</v>
      </c>
      <c r="R142">
        <v>43252</v>
      </c>
      <c r="S142" t="s">
        <v>122</v>
      </c>
    </row>
    <row r="143" spans="1:19">
      <c r="A143">
        <v>60000142</v>
      </c>
      <c r="B143">
        <v>22</v>
      </c>
      <c r="C143" t="s">
        <v>33</v>
      </c>
      <c r="D143" t="s">
        <v>40</v>
      </c>
      <c r="E143" t="s">
        <v>41</v>
      </c>
      <c r="F143" t="s">
        <v>21</v>
      </c>
      <c r="G143" s="23">
        <v>0.38</v>
      </c>
      <c r="H143" t="s">
        <v>42</v>
      </c>
      <c r="I143" t="s">
        <v>80</v>
      </c>
      <c r="J143" t="s">
        <v>58</v>
      </c>
      <c r="K143" t="s">
        <v>104</v>
      </c>
      <c r="L143" t="s">
        <v>26</v>
      </c>
      <c r="M143" t="s">
        <v>27</v>
      </c>
      <c r="N143" t="s">
        <v>28</v>
      </c>
      <c r="O143">
        <v>0</v>
      </c>
      <c r="P143">
        <v>29276</v>
      </c>
      <c r="Q143">
        <f t="shared" si="2"/>
        <v>2.9276E-2</v>
      </c>
      <c r="R143">
        <v>43252</v>
      </c>
      <c r="S143" t="s">
        <v>122</v>
      </c>
    </row>
    <row r="144" spans="1:19">
      <c r="A144">
        <v>60000143</v>
      </c>
      <c r="B144">
        <v>44</v>
      </c>
      <c r="C144" t="s">
        <v>18</v>
      </c>
      <c r="D144" t="s">
        <v>40</v>
      </c>
      <c r="E144" t="s">
        <v>41</v>
      </c>
      <c r="F144" t="s">
        <v>21</v>
      </c>
      <c r="G144" s="23">
        <v>0.35</v>
      </c>
      <c r="H144" t="s">
        <v>42</v>
      </c>
      <c r="I144" t="s">
        <v>73</v>
      </c>
      <c r="J144" t="s">
        <v>24</v>
      </c>
      <c r="K144" t="s">
        <v>112</v>
      </c>
      <c r="L144" t="s">
        <v>26</v>
      </c>
      <c r="M144" t="s">
        <v>27</v>
      </c>
      <c r="N144" t="s">
        <v>28</v>
      </c>
      <c r="O144">
        <v>2</v>
      </c>
      <c r="P144">
        <v>26313</v>
      </c>
      <c r="Q144">
        <f t="shared" si="2"/>
        <v>2.6313E-2</v>
      </c>
      <c r="R144">
        <v>43252</v>
      </c>
      <c r="S144" t="s">
        <v>122</v>
      </c>
    </row>
    <row r="145" spans="1:19">
      <c r="A145">
        <v>60000144</v>
      </c>
      <c r="B145">
        <v>51</v>
      </c>
      <c r="C145" t="s">
        <v>33</v>
      </c>
      <c r="D145" t="s">
        <v>19</v>
      </c>
      <c r="E145" t="s">
        <v>64</v>
      </c>
      <c r="F145" t="s">
        <v>21</v>
      </c>
      <c r="G145" s="23">
        <v>0.15</v>
      </c>
      <c r="H145" t="s">
        <v>22</v>
      </c>
      <c r="I145" t="s">
        <v>76</v>
      </c>
      <c r="J145" t="s">
        <v>78</v>
      </c>
      <c r="K145" t="s">
        <v>105</v>
      </c>
      <c r="L145" t="s">
        <v>26</v>
      </c>
      <c r="M145" t="s">
        <v>27</v>
      </c>
      <c r="N145" t="s">
        <v>28</v>
      </c>
      <c r="O145">
        <v>0</v>
      </c>
      <c r="P145">
        <v>35278</v>
      </c>
      <c r="Q145">
        <f t="shared" si="2"/>
        <v>3.5277999999999997E-2</v>
      </c>
      <c r="R145">
        <v>43252</v>
      </c>
      <c r="S145" t="s">
        <v>122</v>
      </c>
    </row>
    <row r="146" spans="1:19">
      <c r="A146">
        <v>60000145</v>
      </c>
      <c r="B146">
        <v>62</v>
      </c>
      <c r="C146" t="s">
        <v>33</v>
      </c>
      <c r="D146" t="s">
        <v>19</v>
      </c>
      <c r="E146" t="s">
        <v>72</v>
      </c>
      <c r="F146" t="s">
        <v>21</v>
      </c>
      <c r="G146" s="23">
        <v>0.16</v>
      </c>
      <c r="H146" t="s">
        <v>22</v>
      </c>
      <c r="I146" t="s">
        <v>80</v>
      </c>
      <c r="J146" t="s">
        <v>91</v>
      </c>
      <c r="K146" t="s">
        <v>112</v>
      </c>
      <c r="L146" t="s">
        <v>26</v>
      </c>
      <c r="M146" t="s">
        <v>27</v>
      </c>
      <c r="N146" t="s">
        <v>28</v>
      </c>
      <c r="O146">
        <v>2</v>
      </c>
      <c r="P146">
        <v>72189</v>
      </c>
      <c r="Q146">
        <f t="shared" si="2"/>
        <v>7.2189000000000003E-2</v>
      </c>
      <c r="R146">
        <v>43252</v>
      </c>
      <c r="S146" t="s">
        <v>122</v>
      </c>
    </row>
    <row r="147" spans="1:19">
      <c r="A147">
        <v>60000146</v>
      </c>
      <c r="B147">
        <v>46</v>
      </c>
      <c r="C147" t="s">
        <v>18</v>
      </c>
      <c r="D147" t="s">
        <v>40</v>
      </c>
      <c r="E147" t="s">
        <v>72</v>
      </c>
      <c r="F147" t="s">
        <v>21</v>
      </c>
      <c r="G147" s="23">
        <v>0.19</v>
      </c>
      <c r="H147" t="s">
        <v>29</v>
      </c>
      <c r="I147" t="s">
        <v>68</v>
      </c>
      <c r="J147" t="s">
        <v>31</v>
      </c>
      <c r="K147" t="s">
        <v>106</v>
      </c>
      <c r="L147" t="s">
        <v>26</v>
      </c>
      <c r="M147" t="s">
        <v>27</v>
      </c>
      <c r="N147" t="s">
        <v>28</v>
      </c>
      <c r="O147">
        <v>0</v>
      </c>
      <c r="P147">
        <v>47169</v>
      </c>
      <c r="Q147">
        <f t="shared" si="2"/>
        <v>4.7169000000000003E-2</v>
      </c>
      <c r="R147">
        <v>43252</v>
      </c>
      <c r="S147" t="s">
        <v>122</v>
      </c>
    </row>
    <row r="148" spans="1:19">
      <c r="A148">
        <v>60000147</v>
      </c>
      <c r="B148">
        <v>22</v>
      </c>
      <c r="C148" t="s">
        <v>33</v>
      </c>
      <c r="D148" t="s">
        <v>19</v>
      </c>
      <c r="E148" t="s">
        <v>34</v>
      </c>
      <c r="F148" t="s">
        <v>21</v>
      </c>
      <c r="G148" s="23">
        <v>0.37</v>
      </c>
      <c r="H148" t="s">
        <v>42</v>
      </c>
      <c r="I148" t="s">
        <v>30</v>
      </c>
      <c r="J148" t="s">
        <v>58</v>
      </c>
      <c r="K148" t="s">
        <v>79</v>
      </c>
      <c r="L148" t="s">
        <v>26</v>
      </c>
      <c r="M148" t="s">
        <v>27</v>
      </c>
      <c r="N148" t="s">
        <v>28</v>
      </c>
      <c r="O148">
        <v>0</v>
      </c>
      <c r="P148">
        <v>33136</v>
      </c>
      <c r="Q148">
        <f t="shared" si="2"/>
        <v>3.3135999999999999E-2</v>
      </c>
      <c r="R148">
        <v>43252</v>
      </c>
      <c r="S148" t="s">
        <v>122</v>
      </c>
    </row>
    <row r="149" spans="1:19">
      <c r="A149">
        <v>60000148</v>
      </c>
      <c r="B149">
        <v>47</v>
      </c>
      <c r="C149" t="s">
        <v>18</v>
      </c>
      <c r="D149" t="s">
        <v>40</v>
      </c>
      <c r="E149" t="s">
        <v>72</v>
      </c>
      <c r="F149" t="s">
        <v>21</v>
      </c>
      <c r="G149" s="23">
        <v>0.18</v>
      </c>
      <c r="H149" t="s">
        <v>22</v>
      </c>
      <c r="I149" t="s">
        <v>76</v>
      </c>
      <c r="J149" t="s">
        <v>46</v>
      </c>
      <c r="K149" t="s">
        <v>93</v>
      </c>
      <c r="L149" t="s">
        <v>26</v>
      </c>
      <c r="M149" t="s">
        <v>27</v>
      </c>
      <c r="N149" t="s">
        <v>28</v>
      </c>
      <c r="O149">
        <v>7</v>
      </c>
      <c r="P149">
        <v>60885</v>
      </c>
      <c r="Q149">
        <f t="shared" si="2"/>
        <v>6.0885000000000002E-2</v>
      </c>
      <c r="R149">
        <v>43252</v>
      </c>
      <c r="S149" t="s">
        <v>122</v>
      </c>
    </row>
    <row r="150" spans="1:19">
      <c r="A150">
        <v>60000149</v>
      </c>
      <c r="B150">
        <v>63</v>
      </c>
      <c r="C150" t="s">
        <v>18</v>
      </c>
      <c r="D150" t="s">
        <v>19</v>
      </c>
      <c r="E150" t="s">
        <v>48</v>
      </c>
      <c r="F150" t="s">
        <v>21</v>
      </c>
      <c r="G150" s="23">
        <v>0.2</v>
      </c>
      <c r="H150" t="s">
        <v>29</v>
      </c>
      <c r="I150" t="s">
        <v>45</v>
      </c>
      <c r="J150" t="s">
        <v>78</v>
      </c>
      <c r="K150" t="s">
        <v>79</v>
      </c>
      <c r="L150" t="s">
        <v>26</v>
      </c>
      <c r="M150" t="s">
        <v>27</v>
      </c>
      <c r="N150" t="s">
        <v>28</v>
      </c>
      <c r="O150">
        <v>2</v>
      </c>
      <c r="P150">
        <v>74807</v>
      </c>
      <c r="Q150">
        <f t="shared" si="2"/>
        <v>7.4806999999999998E-2</v>
      </c>
      <c r="R150">
        <v>43252</v>
      </c>
      <c r="S150" t="s">
        <v>122</v>
      </c>
    </row>
    <row r="151" spans="1:19">
      <c r="A151">
        <v>60000150</v>
      </c>
      <c r="B151">
        <v>52</v>
      </c>
      <c r="C151" t="s">
        <v>33</v>
      </c>
      <c r="D151" t="s">
        <v>40</v>
      </c>
      <c r="E151" t="s">
        <v>72</v>
      </c>
      <c r="F151" t="s">
        <v>21</v>
      </c>
      <c r="G151" s="23">
        <v>0.1</v>
      </c>
      <c r="H151" t="s">
        <v>36</v>
      </c>
      <c r="I151" t="s">
        <v>80</v>
      </c>
      <c r="J151" t="s">
        <v>54</v>
      </c>
      <c r="K151" t="s">
        <v>82</v>
      </c>
      <c r="L151" t="s">
        <v>26</v>
      </c>
      <c r="M151" t="s">
        <v>27</v>
      </c>
      <c r="N151" t="s">
        <v>28</v>
      </c>
      <c r="O151">
        <v>5</v>
      </c>
      <c r="P151">
        <v>60944</v>
      </c>
      <c r="Q151">
        <f t="shared" si="2"/>
        <v>6.0943999999999998E-2</v>
      </c>
      <c r="R151">
        <v>43252</v>
      </c>
      <c r="S151" t="s">
        <v>122</v>
      </c>
    </row>
    <row r="152" spans="1:19">
      <c r="A152">
        <v>60000151</v>
      </c>
      <c r="B152">
        <v>31</v>
      </c>
      <c r="C152" t="s">
        <v>18</v>
      </c>
      <c r="D152" t="s">
        <v>19</v>
      </c>
      <c r="E152" t="s">
        <v>56</v>
      </c>
      <c r="F152" t="s">
        <v>21</v>
      </c>
      <c r="G152" s="23">
        <v>0.23</v>
      </c>
      <c r="H152" t="s">
        <v>29</v>
      </c>
      <c r="I152" t="s">
        <v>68</v>
      </c>
      <c r="J152" t="s">
        <v>58</v>
      </c>
      <c r="K152" t="s">
        <v>107</v>
      </c>
      <c r="L152" t="s">
        <v>26</v>
      </c>
      <c r="M152" t="s">
        <v>27</v>
      </c>
      <c r="N152" t="s">
        <v>28</v>
      </c>
      <c r="O152">
        <v>0</v>
      </c>
      <c r="P152">
        <v>58918</v>
      </c>
      <c r="Q152">
        <f t="shared" si="2"/>
        <v>5.8917999999999998E-2</v>
      </c>
      <c r="R152">
        <v>43252</v>
      </c>
      <c r="S152" t="s">
        <v>122</v>
      </c>
    </row>
    <row r="153" spans="1:19">
      <c r="A153">
        <v>60000152</v>
      </c>
      <c r="B153">
        <v>24</v>
      </c>
      <c r="C153" t="s">
        <v>18</v>
      </c>
      <c r="D153" t="s">
        <v>19</v>
      </c>
      <c r="E153" t="s">
        <v>56</v>
      </c>
      <c r="F153" t="s">
        <v>21</v>
      </c>
      <c r="G153" s="23">
        <v>0.35</v>
      </c>
      <c r="H153" t="s">
        <v>42</v>
      </c>
      <c r="I153" t="s">
        <v>86</v>
      </c>
      <c r="J153" t="s">
        <v>88</v>
      </c>
      <c r="K153" t="s">
        <v>47</v>
      </c>
      <c r="L153" t="s">
        <v>26</v>
      </c>
      <c r="M153" t="s">
        <v>27</v>
      </c>
      <c r="N153" t="s">
        <v>28</v>
      </c>
      <c r="O153">
        <v>0</v>
      </c>
      <c r="P153">
        <v>37923</v>
      </c>
      <c r="Q153">
        <f t="shared" si="2"/>
        <v>3.7922999999999998E-2</v>
      </c>
      <c r="R153">
        <v>43252</v>
      </c>
      <c r="S153" t="s">
        <v>122</v>
      </c>
    </row>
    <row r="154" spans="1:19">
      <c r="A154">
        <v>60000153</v>
      </c>
      <c r="B154">
        <v>38</v>
      </c>
      <c r="C154" t="s">
        <v>33</v>
      </c>
      <c r="D154" t="s">
        <v>19</v>
      </c>
      <c r="E154" t="s">
        <v>75</v>
      </c>
      <c r="F154" t="s">
        <v>21</v>
      </c>
      <c r="G154" s="23">
        <v>0.36</v>
      </c>
      <c r="H154" t="s">
        <v>42</v>
      </c>
      <c r="I154" t="s">
        <v>57</v>
      </c>
      <c r="J154" t="s">
        <v>38</v>
      </c>
      <c r="K154" t="s">
        <v>84</v>
      </c>
      <c r="L154" t="s">
        <v>26</v>
      </c>
      <c r="M154" t="s">
        <v>27</v>
      </c>
      <c r="N154" t="s">
        <v>28</v>
      </c>
      <c r="O154">
        <v>0</v>
      </c>
      <c r="P154">
        <v>75896</v>
      </c>
      <c r="Q154">
        <f t="shared" si="2"/>
        <v>7.5896000000000005E-2</v>
      </c>
      <c r="R154">
        <v>43252</v>
      </c>
      <c r="S154" t="s">
        <v>122</v>
      </c>
    </row>
    <row r="155" spans="1:19">
      <c r="A155">
        <v>60000154</v>
      </c>
      <c r="B155">
        <v>35</v>
      </c>
      <c r="C155" t="s">
        <v>33</v>
      </c>
      <c r="D155" t="s">
        <v>19</v>
      </c>
      <c r="E155" t="s">
        <v>75</v>
      </c>
      <c r="F155" t="s">
        <v>21</v>
      </c>
      <c r="G155" s="23">
        <v>0.16</v>
      </c>
      <c r="H155" t="s">
        <v>22</v>
      </c>
      <c r="I155" t="s">
        <v>65</v>
      </c>
      <c r="J155" t="s">
        <v>38</v>
      </c>
      <c r="K155" t="s">
        <v>118</v>
      </c>
      <c r="L155" t="s">
        <v>26</v>
      </c>
      <c r="M155" t="s">
        <v>27</v>
      </c>
      <c r="N155" t="s">
        <v>28</v>
      </c>
      <c r="O155">
        <v>0</v>
      </c>
      <c r="P155">
        <v>39248</v>
      </c>
      <c r="Q155">
        <f t="shared" si="2"/>
        <v>3.9247999999999998E-2</v>
      </c>
      <c r="R155">
        <v>43252</v>
      </c>
      <c r="S155" t="s">
        <v>122</v>
      </c>
    </row>
    <row r="156" spans="1:19">
      <c r="A156">
        <v>60000155</v>
      </c>
      <c r="B156">
        <v>58</v>
      </c>
      <c r="C156" t="s">
        <v>33</v>
      </c>
      <c r="D156" t="s">
        <v>40</v>
      </c>
      <c r="E156" t="s">
        <v>44</v>
      </c>
      <c r="F156" t="s">
        <v>21</v>
      </c>
      <c r="G156" s="23">
        <v>0.32</v>
      </c>
      <c r="H156" t="s">
        <v>42</v>
      </c>
      <c r="I156" t="s">
        <v>30</v>
      </c>
      <c r="J156" t="s">
        <v>31</v>
      </c>
      <c r="K156" t="s">
        <v>117</v>
      </c>
      <c r="L156" t="s">
        <v>26</v>
      </c>
      <c r="M156" t="s">
        <v>27</v>
      </c>
      <c r="N156" t="s">
        <v>28</v>
      </c>
      <c r="O156">
        <v>2</v>
      </c>
      <c r="P156">
        <v>61793</v>
      </c>
      <c r="Q156">
        <f t="shared" si="2"/>
        <v>6.1793000000000001E-2</v>
      </c>
      <c r="R156">
        <v>43252</v>
      </c>
      <c r="S156" t="s">
        <v>122</v>
      </c>
    </row>
    <row r="157" spans="1:19">
      <c r="A157">
        <v>60000156</v>
      </c>
      <c r="B157">
        <v>43</v>
      </c>
      <c r="C157" t="s">
        <v>33</v>
      </c>
      <c r="D157" t="s">
        <v>40</v>
      </c>
      <c r="E157" t="s">
        <v>48</v>
      </c>
      <c r="F157" t="s">
        <v>21</v>
      </c>
      <c r="G157" s="23">
        <v>0.35</v>
      </c>
      <c r="H157" t="s">
        <v>42</v>
      </c>
      <c r="I157" t="s">
        <v>57</v>
      </c>
      <c r="J157" t="s">
        <v>61</v>
      </c>
      <c r="K157" t="s">
        <v>60</v>
      </c>
      <c r="L157" t="s">
        <v>26</v>
      </c>
      <c r="M157" t="s">
        <v>27</v>
      </c>
      <c r="N157" t="s">
        <v>28</v>
      </c>
      <c r="O157">
        <v>0</v>
      </c>
      <c r="P157">
        <v>84062</v>
      </c>
      <c r="Q157">
        <f t="shared" si="2"/>
        <v>8.4061999999999998E-2</v>
      </c>
      <c r="R157">
        <v>43252</v>
      </c>
      <c r="S157" t="s">
        <v>122</v>
      </c>
    </row>
    <row r="158" spans="1:19">
      <c r="A158">
        <v>60000157</v>
      </c>
      <c r="B158">
        <v>36</v>
      </c>
      <c r="C158" t="s">
        <v>33</v>
      </c>
      <c r="D158" t="s">
        <v>40</v>
      </c>
      <c r="E158" t="s">
        <v>75</v>
      </c>
      <c r="F158" t="s">
        <v>21</v>
      </c>
      <c r="G158" s="23">
        <v>0.11</v>
      </c>
      <c r="H158" t="s">
        <v>36</v>
      </c>
      <c r="I158" t="s">
        <v>60</v>
      </c>
      <c r="J158" t="s">
        <v>31</v>
      </c>
      <c r="K158" t="s">
        <v>113</v>
      </c>
      <c r="L158" t="s">
        <v>26</v>
      </c>
      <c r="M158" t="s">
        <v>27</v>
      </c>
      <c r="N158" t="s">
        <v>28</v>
      </c>
      <c r="O158">
        <v>6</v>
      </c>
      <c r="P158">
        <v>50759</v>
      </c>
      <c r="Q158">
        <f t="shared" si="2"/>
        <v>5.0758999999999999E-2</v>
      </c>
      <c r="R158">
        <v>43252</v>
      </c>
      <c r="S158" t="s">
        <v>122</v>
      </c>
    </row>
    <row r="159" spans="1:19">
      <c r="A159">
        <v>60000158</v>
      </c>
      <c r="B159">
        <v>35</v>
      </c>
      <c r="C159" t="s">
        <v>33</v>
      </c>
      <c r="D159" t="s">
        <v>19</v>
      </c>
      <c r="E159" t="s">
        <v>64</v>
      </c>
      <c r="F159" t="s">
        <v>21</v>
      </c>
      <c r="G159" s="23">
        <v>0.31</v>
      </c>
      <c r="H159" t="s">
        <v>53</v>
      </c>
      <c r="I159" t="s">
        <v>23</v>
      </c>
      <c r="J159" t="s">
        <v>46</v>
      </c>
      <c r="K159" t="s">
        <v>113</v>
      </c>
      <c r="L159" t="s">
        <v>26</v>
      </c>
      <c r="M159" t="s">
        <v>27</v>
      </c>
      <c r="N159" t="s">
        <v>28</v>
      </c>
      <c r="O159">
        <v>6</v>
      </c>
      <c r="P159">
        <v>29568</v>
      </c>
      <c r="Q159">
        <f t="shared" si="2"/>
        <v>2.9568000000000001E-2</v>
      </c>
      <c r="R159">
        <v>43252</v>
      </c>
      <c r="S159" t="s">
        <v>122</v>
      </c>
    </row>
    <row r="160" spans="1:19">
      <c r="A160">
        <v>60000159</v>
      </c>
      <c r="B160">
        <v>54</v>
      </c>
      <c r="C160" t="s">
        <v>18</v>
      </c>
      <c r="D160" t="s">
        <v>40</v>
      </c>
      <c r="E160" t="s">
        <v>52</v>
      </c>
      <c r="F160" t="s">
        <v>21</v>
      </c>
      <c r="G160" s="23">
        <v>0.27</v>
      </c>
      <c r="H160" t="s">
        <v>53</v>
      </c>
      <c r="I160" t="s">
        <v>76</v>
      </c>
      <c r="J160" t="s">
        <v>54</v>
      </c>
      <c r="K160" t="s">
        <v>83</v>
      </c>
      <c r="L160" t="s">
        <v>26</v>
      </c>
      <c r="M160" t="s">
        <v>27</v>
      </c>
      <c r="N160" t="s">
        <v>28</v>
      </c>
      <c r="O160">
        <v>3</v>
      </c>
      <c r="P160">
        <v>71682</v>
      </c>
      <c r="Q160">
        <f t="shared" si="2"/>
        <v>7.1681999999999996E-2</v>
      </c>
      <c r="R160">
        <v>43252</v>
      </c>
      <c r="S160" t="s">
        <v>122</v>
      </c>
    </row>
    <row r="161" spans="1:19">
      <c r="A161">
        <v>60000160</v>
      </c>
      <c r="B161">
        <v>52</v>
      </c>
      <c r="C161" t="s">
        <v>33</v>
      </c>
      <c r="D161" t="s">
        <v>40</v>
      </c>
      <c r="E161" t="s">
        <v>34</v>
      </c>
      <c r="F161" t="s">
        <v>21</v>
      </c>
      <c r="G161" s="23">
        <v>0.19</v>
      </c>
      <c r="H161" t="s">
        <v>29</v>
      </c>
      <c r="I161" t="s">
        <v>65</v>
      </c>
      <c r="J161" t="s">
        <v>58</v>
      </c>
      <c r="K161" t="s">
        <v>106</v>
      </c>
      <c r="L161" t="s">
        <v>26</v>
      </c>
      <c r="M161" t="s">
        <v>27</v>
      </c>
      <c r="N161" t="s">
        <v>28</v>
      </c>
      <c r="O161">
        <v>0</v>
      </c>
      <c r="P161">
        <v>70908</v>
      </c>
      <c r="Q161">
        <f t="shared" si="2"/>
        <v>7.0907999999999999E-2</v>
      </c>
      <c r="R161">
        <v>43252</v>
      </c>
      <c r="S161" t="s">
        <v>122</v>
      </c>
    </row>
    <row r="162" spans="1:19">
      <c r="A162">
        <v>60000161</v>
      </c>
      <c r="B162">
        <v>58</v>
      </c>
      <c r="C162" t="s">
        <v>33</v>
      </c>
      <c r="D162" t="s">
        <v>19</v>
      </c>
      <c r="E162" t="s">
        <v>20</v>
      </c>
      <c r="F162" t="s">
        <v>21</v>
      </c>
      <c r="G162" s="23">
        <v>0.27</v>
      </c>
      <c r="H162" t="s">
        <v>53</v>
      </c>
      <c r="I162" t="s">
        <v>68</v>
      </c>
      <c r="J162" t="s">
        <v>58</v>
      </c>
      <c r="K162" t="s">
        <v>50</v>
      </c>
      <c r="L162" t="s">
        <v>26</v>
      </c>
      <c r="M162" t="s">
        <v>27</v>
      </c>
      <c r="N162" t="s">
        <v>28</v>
      </c>
      <c r="O162">
        <v>4</v>
      </c>
      <c r="P162">
        <v>62729</v>
      </c>
      <c r="Q162">
        <f t="shared" si="2"/>
        <v>6.2728999999999993E-2</v>
      </c>
      <c r="R162">
        <v>43252</v>
      </c>
      <c r="S162" t="s">
        <v>122</v>
      </c>
    </row>
    <row r="163" spans="1:19">
      <c r="A163">
        <v>60000162</v>
      </c>
      <c r="B163">
        <v>25</v>
      </c>
      <c r="C163" t="s">
        <v>18</v>
      </c>
      <c r="D163" t="s">
        <v>19</v>
      </c>
      <c r="E163" t="s">
        <v>52</v>
      </c>
      <c r="F163" t="s">
        <v>21</v>
      </c>
      <c r="G163" s="23">
        <v>0.21</v>
      </c>
      <c r="H163" t="s">
        <v>29</v>
      </c>
      <c r="I163" t="s">
        <v>37</v>
      </c>
      <c r="J163" t="s">
        <v>58</v>
      </c>
      <c r="K163" t="s">
        <v>100</v>
      </c>
      <c r="L163" t="s">
        <v>26</v>
      </c>
      <c r="M163" t="s">
        <v>27</v>
      </c>
      <c r="N163" t="s">
        <v>28</v>
      </c>
      <c r="O163">
        <v>5</v>
      </c>
      <c r="P163">
        <v>51872</v>
      </c>
      <c r="Q163">
        <f t="shared" si="2"/>
        <v>5.1872000000000001E-2</v>
      </c>
      <c r="R163">
        <v>43252</v>
      </c>
      <c r="S163" t="s">
        <v>122</v>
      </c>
    </row>
    <row r="164" spans="1:19">
      <c r="A164">
        <v>60000163</v>
      </c>
      <c r="B164">
        <v>35</v>
      </c>
      <c r="C164" t="s">
        <v>18</v>
      </c>
      <c r="D164" t="s">
        <v>19</v>
      </c>
      <c r="E164" t="s">
        <v>41</v>
      </c>
      <c r="F164" t="s">
        <v>21</v>
      </c>
      <c r="G164" s="23">
        <v>0.37</v>
      </c>
      <c r="H164" t="s">
        <v>42</v>
      </c>
      <c r="I164" t="s">
        <v>70</v>
      </c>
      <c r="J164" t="s">
        <v>74</v>
      </c>
      <c r="K164" t="s">
        <v>107</v>
      </c>
      <c r="L164" t="s">
        <v>26</v>
      </c>
      <c r="M164" t="s">
        <v>27</v>
      </c>
      <c r="N164" t="s">
        <v>28</v>
      </c>
      <c r="O164">
        <v>0</v>
      </c>
      <c r="P164">
        <v>41202</v>
      </c>
      <c r="Q164">
        <f t="shared" si="2"/>
        <v>4.1202000000000003E-2</v>
      </c>
      <c r="R164">
        <v>43252</v>
      </c>
      <c r="S164" t="s">
        <v>122</v>
      </c>
    </row>
    <row r="165" spans="1:19">
      <c r="A165">
        <v>60000164</v>
      </c>
      <c r="B165">
        <v>21</v>
      </c>
      <c r="C165" t="s">
        <v>33</v>
      </c>
      <c r="D165" t="s">
        <v>40</v>
      </c>
      <c r="E165" t="s">
        <v>44</v>
      </c>
      <c r="F165" t="s">
        <v>21</v>
      </c>
      <c r="G165" s="23">
        <v>0.33</v>
      </c>
      <c r="H165" t="s">
        <v>42</v>
      </c>
      <c r="I165" t="s">
        <v>73</v>
      </c>
      <c r="J165" t="s">
        <v>46</v>
      </c>
      <c r="K165" t="s">
        <v>81</v>
      </c>
      <c r="L165" t="s">
        <v>26</v>
      </c>
      <c r="M165" t="s">
        <v>27</v>
      </c>
      <c r="N165" t="s">
        <v>28</v>
      </c>
      <c r="O165">
        <v>6</v>
      </c>
      <c r="P165">
        <v>54180</v>
      </c>
      <c r="Q165">
        <f t="shared" si="2"/>
        <v>5.4179999999999999E-2</v>
      </c>
      <c r="R165">
        <v>43252</v>
      </c>
      <c r="S165" t="s">
        <v>122</v>
      </c>
    </row>
    <row r="166" spans="1:19">
      <c r="A166">
        <v>60000165</v>
      </c>
      <c r="B166">
        <v>59</v>
      </c>
      <c r="C166" t="s">
        <v>33</v>
      </c>
      <c r="D166" t="s">
        <v>19</v>
      </c>
      <c r="E166" t="s">
        <v>34</v>
      </c>
      <c r="F166" t="s">
        <v>21</v>
      </c>
      <c r="G166" s="23">
        <v>0.12</v>
      </c>
      <c r="H166" t="s">
        <v>22</v>
      </c>
      <c r="I166" t="s">
        <v>83</v>
      </c>
      <c r="J166" t="s">
        <v>88</v>
      </c>
      <c r="K166" t="s">
        <v>83</v>
      </c>
      <c r="L166" t="s">
        <v>26</v>
      </c>
      <c r="M166" t="s">
        <v>27</v>
      </c>
      <c r="N166" t="s">
        <v>28</v>
      </c>
      <c r="O166">
        <v>6</v>
      </c>
      <c r="P166">
        <v>59795</v>
      </c>
      <c r="Q166">
        <f t="shared" si="2"/>
        <v>5.9795000000000001E-2</v>
      </c>
      <c r="R166">
        <v>43252</v>
      </c>
      <c r="S166" t="s">
        <v>122</v>
      </c>
    </row>
    <row r="167" spans="1:19">
      <c r="A167">
        <v>60000166</v>
      </c>
      <c r="B167">
        <v>27</v>
      </c>
      <c r="C167" t="s">
        <v>33</v>
      </c>
      <c r="D167" t="s">
        <v>19</v>
      </c>
      <c r="E167" t="s">
        <v>56</v>
      </c>
      <c r="F167" t="s">
        <v>21</v>
      </c>
      <c r="G167" s="23">
        <v>0.37</v>
      </c>
      <c r="H167" t="s">
        <v>42</v>
      </c>
      <c r="I167" t="s">
        <v>70</v>
      </c>
      <c r="J167" t="s">
        <v>91</v>
      </c>
      <c r="K167" t="s">
        <v>49</v>
      </c>
      <c r="L167" t="s">
        <v>26</v>
      </c>
      <c r="M167" t="s">
        <v>27</v>
      </c>
      <c r="N167" t="s">
        <v>28</v>
      </c>
      <c r="O167">
        <v>0</v>
      </c>
      <c r="P167">
        <v>26722</v>
      </c>
      <c r="Q167">
        <f t="shared" si="2"/>
        <v>2.6721999999999999E-2</v>
      </c>
      <c r="R167">
        <v>43252</v>
      </c>
      <c r="S167" t="s">
        <v>122</v>
      </c>
    </row>
    <row r="168" spans="1:19">
      <c r="A168">
        <v>60000167</v>
      </c>
      <c r="B168">
        <v>63</v>
      </c>
      <c r="C168" t="s">
        <v>33</v>
      </c>
      <c r="D168" t="s">
        <v>19</v>
      </c>
      <c r="E168" t="s">
        <v>41</v>
      </c>
      <c r="F168" t="s">
        <v>21</v>
      </c>
      <c r="G168" s="23">
        <v>0.36</v>
      </c>
      <c r="H168" t="s">
        <v>42</v>
      </c>
      <c r="I168" t="s">
        <v>60</v>
      </c>
      <c r="J168" t="s">
        <v>54</v>
      </c>
      <c r="K168" t="s">
        <v>89</v>
      </c>
      <c r="L168" t="s">
        <v>26</v>
      </c>
      <c r="M168" t="s">
        <v>27</v>
      </c>
      <c r="N168" t="s">
        <v>28</v>
      </c>
      <c r="O168">
        <v>0</v>
      </c>
      <c r="P168">
        <v>39648</v>
      </c>
      <c r="Q168">
        <f t="shared" si="2"/>
        <v>3.9648000000000003E-2</v>
      </c>
      <c r="R168">
        <v>43252</v>
      </c>
      <c r="S168" t="s">
        <v>122</v>
      </c>
    </row>
    <row r="169" spans="1:19">
      <c r="A169">
        <v>60000168</v>
      </c>
      <c r="B169">
        <v>45</v>
      </c>
      <c r="C169" t="s">
        <v>33</v>
      </c>
      <c r="D169" t="s">
        <v>40</v>
      </c>
      <c r="E169" t="s">
        <v>72</v>
      </c>
      <c r="F169" t="s">
        <v>21</v>
      </c>
      <c r="G169" s="23">
        <v>0.35</v>
      </c>
      <c r="H169" t="s">
        <v>42</v>
      </c>
      <c r="I169" t="s">
        <v>83</v>
      </c>
      <c r="J169" t="s">
        <v>46</v>
      </c>
      <c r="K169" t="s">
        <v>71</v>
      </c>
      <c r="L169" t="s">
        <v>26</v>
      </c>
      <c r="M169" t="s">
        <v>27</v>
      </c>
      <c r="N169" t="s">
        <v>28</v>
      </c>
      <c r="O169">
        <v>5</v>
      </c>
      <c r="P169">
        <v>63995</v>
      </c>
      <c r="Q169">
        <f t="shared" si="2"/>
        <v>6.3994999999999996E-2</v>
      </c>
      <c r="R169">
        <v>43252</v>
      </c>
      <c r="S169" t="s">
        <v>122</v>
      </c>
    </row>
    <row r="170" spans="1:19">
      <c r="A170">
        <v>60000169</v>
      </c>
      <c r="B170">
        <v>56</v>
      </c>
      <c r="C170" t="s">
        <v>33</v>
      </c>
      <c r="D170" t="s">
        <v>40</v>
      </c>
      <c r="E170" t="s">
        <v>20</v>
      </c>
      <c r="F170" t="s">
        <v>21</v>
      </c>
      <c r="G170" s="23">
        <v>0.25</v>
      </c>
      <c r="H170" t="s">
        <v>53</v>
      </c>
      <c r="I170" t="s">
        <v>73</v>
      </c>
      <c r="J170" t="s">
        <v>54</v>
      </c>
      <c r="K170" t="s">
        <v>87</v>
      </c>
      <c r="L170" t="s">
        <v>26</v>
      </c>
      <c r="M170" t="s">
        <v>27</v>
      </c>
      <c r="N170" t="s">
        <v>28</v>
      </c>
      <c r="O170">
        <v>5</v>
      </c>
      <c r="P170">
        <v>76037</v>
      </c>
      <c r="Q170">
        <f t="shared" si="2"/>
        <v>7.6036999999999993E-2</v>
      </c>
      <c r="R170">
        <v>43252</v>
      </c>
      <c r="S170" t="s">
        <v>122</v>
      </c>
    </row>
    <row r="171" spans="1:19">
      <c r="A171">
        <v>60000170</v>
      </c>
      <c r="B171">
        <v>26</v>
      </c>
      <c r="C171" t="s">
        <v>18</v>
      </c>
      <c r="D171" t="s">
        <v>40</v>
      </c>
      <c r="E171" t="s">
        <v>67</v>
      </c>
      <c r="F171" t="s">
        <v>21</v>
      </c>
      <c r="G171" s="23">
        <v>0.17</v>
      </c>
      <c r="H171" t="s">
        <v>22</v>
      </c>
      <c r="I171" t="s">
        <v>70</v>
      </c>
      <c r="J171" t="s">
        <v>38</v>
      </c>
      <c r="K171" t="s">
        <v>89</v>
      </c>
      <c r="L171" t="s">
        <v>26</v>
      </c>
      <c r="M171" t="s">
        <v>27</v>
      </c>
      <c r="N171" t="s">
        <v>28</v>
      </c>
      <c r="O171">
        <v>0</v>
      </c>
      <c r="P171">
        <v>56856</v>
      </c>
      <c r="Q171">
        <f t="shared" si="2"/>
        <v>5.6855999999999997E-2</v>
      </c>
      <c r="R171">
        <v>43252</v>
      </c>
      <c r="S171" t="s">
        <v>122</v>
      </c>
    </row>
    <row r="172" spans="1:19">
      <c r="A172">
        <v>60000171</v>
      </c>
      <c r="B172">
        <v>32</v>
      </c>
      <c r="C172" t="s">
        <v>18</v>
      </c>
      <c r="D172" t="s">
        <v>19</v>
      </c>
      <c r="E172" t="s">
        <v>44</v>
      </c>
      <c r="F172" t="s">
        <v>21</v>
      </c>
      <c r="G172" s="23">
        <v>0.33</v>
      </c>
      <c r="H172" t="s">
        <v>42</v>
      </c>
      <c r="I172" t="s">
        <v>45</v>
      </c>
      <c r="J172" t="s">
        <v>78</v>
      </c>
      <c r="K172" t="s">
        <v>107</v>
      </c>
      <c r="L172" t="s">
        <v>26</v>
      </c>
      <c r="M172" t="s">
        <v>27</v>
      </c>
      <c r="N172" t="s">
        <v>28</v>
      </c>
      <c r="O172">
        <v>0</v>
      </c>
      <c r="P172">
        <v>60704</v>
      </c>
      <c r="Q172">
        <f t="shared" si="2"/>
        <v>6.0704000000000001E-2</v>
      </c>
      <c r="R172">
        <v>43252</v>
      </c>
      <c r="S172" t="s">
        <v>122</v>
      </c>
    </row>
    <row r="173" spans="1:19">
      <c r="A173">
        <v>60000172</v>
      </c>
      <c r="B173">
        <v>55</v>
      </c>
      <c r="C173" t="s">
        <v>33</v>
      </c>
      <c r="D173" t="s">
        <v>19</v>
      </c>
      <c r="E173" t="s">
        <v>85</v>
      </c>
      <c r="F173" t="s">
        <v>21</v>
      </c>
      <c r="G173" s="23">
        <v>0.25</v>
      </c>
      <c r="H173" t="s">
        <v>53</v>
      </c>
      <c r="I173" t="s">
        <v>62</v>
      </c>
      <c r="J173" t="s">
        <v>24</v>
      </c>
      <c r="K173" t="s">
        <v>108</v>
      </c>
      <c r="L173" t="s">
        <v>26</v>
      </c>
      <c r="M173" t="s">
        <v>27</v>
      </c>
      <c r="N173" t="s">
        <v>28</v>
      </c>
      <c r="O173">
        <v>0</v>
      </c>
      <c r="P173">
        <v>50080</v>
      </c>
      <c r="Q173">
        <f t="shared" si="2"/>
        <v>5.008E-2</v>
      </c>
      <c r="R173">
        <v>43252</v>
      </c>
      <c r="S173" t="s">
        <v>122</v>
      </c>
    </row>
    <row r="174" spans="1:19">
      <c r="A174">
        <v>60000173</v>
      </c>
      <c r="B174">
        <v>50</v>
      </c>
      <c r="C174" t="s">
        <v>33</v>
      </c>
      <c r="D174" t="s">
        <v>19</v>
      </c>
      <c r="E174" t="s">
        <v>34</v>
      </c>
      <c r="F174" t="s">
        <v>21</v>
      </c>
      <c r="G174" s="23">
        <v>0.21</v>
      </c>
      <c r="H174" t="s">
        <v>29</v>
      </c>
      <c r="I174" t="s">
        <v>80</v>
      </c>
      <c r="J174" t="s">
        <v>31</v>
      </c>
      <c r="K174" t="s">
        <v>84</v>
      </c>
      <c r="L174" t="s">
        <v>26</v>
      </c>
      <c r="M174" t="s">
        <v>27</v>
      </c>
      <c r="N174" t="s">
        <v>28</v>
      </c>
      <c r="O174">
        <v>0</v>
      </c>
      <c r="P174">
        <v>26389</v>
      </c>
      <c r="Q174">
        <f t="shared" ref="Q174:Q237" si="3">+P174/1000000</f>
        <v>2.6388999999999999E-2</v>
      </c>
      <c r="R174">
        <v>43252</v>
      </c>
      <c r="S174" t="s">
        <v>122</v>
      </c>
    </row>
    <row r="175" spans="1:19">
      <c r="A175">
        <v>60000174</v>
      </c>
      <c r="B175">
        <v>23</v>
      </c>
      <c r="C175" t="s">
        <v>33</v>
      </c>
      <c r="D175" t="s">
        <v>19</v>
      </c>
      <c r="E175" t="s">
        <v>85</v>
      </c>
      <c r="F175" t="s">
        <v>21</v>
      </c>
      <c r="G175" s="23">
        <v>0.25</v>
      </c>
      <c r="H175" t="s">
        <v>53</v>
      </c>
      <c r="I175" t="s">
        <v>57</v>
      </c>
      <c r="J175" t="s">
        <v>38</v>
      </c>
      <c r="K175" t="s">
        <v>98</v>
      </c>
      <c r="L175" t="s">
        <v>26</v>
      </c>
      <c r="M175" t="s">
        <v>27</v>
      </c>
      <c r="N175" t="s">
        <v>28</v>
      </c>
      <c r="O175">
        <v>0</v>
      </c>
      <c r="P175">
        <v>29057</v>
      </c>
      <c r="Q175">
        <f t="shared" si="3"/>
        <v>2.9056999999999999E-2</v>
      </c>
      <c r="R175">
        <v>43252</v>
      </c>
      <c r="S175" t="s">
        <v>122</v>
      </c>
    </row>
    <row r="176" spans="1:19">
      <c r="A176">
        <v>60000175</v>
      </c>
      <c r="B176">
        <v>45</v>
      </c>
      <c r="C176" t="s">
        <v>33</v>
      </c>
      <c r="D176" t="s">
        <v>40</v>
      </c>
      <c r="E176" t="s">
        <v>75</v>
      </c>
      <c r="F176" t="s">
        <v>21</v>
      </c>
      <c r="G176" s="23">
        <v>0.14000000000000001</v>
      </c>
      <c r="H176" t="s">
        <v>22</v>
      </c>
      <c r="I176" t="s">
        <v>37</v>
      </c>
      <c r="J176" t="s">
        <v>31</v>
      </c>
      <c r="K176" t="s">
        <v>114</v>
      </c>
      <c r="L176" t="s">
        <v>26</v>
      </c>
      <c r="M176" t="s">
        <v>27</v>
      </c>
      <c r="N176" t="s">
        <v>28</v>
      </c>
      <c r="O176">
        <v>6</v>
      </c>
      <c r="P176">
        <v>33747</v>
      </c>
      <c r="Q176">
        <f t="shared" si="3"/>
        <v>3.3746999999999999E-2</v>
      </c>
      <c r="R176">
        <v>43252</v>
      </c>
      <c r="S176" t="s">
        <v>122</v>
      </c>
    </row>
    <row r="177" spans="1:19">
      <c r="A177">
        <v>60000176</v>
      </c>
      <c r="B177">
        <v>32</v>
      </c>
      <c r="C177" t="s">
        <v>33</v>
      </c>
      <c r="D177" t="s">
        <v>40</v>
      </c>
      <c r="E177" t="s">
        <v>64</v>
      </c>
      <c r="F177" t="s">
        <v>21</v>
      </c>
      <c r="G177" s="23">
        <v>0.27</v>
      </c>
      <c r="H177" t="s">
        <v>53</v>
      </c>
      <c r="I177" t="s">
        <v>68</v>
      </c>
      <c r="J177" t="s">
        <v>88</v>
      </c>
      <c r="K177" t="s">
        <v>63</v>
      </c>
      <c r="L177" t="s">
        <v>26</v>
      </c>
      <c r="M177" t="s">
        <v>27</v>
      </c>
      <c r="N177" t="s">
        <v>28</v>
      </c>
      <c r="O177">
        <v>2</v>
      </c>
      <c r="P177">
        <v>39675</v>
      </c>
      <c r="Q177">
        <f t="shared" si="3"/>
        <v>3.9675000000000002E-2</v>
      </c>
      <c r="R177">
        <v>43252</v>
      </c>
      <c r="S177" t="s">
        <v>122</v>
      </c>
    </row>
    <row r="178" spans="1:19">
      <c r="A178">
        <v>60000177</v>
      </c>
      <c r="B178">
        <v>49</v>
      </c>
      <c r="C178" t="s">
        <v>18</v>
      </c>
      <c r="D178" t="s">
        <v>19</v>
      </c>
      <c r="E178" t="s">
        <v>67</v>
      </c>
      <c r="F178" t="s">
        <v>21</v>
      </c>
      <c r="G178" s="23">
        <v>0.34</v>
      </c>
      <c r="H178" t="s">
        <v>42</v>
      </c>
      <c r="I178" t="s">
        <v>80</v>
      </c>
      <c r="J178" t="s">
        <v>54</v>
      </c>
      <c r="K178" t="s">
        <v>96</v>
      </c>
      <c r="L178" t="s">
        <v>26</v>
      </c>
      <c r="M178" t="s">
        <v>27</v>
      </c>
      <c r="N178" t="s">
        <v>28</v>
      </c>
      <c r="O178">
        <v>3</v>
      </c>
      <c r="P178">
        <v>32052</v>
      </c>
      <c r="Q178">
        <f t="shared" si="3"/>
        <v>3.2051999999999997E-2</v>
      </c>
      <c r="R178">
        <v>43252</v>
      </c>
      <c r="S178" t="s">
        <v>122</v>
      </c>
    </row>
    <row r="179" spans="1:19">
      <c r="A179">
        <v>60000178</v>
      </c>
      <c r="B179">
        <v>49</v>
      </c>
      <c r="C179" t="s">
        <v>33</v>
      </c>
      <c r="D179" t="s">
        <v>40</v>
      </c>
      <c r="E179" t="s">
        <v>72</v>
      </c>
      <c r="F179" t="s">
        <v>21</v>
      </c>
      <c r="G179" s="23">
        <v>0.31</v>
      </c>
      <c r="H179" t="s">
        <v>53</v>
      </c>
      <c r="I179" t="s">
        <v>57</v>
      </c>
      <c r="J179" t="s">
        <v>78</v>
      </c>
      <c r="K179" t="s">
        <v>118</v>
      </c>
      <c r="L179" t="s">
        <v>26</v>
      </c>
      <c r="M179" t="s">
        <v>27</v>
      </c>
      <c r="N179" t="s">
        <v>28</v>
      </c>
      <c r="O179">
        <v>6</v>
      </c>
      <c r="P179">
        <v>84649</v>
      </c>
      <c r="Q179">
        <f t="shared" si="3"/>
        <v>8.4649000000000002E-2</v>
      </c>
      <c r="R179">
        <v>43252</v>
      </c>
      <c r="S179" t="s">
        <v>122</v>
      </c>
    </row>
    <row r="180" spans="1:19">
      <c r="A180">
        <v>60000179</v>
      </c>
      <c r="B180">
        <v>32</v>
      </c>
      <c r="C180" t="s">
        <v>18</v>
      </c>
      <c r="D180" t="s">
        <v>40</v>
      </c>
      <c r="E180" t="s">
        <v>48</v>
      </c>
      <c r="F180" t="s">
        <v>21</v>
      </c>
      <c r="G180" s="23">
        <v>0.27</v>
      </c>
      <c r="H180" t="s">
        <v>53</v>
      </c>
      <c r="I180" t="s">
        <v>65</v>
      </c>
      <c r="J180" t="s">
        <v>58</v>
      </c>
      <c r="K180" t="s">
        <v>83</v>
      </c>
      <c r="L180" t="s">
        <v>26</v>
      </c>
      <c r="M180" t="s">
        <v>27</v>
      </c>
      <c r="N180" t="s">
        <v>28</v>
      </c>
      <c r="O180">
        <v>0</v>
      </c>
      <c r="P180">
        <v>54095</v>
      </c>
      <c r="Q180">
        <f t="shared" si="3"/>
        <v>5.4094999999999997E-2</v>
      </c>
      <c r="R180">
        <v>43252</v>
      </c>
      <c r="S180" t="s">
        <v>122</v>
      </c>
    </row>
    <row r="181" spans="1:19">
      <c r="A181">
        <v>60000180</v>
      </c>
      <c r="B181">
        <v>33</v>
      </c>
      <c r="C181" t="s">
        <v>18</v>
      </c>
      <c r="D181" t="s">
        <v>40</v>
      </c>
      <c r="E181" t="s">
        <v>48</v>
      </c>
      <c r="F181" t="s">
        <v>21</v>
      </c>
      <c r="G181" s="23">
        <v>0.33</v>
      </c>
      <c r="H181" t="s">
        <v>42</v>
      </c>
      <c r="I181" t="s">
        <v>57</v>
      </c>
      <c r="J181" t="s">
        <v>38</v>
      </c>
      <c r="K181" t="s">
        <v>104</v>
      </c>
      <c r="L181" t="s">
        <v>26</v>
      </c>
      <c r="M181" t="s">
        <v>27</v>
      </c>
      <c r="N181" t="s">
        <v>28</v>
      </c>
      <c r="O181">
        <v>1</v>
      </c>
      <c r="P181">
        <v>77038</v>
      </c>
      <c r="Q181">
        <f t="shared" si="3"/>
        <v>7.7037999999999995E-2</v>
      </c>
      <c r="R181">
        <v>43252</v>
      </c>
      <c r="S181" t="s">
        <v>122</v>
      </c>
    </row>
    <row r="182" spans="1:19">
      <c r="A182">
        <v>60000181</v>
      </c>
      <c r="B182">
        <v>59</v>
      </c>
      <c r="C182" t="s">
        <v>33</v>
      </c>
      <c r="D182" t="s">
        <v>19</v>
      </c>
      <c r="E182" t="s">
        <v>41</v>
      </c>
      <c r="F182" t="s">
        <v>21</v>
      </c>
      <c r="G182" s="23">
        <v>0.12</v>
      </c>
      <c r="H182" t="s">
        <v>22</v>
      </c>
      <c r="I182" t="s">
        <v>57</v>
      </c>
      <c r="J182" t="s">
        <v>24</v>
      </c>
      <c r="K182" t="s">
        <v>105</v>
      </c>
      <c r="L182" t="s">
        <v>26</v>
      </c>
      <c r="M182" t="s">
        <v>27</v>
      </c>
      <c r="N182" t="s">
        <v>28</v>
      </c>
      <c r="O182">
        <v>0</v>
      </c>
      <c r="P182">
        <v>51058</v>
      </c>
      <c r="Q182">
        <f t="shared" si="3"/>
        <v>5.1057999999999999E-2</v>
      </c>
      <c r="R182">
        <v>43252</v>
      </c>
      <c r="S182" t="s">
        <v>122</v>
      </c>
    </row>
    <row r="183" spans="1:19">
      <c r="A183">
        <v>60000182</v>
      </c>
      <c r="B183">
        <v>57</v>
      </c>
      <c r="C183" t="s">
        <v>18</v>
      </c>
      <c r="D183" t="s">
        <v>40</v>
      </c>
      <c r="E183" t="s">
        <v>48</v>
      </c>
      <c r="F183" t="s">
        <v>21</v>
      </c>
      <c r="G183" s="23">
        <v>0.11</v>
      </c>
      <c r="H183" t="s">
        <v>36</v>
      </c>
      <c r="I183" t="s">
        <v>30</v>
      </c>
      <c r="J183" t="s">
        <v>24</v>
      </c>
      <c r="K183" t="s">
        <v>104</v>
      </c>
      <c r="L183" t="s">
        <v>26</v>
      </c>
      <c r="M183" t="s">
        <v>27</v>
      </c>
      <c r="N183" t="s">
        <v>28</v>
      </c>
      <c r="O183">
        <v>0</v>
      </c>
      <c r="P183">
        <v>84183</v>
      </c>
      <c r="Q183">
        <f t="shared" si="3"/>
        <v>8.4182999999999994E-2</v>
      </c>
      <c r="R183">
        <v>43252</v>
      </c>
      <c r="S183" t="s">
        <v>122</v>
      </c>
    </row>
    <row r="184" spans="1:19">
      <c r="A184">
        <v>60000183</v>
      </c>
      <c r="B184">
        <v>61</v>
      </c>
      <c r="C184" t="s">
        <v>18</v>
      </c>
      <c r="D184" t="s">
        <v>19</v>
      </c>
      <c r="E184" t="s">
        <v>85</v>
      </c>
      <c r="F184" t="s">
        <v>21</v>
      </c>
      <c r="G184" s="23">
        <v>0.33</v>
      </c>
      <c r="H184" t="s">
        <v>42</v>
      </c>
      <c r="I184" t="s">
        <v>62</v>
      </c>
      <c r="J184" t="s">
        <v>58</v>
      </c>
      <c r="K184" t="s">
        <v>105</v>
      </c>
      <c r="L184" t="s">
        <v>26</v>
      </c>
      <c r="M184" t="s">
        <v>27</v>
      </c>
      <c r="N184" t="s">
        <v>28</v>
      </c>
      <c r="O184">
        <v>0</v>
      </c>
      <c r="P184">
        <v>48307</v>
      </c>
      <c r="Q184">
        <f t="shared" si="3"/>
        <v>4.8307000000000003E-2</v>
      </c>
      <c r="R184">
        <v>43252</v>
      </c>
      <c r="S184" t="s">
        <v>122</v>
      </c>
    </row>
    <row r="185" spans="1:19">
      <c r="A185">
        <v>60000184</v>
      </c>
      <c r="B185">
        <v>41</v>
      </c>
      <c r="C185" t="s">
        <v>33</v>
      </c>
      <c r="D185" t="s">
        <v>19</v>
      </c>
      <c r="E185" t="s">
        <v>64</v>
      </c>
      <c r="F185" t="s">
        <v>21</v>
      </c>
      <c r="G185" s="23">
        <v>0.25</v>
      </c>
      <c r="H185" t="s">
        <v>53</v>
      </c>
      <c r="I185" t="s">
        <v>73</v>
      </c>
      <c r="J185" t="s">
        <v>46</v>
      </c>
      <c r="K185" t="s">
        <v>62</v>
      </c>
      <c r="L185" t="s">
        <v>26</v>
      </c>
      <c r="M185" t="s">
        <v>27</v>
      </c>
      <c r="N185" t="s">
        <v>28</v>
      </c>
      <c r="O185">
        <v>1</v>
      </c>
      <c r="P185">
        <v>26567</v>
      </c>
      <c r="Q185">
        <f t="shared" si="3"/>
        <v>2.6567E-2</v>
      </c>
      <c r="R185">
        <v>43252</v>
      </c>
      <c r="S185" t="s">
        <v>122</v>
      </c>
    </row>
    <row r="186" spans="1:19">
      <c r="A186">
        <v>60000185</v>
      </c>
      <c r="B186">
        <v>46</v>
      </c>
      <c r="C186" t="s">
        <v>33</v>
      </c>
      <c r="D186" t="s">
        <v>40</v>
      </c>
      <c r="E186" t="s">
        <v>34</v>
      </c>
      <c r="F186" t="s">
        <v>21</v>
      </c>
      <c r="G186" s="23">
        <v>0.37</v>
      </c>
      <c r="H186" t="s">
        <v>42</v>
      </c>
      <c r="I186" t="s">
        <v>73</v>
      </c>
      <c r="J186" t="s">
        <v>58</v>
      </c>
      <c r="K186" t="s">
        <v>117</v>
      </c>
      <c r="L186" t="s">
        <v>26</v>
      </c>
      <c r="M186" t="s">
        <v>27</v>
      </c>
      <c r="N186" t="s">
        <v>28</v>
      </c>
      <c r="O186">
        <v>0</v>
      </c>
      <c r="P186">
        <v>60974</v>
      </c>
      <c r="Q186">
        <f t="shared" si="3"/>
        <v>6.0974E-2</v>
      </c>
      <c r="R186">
        <v>43252</v>
      </c>
      <c r="S186" t="s">
        <v>122</v>
      </c>
    </row>
    <row r="187" spans="1:19">
      <c r="A187">
        <v>60000186</v>
      </c>
      <c r="B187">
        <v>43</v>
      </c>
      <c r="C187" t="s">
        <v>33</v>
      </c>
      <c r="D187" t="s">
        <v>19</v>
      </c>
      <c r="E187" t="s">
        <v>75</v>
      </c>
      <c r="F187" t="s">
        <v>21</v>
      </c>
      <c r="G187" s="23">
        <v>0.16</v>
      </c>
      <c r="H187" t="s">
        <v>22</v>
      </c>
      <c r="I187" t="s">
        <v>65</v>
      </c>
      <c r="J187" t="s">
        <v>46</v>
      </c>
      <c r="K187" t="s">
        <v>55</v>
      </c>
      <c r="L187" t="s">
        <v>26</v>
      </c>
      <c r="M187" t="s">
        <v>27</v>
      </c>
      <c r="N187" t="s">
        <v>28</v>
      </c>
      <c r="O187">
        <v>2</v>
      </c>
      <c r="P187">
        <v>42439</v>
      </c>
      <c r="Q187">
        <f t="shared" si="3"/>
        <v>4.2438999999999998E-2</v>
      </c>
      <c r="R187">
        <v>43252</v>
      </c>
      <c r="S187" t="s">
        <v>122</v>
      </c>
    </row>
    <row r="188" spans="1:19">
      <c r="A188">
        <v>60000187</v>
      </c>
      <c r="B188">
        <v>23</v>
      </c>
      <c r="C188" t="s">
        <v>33</v>
      </c>
      <c r="D188" t="s">
        <v>19</v>
      </c>
      <c r="E188" t="s">
        <v>72</v>
      </c>
      <c r="F188" t="s">
        <v>21</v>
      </c>
      <c r="G188" s="23">
        <v>0.38</v>
      </c>
      <c r="H188" t="s">
        <v>42</v>
      </c>
      <c r="I188" t="s">
        <v>49</v>
      </c>
      <c r="J188" t="s">
        <v>54</v>
      </c>
      <c r="K188" t="s">
        <v>32</v>
      </c>
      <c r="L188" t="s">
        <v>26</v>
      </c>
      <c r="M188" t="s">
        <v>27</v>
      </c>
      <c r="N188" t="s">
        <v>28</v>
      </c>
      <c r="O188">
        <v>0</v>
      </c>
      <c r="P188">
        <v>55285</v>
      </c>
      <c r="Q188">
        <f t="shared" si="3"/>
        <v>5.5285000000000001E-2</v>
      </c>
      <c r="R188">
        <v>43252</v>
      </c>
      <c r="S188" t="s">
        <v>122</v>
      </c>
    </row>
    <row r="189" spans="1:19">
      <c r="A189">
        <v>60000188</v>
      </c>
      <c r="B189">
        <v>31</v>
      </c>
      <c r="C189" t="s">
        <v>33</v>
      </c>
      <c r="D189" t="s">
        <v>40</v>
      </c>
      <c r="E189" t="s">
        <v>72</v>
      </c>
      <c r="F189" t="s">
        <v>21</v>
      </c>
      <c r="G189" s="23">
        <v>0.17</v>
      </c>
      <c r="H189" t="s">
        <v>22</v>
      </c>
      <c r="I189" t="s">
        <v>68</v>
      </c>
      <c r="J189" t="s">
        <v>46</v>
      </c>
      <c r="K189" t="s">
        <v>102</v>
      </c>
      <c r="L189" t="s">
        <v>26</v>
      </c>
      <c r="M189" t="s">
        <v>27</v>
      </c>
      <c r="N189" t="s">
        <v>28</v>
      </c>
      <c r="O189">
        <v>4</v>
      </c>
      <c r="P189">
        <v>53544</v>
      </c>
      <c r="Q189">
        <f t="shared" si="3"/>
        <v>5.3544000000000001E-2</v>
      </c>
      <c r="R189">
        <v>43252</v>
      </c>
      <c r="S189" t="s">
        <v>122</v>
      </c>
    </row>
    <row r="190" spans="1:19">
      <c r="A190">
        <v>60000189</v>
      </c>
      <c r="B190">
        <v>20</v>
      </c>
      <c r="C190" t="s">
        <v>33</v>
      </c>
      <c r="D190" t="s">
        <v>19</v>
      </c>
      <c r="E190" t="s">
        <v>41</v>
      </c>
      <c r="F190" t="s">
        <v>21</v>
      </c>
      <c r="G190" s="23">
        <v>0.26</v>
      </c>
      <c r="H190" t="s">
        <v>53</v>
      </c>
      <c r="I190" t="s">
        <v>83</v>
      </c>
      <c r="J190" t="s">
        <v>38</v>
      </c>
      <c r="K190" t="s">
        <v>115</v>
      </c>
      <c r="L190" t="s">
        <v>26</v>
      </c>
      <c r="M190" t="s">
        <v>27</v>
      </c>
      <c r="N190" t="s">
        <v>28</v>
      </c>
      <c r="O190">
        <v>7</v>
      </c>
      <c r="P190">
        <v>73705</v>
      </c>
      <c r="Q190">
        <f t="shared" si="3"/>
        <v>7.3705000000000007E-2</v>
      </c>
      <c r="R190">
        <v>43252</v>
      </c>
      <c r="S190" t="s">
        <v>122</v>
      </c>
    </row>
    <row r="191" spans="1:19">
      <c r="A191">
        <v>60000190</v>
      </c>
      <c r="B191">
        <v>64</v>
      </c>
      <c r="C191" t="s">
        <v>18</v>
      </c>
      <c r="D191" t="s">
        <v>40</v>
      </c>
      <c r="E191" t="s">
        <v>44</v>
      </c>
      <c r="F191" t="s">
        <v>21</v>
      </c>
      <c r="G191" s="23">
        <v>0.19</v>
      </c>
      <c r="H191" t="s">
        <v>29</v>
      </c>
      <c r="I191" t="s">
        <v>68</v>
      </c>
      <c r="J191" t="s">
        <v>24</v>
      </c>
      <c r="K191" t="s">
        <v>71</v>
      </c>
      <c r="L191" t="s">
        <v>26</v>
      </c>
      <c r="M191" t="s">
        <v>27</v>
      </c>
      <c r="N191" t="s">
        <v>28</v>
      </c>
      <c r="O191">
        <v>0</v>
      </c>
      <c r="P191">
        <v>45558</v>
      </c>
      <c r="Q191">
        <f t="shared" si="3"/>
        <v>4.5558000000000001E-2</v>
      </c>
      <c r="R191">
        <v>43252</v>
      </c>
      <c r="S191" t="s">
        <v>122</v>
      </c>
    </row>
    <row r="192" spans="1:19">
      <c r="A192">
        <v>60000191</v>
      </c>
      <c r="B192">
        <v>26</v>
      </c>
      <c r="C192" t="s">
        <v>33</v>
      </c>
      <c r="D192" t="s">
        <v>19</v>
      </c>
      <c r="E192" t="s">
        <v>44</v>
      </c>
      <c r="F192" t="s">
        <v>21</v>
      </c>
      <c r="G192" s="23">
        <v>0.22</v>
      </c>
      <c r="H192" t="s">
        <v>29</v>
      </c>
      <c r="I192" t="s">
        <v>73</v>
      </c>
      <c r="J192" t="s">
        <v>31</v>
      </c>
      <c r="K192" t="s">
        <v>102</v>
      </c>
      <c r="L192" t="s">
        <v>26</v>
      </c>
      <c r="M192" t="s">
        <v>27</v>
      </c>
      <c r="N192" t="s">
        <v>28</v>
      </c>
      <c r="O192">
        <v>0</v>
      </c>
      <c r="P192">
        <v>52826</v>
      </c>
      <c r="Q192">
        <f t="shared" si="3"/>
        <v>5.2825999999999998E-2</v>
      </c>
      <c r="R192">
        <v>43252</v>
      </c>
      <c r="S192" t="s">
        <v>122</v>
      </c>
    </row>
    <row r="193" spans="1:19">
      <c r="A193">
        <v>60000192</v>
      </c>
      <c r="B193">
        <v>46</v>
      </c>
      <c r="C193" t="s">
        <v>18</v>
      </c>
      <c r="D193" t="s">
        <v>19</v>
      </c>
      <c r="E193" t="s">
        <v>20</v>
      </c>
      <c r="F193" t="s">
        <v>21</v>
      </c>
      <c r="G193" s="23">
        <v>0.23</v>
      </c>
      <c r="H193" t="s">
        <v>29</v>
      </c>
      <c r="I193" t="s">
        <v>86</v>
      </c>
      <c r="J193" t="s">
        <v>31</v>
      </c>
      <c r="K193" t="s">
        <v>110</v>
      </c>
      <c r="L193" t="s">
        <v>26</v>
      </c>
      <c r="M193" t="s">
        <v>27</v>
      </c>
      <c r="N193" t="s">
        <v>28</v>
      </c>
      <c r="O193">
        <v>1</v>
      </c>
      <c r="P193">
        <v>82293</v>
      </c>
      <c r="Q193">
        <f t="shared" si="3"/>
        <v>8.2293000000000005E-2</v>
      </c>
      <c r="R193">
        <v>43252</v>
      </c>
      <c r="S193" t="s">
        <v>122</v>
      </c>
    </row>
    <row r="194" spans="1:19">
      <c r="A194">
        <v>60000193</v>
      </c>
      <c r="B194">
        <v>45</v>
      </c>
      <c r="C194" t="s">
        <v>33</v>
      </c>
      <c r="D194" t="s">
        <v>40</v>
      </c>
      <c r="E194" t="s">
        <v>85</v>
      </c>
      <c r="F194" t="s">
        <v>21</v>
      </c>
      <c r="G194" s="23">
        <v>0.21</v>
      </c>
      <c r="H194" t="s">
        <v>29</v>
      </c>
      <c r="I194" t="s">
        <v>23</v>
      </c>
      <c r="J194" t="s">
        <v>24</v>
      </c>
      <c r="K194" t="s">
        <v>87</v>
      </c>
      <c r="L194" t="s">
        <v>26</v>
      </c>
      <c r="M194" t="s">
        <v>27</v>
      </c>
      <c r="N194" t="s">
        <v>28</v>
      </c>
      <c r="O194">
        <v>0</v>
      </c>
      <c r="P194">
        <v>40443</v>
      </c>
      <c r="Q194">
        <f t="shared" si="3"/>
        <v>4.0443E-2</v>
      </c>
      <c r="R194">
        <v>43252</v>
      </c>
      <c r="S194" t="s">
        <v>122</v>
      </c>
    </row>
    <row r="195" spans="1:19">
      <c r="A195">
        <v>60000194</v>
      </c>
      <c r="B195">
        <v>45</v>
      </c>
      <c r="C195" t="s">
        <v>18</v>
      </c>
      <c r="D195" t="s">
        <v>19</v>
      </c>
      <c r="E195" t="s">
        <v>85</v>
      </c>
      <c r="F195" t="s">
        <v>21</v>
      </c>
      <c r="G195" s="23">
        <v>0.18</v>
      </c>
      <c r="H195" t="s">
        <v>22</v>
      </c>
      <c r="I195" t="s">
        <v>57</v>
      </c>
      <c r="J195" t="s">
        <v>78</v>
      </c>
      <c r="K195" t="s">
        <v>115</v>
      </c>
      <c r="L195" t="s">
        <v>26</v>
      </c>
      <c r="M195" t="s">
        <v>27</v>
      </c>
      <c r="N195" t="s">
        <v>28</v>
      </c>
      <c r="O195">
        <v>0</v>
      </c>
      <c r="P195">
        <v>43835</v>
      </c>
      <c r="Q195">
        <f t="shared" si="3"/>
        <v>4.3834999999999999E-2</v>
      </c>
      <c r="R195">
        <v>43252</v>
      </c>
      <c r="S195" t="s">
        <v>122</v>
      </c>
    </row>
    <row r="196" spans="1:19">
      <c r="A196">
        <v>60000195</v>
      </c>
      <c r="B196">
        <v>56</v>
      </c>
      <c r="C196" t="s">
        <v>33</v>
      </c>
      <c r="D196" t="s">
        <v>19</v>
      </c>
      <c r="E196" t="s">
        <v>85</v>
      </c>
      <c r="F196" t="s">
        <v>21</v>
      </c>
      <c r="G196" s="23">
        <v>0.3</v>
      </c>
      <c r="H196" t="s">
        <v>53</v>
      </c>
      <c r="I196" t="s">
        <v>30</v>
      </c>
      <c r="J196" t="s">
        <v>31</v>
      </c>
      <c r="K196" t="s">
        <v>102</v>
      </c>
      <c r="L196" t="s">
        <v>26</v>
      </c>
      <c r="M196" t="s">
        <v>27</v>
      </c>
      <c r="N196" t="s">
        <v>28</v>
      </c>
      <c r="O196">
        <v>3</v>
      </c>
      <c r="P196">
        <v>49676</v>
      </c>
      <c r="Q196">
        <f t="shared" si="3"/>
        <v>4.9675999999999998E-2</v>
      </c>
      <c r="R196">
        <v>43252</v>
      </c>
      <c r="S196" t="s">
        <v>122</v>
      </c>
    </row>
    <row r="197" spans="1:19">
      <c r="A197">
        <v>60000196</v>
      </c>
      <c r="B197">
        <v>25</v>
      </c>
      <c r="C197" t="s">
        <v>33</v>
      </c>
      <c r="D197" t="s">
        <v>19</v>
      </c>
      <c r="E197" t="s">
        <v>67</v>
      </c>
      <c r="F197" t="s">
        <v>21</v>
      </c>
      <c r="G197" s="23">
        <v>0.16</v>
      </c>
      <c r="H197" t="s">
        <v>22</v>
      </c>
      <c r="I197" t="s">
        <v>62</v>
      </c>
      <c r="J197" t="s">
        <v>69</v>
      </c>
      <c r="K197" t="s">
        <v>113</v>
      </c>
      <c r="L197" t="s">
        <v>26</v>
      </c>
      <c r="M197" t="s">
        <v>27</v>
      </c>
      <c r="N197" t="s">
        <v>28</v>
      </c>
      <c r="O197">
        <v>0</v>
      </c>
      <c r="P197">
        <v>58756</v>
      </c>
      <c r="Q197">
        <f t="shared" si="3"/>
        <v>5.8756000000000003E-2</v>
      </c>
      <c r="R197">
        <v>43252</v>
      </c>
      <c r="S197" t="s">
        <v>122</v>
      </c>
    </row>
    <row r="198" spans="1:19">
      <c r="A198">
        <v>60000197</v>
      </c>
      <c r="B198">
        <v>50</v>
      </c>
      <c r="C198" t="s">
        <v>33</v>
      </c>
      <c r="D198" t="s">
        <v>19</v>
      </c>
      <c r="E198" t="s">
        <v>41</v>
      </c>
      <c r="F198" t="s">
        <v>21</v>
      </c>
      <c r="G198" s="23">
        <v>0.22</v>
      </c>
      <c r="H198" t="s">
        <v>29</v>
      </c>
      <c r="I198" t="s">
        <v>65</v>
      </c>
      <c r="J198" t="s">
        <v>24</v>
      </c>
      <c r="K198" t="s">
        <v>106</v>
      </c>
      <c r="L198" t="s">
        <v>26</v>
      </c>
      <c r="M198" t="s">
        <v>27</v>
      </c>
      <c r="N198" t="s">
        <v>28</v>
      </c>
      <c r="O198">
        <v>0</v>
      </c>
      <c r="P198">
        <v>44749</v>
      </c>
      <c r="Q198">
        <f t="shared" si="3"/>
        <v>4.4748999999999997E-2</v>
      </c>
      <c r="R198">
        <v>43252</v>
      </c>
      <c r="S198" t="s">
        <v>122</v>
      </c>
    </row>
    <row r="199" spans="1:19">
      <c r="A199">
        <v>60000198</v>
      </c>
      <c r="B199">
        <v>21</v>
      </c>
      <c r="C199" t="s">
        <v>18</v>
      </c>
      <c r="D199" t="s">
        <v>19</v>
      </c>
      <c r="E199" t="s">
        <v>64</v>
      </c>
      <c r="F199" t="s">
        <v>21</v>
      </c>
      <c r="G199" s="23">
        <v>0.3</v>
      </c>
      <c r="H199" t="s">
        <v>53</v>
      </c>
      <c r="I199" t="s">
        <v>68</v>
      </c>
      <c r="J199" t="s">
        <v>66</v>
      </c>
      <c r="K199" t="s">
        <v>43</v>
      </c>
      <c r="L199" t="s">
        <v>26</v>
      </c>
      <c r="M199" t="s">
        <v>27</v>
      </c>
      <c r="N199" t="s">
        <v>28</v>
      </c>
      <c r="O199">
        <v>0</v>
      </c>
      <c r="P199">
        <v>51884</v>
      </c>
      <c r="Q199">
        <f t="shared" si="3"/>
        <v>5.1884E-2</v>
      </c>
      <c r="R199">
        <v>43252</v>
      </c>
      <c r="S199" t="s">
        <v>122</v>
      </c>
    </row>
    <row r="200" spans="1:19">
      <c r="A200">
        <v>60000199</v>
      </c>
      <c r="B200">
        <v>64</v>
      </c>
      <c r="C200" t="s">
        <v>18</v>
      </c>
      <c r="D200" t="s">
        <v>19</v>
      </c>
      <c r="E200" t="s">
        <v>67</v>
      </c>
      <c r="F200" t="s">
        <v>21</v>
      </c>
      <c r="G200" s="23">
        <v>0.33</v>
      </c>
      <c r="H200" t="s">
        <v>42</v>
      </c>
      <c r="I200" t="s">
        <v>76</v>
      </c>
      <c r="J200" t="s">
        <v>74</v>
      </c>
      <c r="K200" t="s">
        <v>116</v>
      </c>
      <c r="L200" t="s">
        <v>26</v>
      </c>
      <c r="M200" t="s">
        <v>27</v>
      </c>
      <c r="N200" t="s">
        <v>28</v>
      </c>
      <c r="O200">
        <v>0</v>
      </c>
      <c r="P200">
        <v>50267</v>
      </c>
      <c r="Q200">
        <f t="shared" si="3"/>
        <v>5.0266999999999999E-2</v>
      </c>
      <c r="R200">
        <v>43252</v>
      </c>
      <c r="S200" t="s">
        <v>122</v>
      </c>
    </row>
    <row r="201" spans="1:19">
      <c r="A201">
        <v>60000200</v>
      </c>
      <c r="B201">
        <v>35</v>
      </c>
      <c r="C201" t="s">
        <v>33</v>
      </c>
      <c r="D201" t="s">
        <v>40</v>
      </c>
      <c r="E201" t="s">
        <v>34</v>
      </c>
      <c r="F201" t="s">
        <v>21</v>
      </c>
      <c r="G201" s="23">
        <v>0.25</v>
      </c>
      <c r="H201" t="s">
        <v>53</v>
      </c>
      <c r="I201" t="s">
        <v>37</v>
      </c>
      <c r="J201" t="s">
        <v>31</v>
      </c>
      <c r="K201" t="s">
        <v>117</v>
      </c>
      <c r="L201" t="s">
        <v>26</v>
      </c>
      <c r="M201" t="s">
        <v>27</v>
      </c>
      <c r="N201" t="s">
        <v>28</v>
      </c>
      <c r="O201">
        <v>0</v>
      </c>
      <c r="P201">
        <v>31636</v>
      </c>
      <c r="Q201">
        <f t="shared" si="3"/>
        <v>3.1635999999999997E-2</v>
      </c>
      <c r="R201">
        <v>43252</v>
      </c>
      <c r="S201" t="s">
        <v>122</v>
      </c>
    </row>
    <row r="202" spans="1:19">
      <c r="A202">
        <v>60000201</v>
      </c>
      <c r="B202">
        <v>31</v>
      </c>
      <c r="C202" t="s">
        <v>33</v>
      </c>
      <c r="D202" t="s">
        <v>19</v>
      </c>
      <c r="E202" t="s">
        <v>20</v>
      </c>
      <c r="F202" t="s">
        <v>21</v>
      </c>
      <c r="G202" s="23">
        <v>0.25</v>
      </c>
      <c r="H202" t="s">
        <v>53</v>
      </c>
      <c r="I202" t="s">
        <v>23</v>
      </c>
      <c r="J202" t="s">
        <v>88</v>
      </c>
      <c r="K202" t="s">
        <v>55</v>
      </c>
      <c r="L202" t="s">
        <v>26</v>
      </c>
      <c r="M202" t="s">
        <v>27</v>
      </c>
      <c r="N202" t="s">
        <v>28</v>
      </c>
      <c r="O202">
        <v>3</v>
      </c>
      <c r="P202">
        <v>77924</v>
      </c>
      <c r="Q202">
        <f t="shared" si="3"/>
        <v>7.7923999999999993E-2</v>
      </c>
      <c r="R202">
        <v>43252</v>
      </c>
      <c r="S202" t="s">
        <v>122</v>
      </c>
    </row>
    <row r="203" spans="1:19">
      <c r="A203">
        <v>60000202</v>
      </c>
      <c r="B203">
        <v>26</v>
      </c>
      <c r="C203" t="s">
        <v>33</v>
      </c>
      <c r="D203" t="s">
        <v>19</v>
      </c>
      <c r="E203" t="s">
        <v>44</v>
      </c>
      <c r="F203" t="s">
        <v>21</v>
      </c>
      <c r="G203" s="23">
        <v>0.12</v>
      </c>
      <c r="H203" t="s">
        <v>22</v>
      </c>
      <c r="I203" t="s">
        <v>65</v>
      </c>
      <c r="J203" t="s">
        <v>66</v>
      </c>
      <c r="K203" t="s">
        <v>117</v>
      </c>
      <c r="L203" t="s">
        <v>26</v>
      </c>
      <c r="M203" t="s">
        <v>27</v>
      </c>
      <c r="N203" t="s">
        <v>28</v>
      </c>
      <c r="O203">
        <v>0</v>
      </c>
      <c r="P203">
        <v>35126</v>
      </c>
      <c r="Q203">
        <f t="shared" si="3"/>
        <v>3.5125999999999998E-2</v>
      </c>
      <c r="R203">
        <v>43252</v>
      </c>
      <c r="S203" t="s">
        <v>122</v>
      </c>
    </row>
    <row r="204" spans="1:19">
      <c r="A204">
        <v>60000203</v>
      </c>
      <c r="B204">
        <v>61</v>
      </c>
      <c r="C204" t="s">
        <v>33</v>
      </c>
      <c r="D204" t="s">
        <v>19</v>
      </c>
      <c r="E204" t="s">
        <v>85</v>
      </c>
      <c r="F204" t="s">
        <v>21</v>
      </c>
      <c r="G204" s="23">
        <v>0.1</v>
      </c>
      <c r="H204" t="s">
        <v>36</v>
      </c>
      <c r="I204" t="s">
        <v>68</v>
      </c>
      <c r="J204" t="s">
        <v>46</v>
      </c>
      <c r="K204" t="s">
        <v>103</v>
      </c>
      <c r="L204" t="s">
        <v>26</v>
      </c>
      <c r="M204" t="s">
        <v>27</v>
      </c>
      <c r="N204" t="s">
        <v>28</v>
      </c>
      <c r="O204">
        <v>2</v>
      </c>
      <c r="P204">
        <v>74576</v>
      </c>
      <c r="Q204">
        <f t="shared" si="3"/>
        <v>7.4576000000000003E-2</v>
      </c>
      <c r="R204">
        <v>43252</v>
      </c>
      <c r="S204" t="s">
        <v>122</v>
      </c>
    </row>
    <row r="205" spans="1:19">
      <c r="A205">
        <v>60000204</v>
      </c>
      <c r="B205">
        <v>27</v>
      </c>
      <c r="C205" t="s">
        <v>18</v>
      </c>
      <c r="D205" t="s">
        <v>40</v>
      </c>
      <c r="E205" t="s">
        <v>67</v>
      </c>
      <c r="F205" t="s">
        <v>21</v>
      </c>
      <c r="G205" s="23">
        <v>0.31</v>
      </c>
      <c r="H205" t="s">
        <v>53</v>
      </c>
      <c r="I205" t="s">
        <v>57</v>
      </c>
      <c r="J205" t="s">
        <v>38</v>
      </c>
      <c r="K205" t="s">
        <v>109</v>
      </c>
      <c r="L205" t="s">
        <v>26</v>
      </c>
      <c r="M205" t="s">
        <v>27</v>
      </c>
      <c r="N205" t="s">
        <v>28</v>
      </c>
      <c r="O205">
        <v>0</v>
      </c>
      <c r="P205">
        <v>42426</v>
      </c>
      <c r="Q205">
        <f t="shared" si="3"/>
        <v>4.2425999999999998E-2</v>
      </c>
      <c r="R205">
        <v>43252</v>
      </c>
      <c r="S205" t="s">
        <v>122</v>
      </c>
    </row>
    <row r="206" spans="1:19">
      <c r="A206">
        <v>60000205</v>
      </c>
      <c r="B206">
        <v>36</v>
      </c>
      <c r="C206" t="s">
        <v>33</v>
      </c>
      <c r="D206" t="s">
        <v>40</v>
      </c>
      <c r="E206" t="s">
        <v>75</v>
      </c>
      <c r="F206" t="s">
        <v>21</v>
      </c>
      <c r="G206" s="23">
        <v>0.2</v>
      </c>
      <c r="H206" t="s">
        <v>29</v>
      </c>
      <c r="I206" t="s">
        <v>60</v>
      </c>
      <c r="J206" t="s">
        <v>31</v>
      </c>
      <c r="K206" t="s">
        <v>113</v>
      </c>
      <c r="L206" t="s">
        <v>26</v>
      </c>
      <c r="M206" t="s">
        <v>27</v>
      </c>
      <c r="N206" t="s">
        <v>28</v>
      </c>
      <c r="O206">
        <v>0</v>
      </c>
      <c r="P206">
        <v>41369</v>
      </c>
      <c r="Q206">
        <f t="shared" si="3"/>
        <v>4.1369000000000003E-2</v>
      </c>
      <c r="R206">
        <v>43252</v>
      </c>
      <c r="S206" t="s">
        <v>122</v>
      </c>
    </row>
    <row r="207" spans="1:19">
      <c r="A207">
        <v>60000206</v>
      </c>
      <c r="B207">
        <v>41</v>
      </c>
      <c r="C207" t="s">
        <v>18</v>
      </c>
      <c r="D207" t="s">
        <v>19</v>
      </c>
      <c r="E207" t="s">
        <v>85</v>
      </c>
      <c r="F207" t="s">
        <v>21</v>
      </c>
      <c r="G207" s="23">
        <v>0.28999999999999998</v>
      </c>
      <c r="H207" t="s">
        <v>53</v>
      </c>
      <c r="I207" t="s">
        <v>76</v>
      </c>
      <c r="J207" t="s">
        <v>24</v>
      </c>
      <c r="K207" t="s">
        <v>107</v>
      </c>
      <c r="L207" t="s">
        <v>26</v>
      </c>
      <c r="M207" t="s">
        <v>27</v>
      </c>
      <c r="N207" t="s">
        <v>28</v>
      </c>
      <c r="O207">
        <v>2</v>
      </c>
      <c r="P207">
        <v>80132</v>
      </c>
      <c r="Q207">
        <f t="shared" si="3"/>
        <v>8.0131999999999995E-2</v>
      </c>
      <c r="R207">
        <v>43252</v>
      </c>
      <c r="S207" t="s">
        <v>122</v>
      </c>
    </row>
    <row r="208" spans="1:19">
      <c r="A208">
        <v>60000207</v>
      </c>
      <c r="B208">
        <v>20</v>
      </c>
      <c r="C208" t="s">
        <v>33</v>
      </c>
      <c r="D208" t="s">
        <v>19</v>
      </c>
      <c r="E208" t="s">
        <v>44</v>
      </c>
      <c r="F208" t="s">
        <v>21</v>
      </c>
      <c r="G208" s="23">
        <v>0.17</v>
      </c>
      <c r="H208" t="s">
        <v>22</v>
      </c>
      <c r="I208" t="s">
        <v>70</v>
      </c>
      <c r="J208" t="s">
        <v>88</v>
      </c>
      <c r="K208" t="s">
        <v>98</v>
      </c>
      <c r="L208" t="s">
        <v>26</v>
      </c>
      <c r="M208" t="s">
        <v>27</v>
      </c>
      <c r="N208" t="s">
        <v>28</v>
      </c>
      <c r="O208">
        <v>0</v>
      </c>
      <c r="P208">
        <v>54339</v>
      </c>
      <c r="Q208">
        <f t="shared" si="3"/>
        <v>5.4338999999999998E-2</v>
      </c>
      <c r="R208">
        <v>43252</v>
      </c>
      <c r="S208" t="s">
        <v>122</v>
      </c>
    </row>
    <row r="209" spans="1:19">
      <c r="A209">
        <v>60000208</v>
      </c>
      <c r="B209">
        <v>44</v>
      </c>
      <c r="C209" t="s">
        <v>18</v>
      </c>
      <c r="D209" t="s">
        <v>40</v>
      </c>
      <c r="E209" t="s">
        <v>75</v>
      </c>
      <c r="F209" t="s">
        <v>21</v>
      </c>
      <c r="G209" s="23">
        <v>0.34</v>
      </c>
      <c r="H209" t="s">
        <v>42</v>
      </c>
      <c r="I209" t="s">
        <v>62</v>
      </c>
      <c r="J209" t="s">
        <v>38</v>
      </c>
      <c r="K209" t="s">
        <v>108</v>
      </c>
      <c r="L209" t="s">
        <v>26</v>
      </c>
      <c r="M209" t="s">
        <v>27</v>
      </c>
      <c r="N209" t="s">
        <v>28</v>
      </c>
      <c r="O209">
        <v>2</v>
      </c>
      <c r="P209">
        <v>29293</v>
      </c>
      <c r="Q209">
        <f t="shared" si="3"/>
        <v>2.9293E-2</v>
      </c>
      <c r="R209">
        <v>43252</v>
      </c>
      <c r="S209" t="s">
        <v>122</v>
      </c>
    </row>
    <row r="210" spans="1:19">
      <c r="A210">
        <v>60000209</v>
      </c>
      <c r="B210">
        <v>35</v>
      </c>
      <c r="C210" t="s">
        <v>18</v>
      </c>
      <c r="D210" t="s">
        <v>19</v>
      </c>
      <c r="E210" t="s">
        <v>64</v>
      </c>
      <c r="F210" t="s">
        <v>21</v>
      </c>
      <c r="G210" s="23">
        <v>0.35</v>
      </c>
      <c r="H210" t="s">
        <v>42</v>
      </c>
      <c r="I210" t="s">
        <v>49</v>
      </c>
      <c r="J210" t="s">
        <v>38</v>
      </c>
      <c r="K210" t="s">
        <v>102</v>
      </c>
      <c r="L210" t="s">
        <v>26</v>
      </c>
      <c r="M210" t="s">
        <v>27</v>
      </c>
      <c r="N210" t="s">
        <v>28</v>
      </c>
      <c r="O210">
        <v>2</v>
      </c>
      <c r="P210">
        <v>49172</v>
      </c>
      <c r="Q210">
        <f t="shared" si="3"/>
        <v>4.9172E-2</v>
      </c>
      <c r="R210">
        <v>43252</v>
      </c>
      <c r="S210" t="s">
        <v>122</v>
      </c>
    </row>
    <row r="211" spans="1:19">
      <c r="A211">
        <v>60000210</v>
      </c>
      <c r="B211">
        <v>55</v>
      </c>
      <c r="C211" t="s">
        <v>33</v>
      </c>
      <c r="D211" t="s">
        <v>19</v>
      </c>
      <c r="E211" t="s">
        <v>75</v>
      </c>
      <c r="F211" t="s">
        <v>21</v>
      </c>
      <c r="G211" s="23">
        <v>0.25</v>
      </c>
      <c r="H211" t="s">
        <v>53</v>
      </c>
      <c r="I211" t="s">
        <v>60</v>
      </c>
      <c r="J211" t="s">
        <v>46</v>
      </c>
      <c r="K211" t="s">
        <v>50</v>
      </c>
      <c r="L211" t="s">
        <v>26</v>
      </c>
      <c r="M211" t="s">
        <v>27</v>
      </c>
      <c r="N211" t="s">
        <v>28</v>
      </c>
      <c r="O211">
        <v>1</v>
      </c>
      <c r="P211">
        <v>56939</v>
      </c>
      <c r="Q211">
        <f t="shared" si="3"/>
        <v>5.6938999999999997E-2</v>
      </c>
      <c r="R211">
        <v>43252</v>
      </c>
      <c r="S211" t="s">
        <v>122</v>
      </c>
    </row>
    <row r="212" spans="1:19">
      <c r="A212">
        <v>60000211</v>
      </c>
      <c r="B212">
        <v>62</v>
      </c>
      <c r="C212" t="s">
        <v>33</v>
      </c>
      <c r="D212" t="s">
        <v>40</v>
      </c>
      <c r="E212" t="s">
        <v>41</v>
      </c>
      <c r="F212" t="s">
        <v>21</v>
      </c>
      <c r="G212" s="23">
        <v>0.13</v>
      </c>
      <c r="H212" t="s">
        <v>22</v>
      </c>
      <c r="I212" t="s">
        <v>30</v>
      </c>
      <c r="J212" t="s">
        <v>38</v>
      </c>
      <c r="K212" t="s">
        <v>59</v>
      </c>
      <c r="L212" t="s">
        <v>26</v>
      </c>
      <c r="M212" t="s">
        <v>27</v>
      </c>
      <c r="N212" t="s">
        <v>28</v>
      </c>
      <c r="O212">
        <v>6</v>
      </c>
      <c r="P212">
        <v>68211</v>
      </c>
      <c r="Q212">
        <f t="shared" si="3"/>
        <v>6.8210999999999994E-2</v>
      </c>
      <c r="R212">
        <v>43252</v>
      </c>
      <c r="S212" t="s">
        <v>122</v>
      </c>
    </row>
    <row r="213" spans="1:19">
      <c r="A213">
        <v>60000212</v>
      </c>
      <c r="B213">
        <v>32</v>
      </c>
      <c r="C213" t="s">
        <v>33</v>
      </c>
      <c r="D213" t="s">
        <v>19</v>
      </c>
      <c r="E213" t="s">
        <v>20</v>
      </c>
      <c r="F213" t="s">
        <v>21</v>
      </c>
      <c r="G213" s="23">
        <v>0.3</v>
      </c>
      <c r="H213" t="s">
        <v>53</v>
      </c>
      <c r="I213" t="s">
        <v>68</v>
      </c>
      <c r="J213" t="s">
        <v>88</v>
      </c>
      <c r="K213" t="s">
        <v>59</v>
      </c>
      <c r="L213" t="s">
        <v>26</v>
      </c>
      <c r="M213" t="s">
        <v>27</v>
      </c>
      <c r="N213" t="s">
        <v>28</v>
      </c>
      <c r="O213">
        <v>3</v>
      </c>
      <c r="P213">
        <v>28402</v>
      </c>
      <c r="Q213">
        <f t="shared" si="3"/>
        <v>2.8402E-2</v>
      </c>
      <c r="R213">
        <v>43252</v>
      </c>
      <c r="S213" t="s">
        <v>122</v>
      </c>
    </row>
    <row r="214" spans="1:19">
      <c r="A214">
        <v>60000213</v>
      </c>
      <c r="B214">
        <v>56</v>
      </c>
      <c r="C214" t="s">
        <v>18</v>
      </c>
      <c r="D214" t="s">
        <v>19</v>
      </c>
      <c r="E214" t="s">
        <v>41</v>
      </c>
      <c r="F214" t="s">
        <v>21</v>
      </c>
      <c r="G214" s="23">
        <v>0.31</v>
      </c>
      <c r="H214" t="s">
        <v>53</v>
      </c>
      <c r="I214" t="s">
        <v>83</v>
      </c>
      <c r="J214" t="s">
        <v>46</v>
      </c>
      <c r="K214" t="s">
        <v>87</v>
      </c>
      <c r="L214" t="s">
        <v>26</v>
      </c>
      <c r="M214" t="s">
        <v>27</v>
      </c>
      <c r="N214" t="s">
        <v>28</v>
      </c>
      <c r="O214">
        <v>7</v>
      </c>
      <c r="P214">
        <v>55637</v>
      </c>
      <c r="Q214">
        <f t="shared" si="3"/>
        <v>5.5636999999999999E-2</v>
      </c>
      <c r="R214">
        <v>43252</v>
      </c>
      <c r="S214" t="s">
        <v>122</v>
      </c>
    </row>
    <row r="215" spans="1:19">
      <c r="A215">
        <v>60000214</v>
      </c>
      <c r="B215">
        <v>31</v>
      </c>
      <c r="C215" t="s">
        <v>33</v>
      </c>
      <c r="D215" t="s">
        <v>19</v>
      </c>
      <c r="E215" t="s">
        <v>41</v>
      </c>
      <c r="F215" t="s">
        <v>21</v>
      </c>
      <c r="G215" s="23">
        <v>0.28999999999999998</v>
      </c>
      <c r="H215" t="s">
        <v>53</v>
      </c>
      <c r="I215" t="s">
        <v>83</v>
      </c>
      <c r="J215" t="s">
        <v>24</v>
      </c>
      <c r="K215" t="s">
        <v>47</v>
      </c>
      <c r="L215" t="s">
        <v>26</v>
      </c>
      <c r="M215" t="s">
        <v>27</v>
      </c>
      <c r="N215" t="s">
        <v>28</v>
      </c>
      <c r="O215">
        <v>7</v>
      </c>
      <c r="P215">
        <v>60695</v>
      </c>
      <c r="Q215">
        <f t="shared" si="3"/>
        <v>6.0694999999999999E-2</v>
      </c>
      <c r="R215">
        <v>43252</v>
      </c>
      <c r="S215" t="s">
        <v>122</v>
      </c>
    </row>
    <row r="216" spans="1:19">
      <c r="A216">
        <v>60000215</v>
      </c>
      <c r="B216">
        <v>49</v>
      </c>
      <c r="C216" t="s">
        <v>18</v>
      </c>
      <c r="D216" t="s">
        <v>40</v>
      </c>
      <c r="E216" t="s">
        <v>64</v>
      </c>
      <c r="F216" t="s">
        <v>21</v>
      </c>
      <c r="G216" s="23">
        <v>0.35</v>
      </c>
      <c r="H216" t="s">
        <v>42</v>
      </c>
      <c r="I216" t="s">
        <v>73</v>
      </c>
      <c r="J216" t="s">
        <v>66</v>
      </c>
      <c r="K216" t="s">
        <v>105</v>
      </c>
      <c r="L216" t="s">
        <v>26</v>
      </c>
      <c r="M216" t="s">
        <v>27</v>
      </c>
      <c r="N216" t="s">
        <v>28</v>
      </c>
      <c r="O216">
        <v>0</v>
      </c>
      <c r="P216">
        <v>48064</v>
      </c>
      <c r="Q216">
        <f t="shared" si="3"/>
        <v>4.8064000000000003E-2</v>
      </c>
      <c r="R216">
        <v>43252</v>
      </c>
      <c r="S216" t="s">
        <v>122</v>
      </c>
    </row>
    <row r="217" spans="1:19">
      <c r="A217">
        <v>60000216</v>
      </c>
      <c r="B217">
        <v>21</v>
      </c>
      <c r="C217" t="s">
        <v>18</v>
      </c>
      <c r="D217" t="s">
        <v>40</v>
      </c>
      <c r="E217" t="s">
        <v>67</v>
      </c>
      <c r="F217" t="s">
        <v>21</v>
      </c>
      <c r="G217" s="23">
        <v>0.37</v>
      </c>
      <c r="H217" t="s">
        <v>42</v>
      </c>
      <c r="I217" t="s">
        <v>65</v>
      </c>
      <c r="J217" t="s">
        <v>66</v>
      </c>
      <c r="K217" t="s">
        <v>114</v>
      </c>
      <c r="L217" t="s">
        <v>26</v>
      </c>
      <c r="M217" t="s">
        <v>27</v>
      </c>
      <c r="N217" t="s">
        <v>28</v>
      </c>
      <c r="O217">
        <v>0</v>
      </c>
      <c r="P217">
        <v>65535</v>
      </c>
      <c r="Q217">
        <f t="shared" si="3"/>
        <v>6.5534999999999996E-2</v>
      </c>
      <c r="R217">
        <v>43252</v>
      </c>
      <c r="S217" t="s">
        <v>122</v>
      </c>
    </row>
    <row r="218" spans="1:19">
      <c r="A218">
        <v>60000217</v>
      </c>
      <c r="B218">
        <v>32</v>
      </c>
      <c r="C218" t="s">
        <v>18</v>
      </c>
      <c r="D218" t="s">
        <v>40</v>
      </c>
      <c r="E218" t="s">
        <v>34</v>
      </c>
      <c r="F218" t="s">
        <v>21</v>
      </c>
      <c r="G218" s="23">
        <v>0.21</v>
      </c>
      <c r="H218" t="s">
        <v>29</v>
      </c>
      <c r="I218" t="s">
        <v>62</v>
      </c>
      <c r="J218" t="s">
        <v>61</v>
      </c>
      <c r="K218" t="s">
        <v>117</v>
      </c>
      <c r="L218" t="s">
        <v>26</v>
      </c>
      <c r="M218" t="s">
        <v>27</v>
      </c>
      <c r="N218" t="s">
        <v>28</v>
      </c>
      <c r="O218">
        <v>5</v>
      </c>
      <c r="P218">
        <v>29266</v>
      </c>
      <c r="Q218">
        <f t="shared" si="3"/>
        <v>2.9266E-2</v>
      </c>
      <c r="R218">
        <v>43252</v>
      </c>
      <c r="S218" t="s">
        <v>122</v>
      </c>
    </row>
    <row r="219" spans="1:19">
      <c r="A219">
        <v>60000218</v>
      </c>
      <c r="B219">
        <v>43</v>
      </c>
      <c r="C219" t="s">
        <v>33</v>
      </c>
      <c r="D219" t="s">
        <v>19</v>
      </c>
      <c r="E219" t="s">
        <v>67</v>
      </c>
      <c r="F219" t="s">
        <v>21</v>
      </c>
      <c r="G219" s="23">
        <v>0.32</v>
      </c>
      <c r="H219" t="s">
        <v>42</v>
      </c>
      <c r="I219" t="s">
        <v>57</v>
      </c>
      <c r="J219" t="s">
        <v>74</v>
      </c>
      <c r="K219" t="s">
        <v>25</v>
      </c>
      <c r="L219" t="s">
        <v>26</v>
      </c>
      <c r="M219" t="s">
        <v>27</v>
      </c>
      <c r="N219" t="s">
        <v>28</v>
      </c>
      <c r="O219">
        <v>2</v>
      </c>
      <c r="P219">
        <v>45406</v>
      </c>
      <c r="Q219">
        <f t="shared" si="3"/>
        <v>4.5406000000000002E-2</v>
      </c>
      <c r="R219">
        <v>43252</v>
      </c>
      <c r="S219" t="s">
        <v>122</v>
      </c>
    </row>
    <row r="220" spans="1:19">
      <c r="A220">
        <v>60000219</v>
      </c>
      <c r="B220">
        <v>22</v>
      </c>
      <c r="C220" t="s">
        <v>18</v>
      </c>
      <c r="D220" t="s">
        <v>40</v>
      </c>
      <c r="E220" t="s">
        <v>67</v>
      </c>
      <c r="F220" t="s">
        <v>21</v>
      </c>
      <c r="G220" s="23">
        <v>0.19</v>
      </c>
      <c r="H220" t="s">
        <v>29</v>
      </c>
      <c r="I220" t="s">
        <v>65</v>
      </c>
      <c r="J220" t="s">
        <v>31</v>
      </c>
      <c r="K220" t="s">
        <v>109</v>
      </c>
      <c r="L220" t="s">
        <v>26</v>
      </c>
      <c r="M220" t="s">
        <v>27</v>
      </c>
      <c r="N220" t="s">
        <v>28</v>
      </c>
      <c r="O220">
        <v>0</v>
      </c>
      <c r="P220">
        <v>41428</v>
      </c>
      <c r="Q220">
        <f t="shared" si="3"/>
        <v>4.1428E-2</v>
      </c>
      <c r="R220">
        <v>43252</v>
      </c>
      <c r="S220" t="s">
        <v>122</v>
      </c>
    </row>
    <row r="221" spans="1:19">
      <c r="A221">
        <v>60000220</v>
      </c>
      <c r="B221">
        <v>31</v>
      </c>
      <c r="C221" t="s">
        <v>18</v>
      </c>
      <c r="D221" t="s">
        <v>19</v>
      </c>
      <c r="E221" t="s">
        <v>72</v>
      </c>
      <c r="F221" t="s">
        <v>21</v>
      </c>
      <c r="G221" s="23">
        <v>0.27</v>
      </c>
      <c r="H221" t="s">
        <v>53</v>
      </c>
      <c r="I221" t="s">
        <v>37</v>
      </c>
      <c r="J221" t="s">
        <v>58</v>
      </c>
      <c r="K221" t="s">
        <v>99</v>
      </c>
      <c r="L221" t="s">
        <v>26</v>
      </c>
      <c r="M221" t="s">
        <v>27</v>
      </c>
      <c r="N221" t="s">
        <v>28</v>
      </c>
      <c r="O221">
        <v>0</v>
      </c>
      <c r="P221">
        <v>73750</v>
      </c>
      <c r="Q221">
        <f t="shared" si="3"/>
        <v>7.3749999999999996E-2</v>
      </c>
      <c r="R221">
        <v>43252</v>
      </c>
      <c r="S221" t="s">
        <v>122</v>
      </c>
    </row>
    <row r="222" spans="1:19">
      <c r="A222">
        <v>60000221</v>
      </c>
      <c r="B222">
        <v>29</v>
      </c>
      <c r="C222" t="s">
        <v>18</v>
      </c>
      <c r="D222" t="s">
        <v>40</v>
      </c>
      <c r="E222" t="s">
        <v>52</v>
      </c>
      <c r="F222" t="s">
        <v>21</v>
      </c>
      <c r="G222" s="23">
        <v>0.14000000000000001</v>
      </c>
      <c r="H222" t="s">
        <v>22</v>
      </c>
      <c r="I222" t="s">
        <v>49</v>
      </c>
      <c r="J222" t="s">
        <v>61</v>
      </c>
      <c r="K222" t="s">
        <v>111</v>
      </c>
      <c r="L222" t="s">
        <v>26</v>
      </c>
      <c r="M222" t="s">
        <v>27</v>
      </c>
      <c r="N222" t="s">
        <v>28</v>
      </c>
      <c r="O222">
        <v>2</v>
      </c>
      <c r="P222">
        <v>72331</v>
      </c>
      <c r="Q222">
        <f t="shared" si="3"/>
        <v>7.2331000000000006E-2</v>
      </c>
      <c r="R222">
        <v>43252</v>
      </c>
      <c r="S222" t="s">
        <v>122</v>
      </c>
    </row>
    <row r="223" spans="1:19">
      <c r="A223">
        <v>60000222</v>
      </c>
      <c r="B223">
        <v>31</v>
      </c>
      <c r="C223" t="s">
        <v>33</v>
      </c>
      <c r="D223" t="s">
        <v>19</v>
      </c>
      <c r="E223" t="s">
        <v>64</v>
      </c>
      <c r="F223" t="s">
        <v>21</v>
      </c>
      <c r="G223" s="23">
        <v>0.2</v>
      </c>
      <c r="H223" t="s">
        <v>29</v>
      </c>
      <c r="I223" t="s">
        <v>30</v>
      </c>
      <c r="J223" t="s">
        <v>58</v>
      </c>
      <c r="K223" t="s">
        <v>55</v>
      </c>
      <c r="L223" t="s">
        <v>26</v>
      </c>
      <c r="M223" t="s">
        <v>27</v>
      </c>
      <c r="N223" t="s">
        <v>28</v>
      </c>
      <c r="O223">
        <v>0</v>
      </c>
      <c r="P223">
        <v>35213</v>
      </c>
      <c r="Q223">
        <f t="shared" si="3"/>
        <v>3.5213000000000001E-2</v>
      </c>
      <c r="R223">
        <v>43252</v>
      </c>
      <c r="S223" t="s">
        <v>122</v>
      </c>
    </row>
    <row r="224" spans="1:19">
      <c r="A224">
        <v>60000223</v>
      </c>
      <c r="B224">
        <v>60</v>
      </c>
      <c r="C224" t="s">
        <v>18</v>
      </c>
      <c r="D224" t="s">
        <v>40</v>
      </c>
      <c r="E224" t="s">
        <v>85</v>
      </c>
      <c r="F224" t="s">
        <v>21</v>
      </c>
      <c r="G224" s="23">
        <v>0.13</v>
      </c>
      <c r="H224" t="s">
        <v>22</v>
      </c>
      <c r="I224" t="s">
        <v>60</v>
      </c>
      <c r="J224" t="s">
        <v>58</v>
      </c>
      <c r="K224" t="s">
        <v>50</v>
      </c>
      <c r="L224" t="s">
        <v>26</v>
      </c>
      <c r="M224" t="s">
        <v>27</v>
      </c>
      <c r="N224" t="s">
        <v>28</v>
      </c>
      <c r="O224">
        <v>4</v>
      </c>
      <c r="P224">
        <v>82583</v>
      </c>
      <c r="Q224">
        <f t="shared" si="3"/>
        <v>8.2583000000000004E-2</v>
      </c>
      <c r="R224">
        <v>43252</v>
      </c>
      <c r="S224" t="s">
        <v>122</v>
      </c>
    </row>
    <row r="225" spans="1:19">
      <c r="A225">
        <v>60000224</v>
      </c>
      <c r="B225">
        <v>58</v>
      </c>
      <c r="C225" t="s">
        <v>18</v>
      </c>
      <c r="D225" t="s">
        <v>19</v>
      </c>
      <c r="E225" t="s">
        <v>41</v>
      </c>
      <c r="F225" t="s">
        <v>21</v>
      </c>
      <c r="G225" s="23">
        <v>0.28999999999999998</v>
      </c>
      <c r="H225" t="s">
        <v>53</v>
      </c>
      <c r="I225" t="s">
        <v>68</v>
      </c>
      <c r="J225" t="s">
        <v>46</v>
      </c>
      <c r="K225" t="s">
        <v>95</v>
      </c>
      <c r="L225" t="s">
        <v>26</v>
      </c>
      <c r="M225" t="s">
        <v>27</v>
      </c>
      <c r="N225" t="s">
        <v>28</v>
      </c>
      <c r="O225">
        <v>2</v>
      </c>
      <c r="P225">
        <v>80511</v>
      </c>
      <c r="Q225">
        <f t="shared" si="3"/>
        <v>8.0510999999999999E-2</v>
      </c>
      <c r="R225">
        <v>43252</v>
      </c>
      <c r="S225" t="s">
        <v>122</v>
      </c>
    </row>
    <row r="226" spans="1:19">
      <c r="A226">
        <v>60000225</v>
      </c>
      <c r="B226">
        <v>26</v>
      </c>
      <c r="C226" t="s">
        <v>33</v>
      </c>
      <c r="D226" t="s">
        <v>19</v>
      </c>
      <c r="E226" t="s">
        <v>20</v>
      </c>
      <c r="F226" t="s">
        <v>21</v>
      </c>
      <c r="G226" s="23">
        <v>0.35</v>
      </c>
      <c r="H226" t="s">
        <v>42</v>
      </c>
      <c r="I226" t="s">
        <v>83</v>
      </c>
      <c r="J226" t="s">
        <v>24</v>
      </c>
      <c r="K226" t="s">
        <v>103</v>
      </c>
      <c r="L226" t="s">
        <v>26</v>
      </c>
      <c r="M226" t="s">
        <v>27</v>
      </c>
      <c r="N226" t="s">
        <v>28</v>
      </c>
      <c r="O226">
        <v>0</v>
      </c>
      <c r="P226">
        <v>62373</v>
      </c>
      <c r="Q226">
        <f t="shared" si="3"/>
        <v>6.2372999999999998E-2</v>
      </c>
      <c r="R226">
        <v>43252</v>
      </c>
      <c r="S226" t="s">
        <v>122</v>
      </c>
    </row>
    <row r="227" spans="1:19">
      <c r="A227">
        <v>60000226</v>
      </c>
      <c r="B227">
        <v>62</v>
      </c>
      <c r="C227" t="s">
        <v>18</v>
      </c>
      <c r="D227" t="s">
        <v>40</v>
      </c>
      <c r="E227" t="s">
        <v>20</v>
      </c>
      <c r="F227" t="s">
        <v>21</v>
      </c>
      <c r="G227" s="23">
        <v>0.38</v>
      </c>
      <c r="H227" t="s">
        <v>42</v>
      </c>
      <c r="I227" t="s">
        <v>68</v>
      </c>
      <c r="J227" t="s">
        <v>54</v>
      </c>
      <c r="K227" t="s">
        <v>83</v>
      </c>
      <c r="L227" t="s">
        <v>26</v>
      </c>
      <c r="M227" t="s">
        <v>27</v>
      </c>
      <c r="N227" t="s">
        <v>28</v>
      </c>
      <c r="O227">
        <v>3</v>
      </c>
      <c r="P227">
        <v>67931</v>
      </c>
      <c r="Q227">
        <f t="shared" si="3"/>
        <v>6.7931000000000005E-2</v>
      </c>
      <c r="R227">
        <v>43252</v>
      </c>
      <c r="S227" t="s">
        <v>122</v>
      </c>
    </row>
    <row r="228" spans="1:19">
      <c r="A228">
        <v>60000227</v>
      </c>
      <c r="B228">
        <v>26</v>
      </c>
      <c r="C228" t="s">
        <v>33</v>
      </c>
      <c r="D228" t="s">
        <v>19</v>
      </c>
      <c r="E228" t="s">
        <v>20</v>
      </c>
      <c r="F228" t="s">
        <v>21</v>
      </c>
      <c r="G228" s="23">
        <v>0.32</v>
      </c>
      <c r="H228" t="s">
        <v>42</v>
      </c>
      <c r="I228" t="s">
        <v>45</v>
      </c>
      <c r="J228" t="s">
        <v>91</v>
      </c>
      <c r="K228" t="s">
        <v>71</v>
      </c>
      <c r="L228" t="s">
        <v>26</v>
      </c>
      <c r="M228" t="s">
        <v>27</v>
      </c>
      <c r="N228" t="s">
        <v>28</v>
      </c>
      <c r="O228">
        <v>0</v>
      </c>
      <c r="P228">
        <v>64359</v>
      </c>
      <c r="Q228">
        <f t="shared" si="3"/>
        <v>6.4359E-2</v>
      </c>
      <c r="R228">
        <v>43252</v>
      </c>
      <c r="S228" t="s">
        <v>122</v>
      </c>
    </row>
    <row r="229" spans="1:19">
      <c r="A229">
        <v>60000228</v>
      </c>
      <c r="B229">
        <v>59</v>
      </c>
      <c r="C229" t="s">
        <v>33</v>
      </c>
      <c r="D229" t="s">
        <v>19</v>
      </c>
      <c r="E229" t="s">
        <v>20</v>
      </c>
      <c r="F229" t="s">
        <v>21</v>
      </c>
      <c r="G229" s="23">
        <v>0.11</v>
      </c>
      <c r="H229" t="s">
        <v>36</v>
      </c>
      <c r="I229" t="s">
        <v>68</v>
      </c>
      <c r="J229" t="s">
        <v>58</v>
      </c>
      <c r="K229" t="s">
        <v>32</v>
      </c>
      <c r="L229" t="s">
        <v>26</v>
      </c>
      <c r="M229" t="s">
        <v>27</v>
      </c>
      <c r="N229" t="s">
        <v>28</v>
      </c>
      <c r="O229">
        <v>7</v>
      </c>
      <c r="P229">
        <v>63840</v>
      </c>
      <c r="Q229">
        <f t="shared" si="3"/>
        <v>6.3839999999999994E-2</v>
      </c>
      <c r="R229">
        <v>43252</v>
      </c>
      <c r="S229" t="s">
        <v>122</v>
      </c>
    </row>
    <row r="230" spans="1:19">
      <c r="A230">
        <v>60000229</v>
      </c>
      <c r="B230">
        <v>49</v>
      </c>
      <c r="C230" t="s">
        <v>18</v>
      </c>
      <c r="D230" t="s">
        <v>19</v>
      </c>
      <c r="E230" t="s">
        <v>41</v>
      </c>
      <c r="F230" t="s">
        <v>21</v>
      </c>
      <c r="G230" s="23">
        <v>0.16</v>
      </c>
      <c r="H230" t="s">
        <v>22</v>
      </c>
      <c r="I230" t="s">
        <v>70</v>
      </c>
      <c r="J230" t="s">
        <v>69</v>
      </c>
      <c r="K230" t="s">
        <v>59</v>
      </c>
      <c r="L230" t="s">
        <v>26</v>
      </c>
      <c r="M230" t="s">
        <v>27</v>
      </c>
      <c r="N230" t="s">
        <v>28</v>
      </c>
      <c r="O230">
        <v>4</v>
      </c>
      <c r="P230">
        <v>72038</v>
      </c>
      <c r="Q230">
        <f t="shared" si="3"/>
        <v>7.2038000000000005E-2</v>
      </c>
      <c r="R230">
        <v>43252</v>
      </c>
      <c r="S230" t="s">
        <v>122</v>
      </c>
    </row>
    <row r="231" spans="1:19">
      <c r="A231">
        <v>60000230</v>
      </c>
      <c r="B231">
        <v>26</v>
      </c>
      <c r="C231" t="s">
        <v>18</v>
      </c>
      <c r="D231" t="s">
        <v>19</v>
      </c>
      <c r="E231" t="s">
        <v>52</v>
      </c>
      <c r="F231" t="s">
        <v>21</v>
      </c>
      <c r="G231" s="23">
        <v>0.28999999999999998</v>
      </c>
      <c r="H231" t="s">
        <v>53</v>
      </c>
      <c r="I231" t="s">
        <v>37</v>
      </c>
      <c r="J231" t="s">
        <v>74</v>
      </c>
      <c r="K231" t="s">
        <v>108</v>
      </c>
      <c r="L231" t="s">
        <v>26</v>
      </c>
      <c r="M231" t="s">
        <v>27</v>
      </c>
      <c r="N231" t="s">
        <v>28</v>
      </c>
      <c r="O231">
        <v>4</v>
      </c>
      <c r="P231">
        <v>26811</v>
      </c>
      <c r="Q231">
        <f t="shared" si="3"/>
        <v>2.6811000000000001E-2</v>
      </c>
      <c r="R231">
        <v>43252</v>
      </c>
      <c r="S231" t="s">
        <v>122</v>
      </c>
    </row>
    <row r="232" spans="1:19">
      <c r="A232">
        <v>60000231</v>
      </c>
      <c r="B232">
        <v>27</v>
      </c>
      <c r="C232" t="s">
        <v>18</v>
      </c>
      <c r="D232" t="s">
        <v>19</v>
      </c>
      <c r="E232" t="s">
        <v>41</v>
      </c>
      <c r="F232" t="s">
        <v>21</v>
      </c>
      <c r="G232" s="23">
        <v>0.24</v>
      </c>
      <c r="H232" t="s">
        <v>29</v>
      </c>
      <c r="I232" t="s">
        <v>30</v>
      </c>
      <c r="J232" t="s">
        <v>46</v>
      </c>
      <c r="K232" t="s">
        <v>117</v>
      </c>
      <c r="L232" t="s">
        <v>26</v>
      </c>
      <c r="M232" t="s">
        <v>27</v>
      </c>
      <c r="N232" t="s">
        <v>28</v>
      </c>
      <c r="O232">
        <v>0</v>
      </c>
      <c r="P232">
        <v>23963</v>
      </c>
      <c r="Q232">
        <f t="shared" si="3"/>
        <v>2.3963000000000002E-2</v>
      </c>
      <c r="R232">
        <v>43252</v>
      </c>
      <c r="S232" t="s">
        <v>122</v>
      </c>
    </row>
    <row r="233" spans="1:19">
      <c r="A233">
        <v>60000232</v>
      </c>
      <c r="B233">
        <v>45</v>
      </c>
      <c r="C233" t="s">
        <v>33</v>
      </c>
      <c r="D233" t="s">
        <v>40</v>
      </c>
      <c r="E233" t="s">
        <v>52</v>
      </c>
      <c r="F233" t="s">
        <v>21</v>
      </c>
      <c r="G233" s="23">
        <v>0.31</v>
      </c>
      <c r="H233" t="s">
        <v>53</v>
      </c>
      <c r="I233" t="s">
        <v>68</v>
      </c>
      <c r="J233" t="s">
        <v>24</v>
      </c>
      <c r="K233" t="s">
        <v>87</v>
      </c>
      <c r="L233" t="s">
        <v>26</v>
      </c>
      <c r="M233" t="s">
        <v>27</v>
      </c>
      <c r="N233" t="s">
        <v>28</v>
      </c>
      <c r="O233">
        <v>0</v>
      </c>
      <c r="P233">
        <v>32293</v>
      </c>
      <c r="Q233">
        <f t="shared" si="3"/>
        <v>3.2293000000000002E-2</v>
      </c>
      <c r="R233">
        <v>43252</v>
      </c>
      <c r="S233" t="s">
        <v>122</v>
      </c>
    </row>
    <row r="234" spans="1:19">
      <c r="A234">
        <v>60000233</v>
      </c>
      <c r="B234">
        <v>47</v>
      </c>
      <c r="C234" t="s">
        <v>18</v>
      </c>
      <c r="D234" t="s">
        <v>19</v>
      </c>
      <c r="E234" t="s">
        <v>75</v>
      </c>
      <c r="F234" t="s">
        <v>21</v>
      </c>
      <c r="G234" s="23">
        <v>0.19</v>
      </c>
      <c r="H234" t="s">
        <v>29</v>
      </c>
      <c r="I234" t="s">
        <v>65</v>
      </c>
      <c r="J234" t="s">
        <v>54</v>
      </c>
      <c r="K234" t="s">
        <v>102</v>
      </c>
      <c r="L234" t="s">
        <v>26</v>
      </c>
      <c r="M234" t="s">
        <v>27</v>
      </c>
      <c r="N234" t="s">
        <v>28</v>
      </c>
      <c r="O234">
        <v>1</v>
      </c>
      <c r="P234">
        <v>69178</v>
      </c>
      <c r="Q234">
        <f t="shared" si="3"/>
        <v>6.9178000000000003E-2</v>
      </c>
      <c r="R234">
        <v>43252</v>
      </c>
      <c r="S234" t="s">
        <v>122</v>
      </c>
    </row>
    <row r="235" spans="1:19">
      <c r="A235">
        <v>60000234</v>
      </c>
      <c r="B235">
        <v>65</v>
      </c>
      <c r="C235" t="s">
        <v>18</v>
      </c>
      <c r="D235" t="s">
        <v>40</v>
      </c>
      <c r="E235" t="s">
        <v>72</v>
      </c>
      <c r="F235" t="s">
        <v>21</v>
      </c>
      <c r="G235" s="23">
        <v>0.25</v>
      </c>
      <c r="H235" t="s">
        <v>53</v>
      </c>
      <c r="I235" t="s">
        <v>49</v>
      </c>
      <c r="J235" t="s">
        <v>58</v>
      </c>
      <c r="K235" t="s">
        <v>77</v>
      </c>
      <c r="L235" t="s">
        <v>26</v>
      </c>
      <c r="M235" t="s">
        <v>27</v>
      </c>
      <c r="N235" t="s">
        <v>28</v>
      </c>
      <c r="O235">
        <v>1</v>
      </c>
      <c r="P235">
        <v>52660</v>
      </c>
      <c r="Q235">
        <f t="shared" si="3"/>
        <v>5.2659999999999998E-2</v>
      </c>
      <c r="R235">
        <v>43252</v>
      </c>
      <c r="S235" t="s">
        <v>122</v>
      </c>
    </row>
    <row r="236" spans="1:19">
      <c r="A236">
        <v>60000235</v>
      </c>
      <c r="B236">
        <v>28</v>
      </c>
      <c r="C236" t="s">
        <v>33</v>
      </c>
      <c r="D236" t="s">
        <v>40</v>
      </c>
      <c r="E236" t="s">
        <v>85</v>
      </c>
      <c r="F236" t="s">
        <v>21</v>
      </c>
      <c r="G236" s="23">
        <v>0.27</v>
      </c>
      <c r="H236" t="s">
        <v>53</v>
      </c>
      <c r="I236" t="s">
        <v>86</v>
      </c>
      <c r="J236" t="s">
        <v>38</v>
      </c>
      <c r="K236" t="s">
        <v>103</v>
      </c>
      <c r="L236" t="s">
        <v>26</v>
      </c>
      <c r="M236" t="s">
        <v>27</v>
      </c>
      <c r="N236" t="s">
        <v>28</v>
      </c>
      <c r="O236">
        <v>0</v>
      </c>
      <c r="P236">
        <v>40589</v>
      </c>
      <c r="Q236">
        <f t="shared" si="3"/>
        <v>4.0589E-2</v>
      </c>
      <c r="R236">
        <v>43252</v>
      </c>
      <c r="S236" t="s">
        <v>122</v>
      </c>
    </row>
    <row r="237" spans="1:19">
      <c r="A237">
        <v>60000236</v>
      </c>
      <c r="B237">
        <v>52</v>
      </c>
      <c r="C237" t="s">
        <v>33</v>
      </c>
      <c r="D237" t="s">
        <v>40</v>
      </c>
      <c r="E237" t="s">
        <v>64</v>
      </c>
      <c r="F237" t="s">
        <v>21</v>
      </c>
      <c r="G237" s="23">
        <v>0.1</v>
      </c>
      <c r="H237" t="s">
        <v>36</v>
      </c>
      <c r="I237" t="s">
        <v>23</v>
      </c>
      <c r="J237" t="s">
        <v>46</v>
      </c>
      <c r="K237" t="s">
        <v>49</v>
      </c>
      <c r="L237" t="s">
        <v>26</v>
      </c>
      <c r="M237" t="s">
        <v>27</v>
      </c>
      <c r="N237" t="s">
        <v>28</v>
      </c>
      <c r="O237">
        <v>5</v>
      </c>
      <c r="P237">
        <v>35339</v>
      </c>
      <c r="Q237">
        <f t="shared" si="3"/>
        <v>3.5339000000000002E-2</v>
      </c>
      <c r="R237">
        <v>43252</v>
      </c>
      <c r="S237" t="s">
        <v>122</v>
      </c>
    </row>
    <row r="238" spans="1:19">
      <c r="A238">
        <v>60000237</v>
      </c>
      <c r="B238">
        <v>22</v>
      </c>
      <c r="C238" t="s">
        <v>33</v>
      </c>
      <c r="D238" t="s">
        <v>40</v>
      </c>
      <c r="E238" t="s">
        <v>75</v>
      </c>
      <c r="F238" t="s">
        <v>21</v>
      </c>
      <c r="G238" s="23">
        <v>0.15</v>
      </c>
      <c r="H238" t="s">
        <v>22</v>
      </c>
      <c r="I238" t="s">
        <v>76</v>
      </c>
      <c r="J238" t="s">
        <v>74</v>
      </c>
      <c r="K238" t="s">
        <v>110</v>
      </c>
      <c r="L238" t="s">
        <v>26</v>
      </c>
      <c r="M238" t="s">
        <v>27</v>
      </c>
      <c r="N238" t="s">
        <v>28</v>
      </c>
      <c r="O238">
        <v>0</v>
      </c>
      <c r="P238">
        <v>31305</v>
      </c>
      <c r="Q238">
        <f t="shared" ref="Q238:Q301" si="4">+P238/1000000</f>
        <v>3.1304999999999999E-2</v>
      </c>
      <c r="R238">
        <v>43252</v>
      </c>
      <c r="S238" t="s">
        <v>122</v>
      </c>
    </row>
    <row r="239" spans="1:19">
      <c r="A239">
        <v>60000238</v>
      </c>
      <c r="B239">
        <v>39</v>
      </c>
      <c r="C239" t="s">
        <v>18</v>
      </c>
      <c r="D239" t="s">
        <v>40</v>
      </c>
      <c r="E239" t="s">
        <v>48</v>
      </c>
      <c r="F239" t="s">
        <v>21</v>
      </c>
      <c r="G239" s="23">
        <v>0.38</v>
      </c>
      <c r="H239" t="s">
        <v>42</v>
      </c>
      <c r="I239" t="s">
        <v>76</v>
      </c>
      <c r="J239" t="s">
        <v>74</v>
      </c>
      <c r="K239" t="s">
        <v>55</v>
      </c>
      <c r="L239" t="s">
        <v>26</v>
      </c>
      <c r="M239" t="s">
        <v>27</v>
      </c>
      <c r="N239" t="s">
        <v>28</v>
      </c>
      <c r="O239">
        <v>0</v>
      </c>
      <c r="P239">
        <v>42758</v>
      </c>
      <c r="Q239">
        <f t="shared" si="4"/>
        <v>4.2757999999999997E-2</v>
      </c>
      <c r="R239">
        <v>43252</v>
      </c>
      <c r="S239" t="s">
        <v>122</v>
      </c>
    </row>
    <row r="240" spans="1:19">
      <c r="A240">
        <v>60000239</v>
      </c>
      <c r="B240">
        <v>47</v>
      </c>
      <c r="C240" t="s">
        <v>18</v>
      </c>
      <c r="D240" t="s">
        <v>40</v>
      </c>
      <c r="E240" t="s">
        <v>75</v>
      </c>
      <c r="F240" t="s">
        <v>21</v>
      </c>
      <c r="G240" s="23">
        <v>0.12</v>
      </c>
      <c r="H240" t="s">
        <v>22</v>
      </c>
      <c r="I240" t="s">
        <v>68</v>
      </c>
      <c r="J240" t="s">
        <v>74</v>
      </c>
      <c r="K240" t="s">
        <v>105</v>
      </c>
      <c r="L240" t="s">
        <v>119</v>
      </c>
      <c r="M240" t="s">
        <v>27</v>
      </c>
      <c r="N240" t="s">
        <v>28</v>
      </c>
      <c r="O240">
        <v>0</v>
      </c>
      <c r="P240">
        <v>52307</v>
      </c>
      <c r="Q240">
        <f t="shared" si="4"/>
        <v>5.2306999999999999E-2</v>
      </c>
      <c r="R240">
        <v>43252</v>
      </c>
      <c r="S240" t="s">
        <v>122</v>
      </c>
    </row>
    <row r="241" spans="1:19">
      <c r="A241">
        <v>60000240</v>
      </c>
      <c r="B241">
        <v>65</v>
      </c>
      <c r="C241" t="s">
        <v>18</v>
      </c>
      <c r="D241" t="s">
        <v>40</v>
      </c>
      <c r="E241" t="s">
        <v>34</v>
      </c>
      <c r="F241" t="s">
        <v>21</v>
      </c>
      <c r="G241" s="23">
        <v>0.36</v>
      </c>
      <c r="H241" t="s">
        <v>42</v>
      </c>
      <c r="I241" t="s">
        <v>60</v>
      </c>
      <c r="J241" t="s">
        <v>66</v>
      </c>
      <c r="K241" t="s">
        <v>107</v>
      </c>
      <c r="L241" t="s">
        <v>121</v>
      </c>
      <c r="M241" t="s">
        <v>27</v>
      </c>
      <c r="N241" t="s">
        <v>28</v>
      </c>
      <c r="O241">
        <v>0</v>
      </c>
      <c r="P241">
        <v>27291</v>
      </c>
      <c r="Q241">
        <f t="shared" si="4"/>
        <v>2.7290999999999999E-2</v>
      </c>
      <c r="R241">
        <v>43252</v>
      </c>
      <c r="S241" t="s">
        <v>122</v>
      </c>
    </row>
    <row r="242" spans="1:19">
      <c r="A242">
        <v>60000241</v>
      </c>
      <c r="B242">
        <v>57</v>
      </c>
      <c r="C242" t="s">
        <v>18</v>
      </c>
      <c r="D242" t="s">
        <v>19</v>
      </c>
      <c r="E242" t="s">
        <v>64</v>
      </c>
      <c r="F242" t="s">
        <v>21</v>
      </c>
      <c r="G242" s="23">
        <v>0.14000000000000001</v>
      </c>
      <c r="H242" t="s">
        <v>22</v>
      </c>
      <c r="I242" t="s">
        <v>37</v>
      </c>
      <c r="J242" t="s">
        <v>91</v>
      </c>
      <c r="K242" t="s">
        <v>89</v>
      </c>
      <c r="L242" t="s">
        <v>26</v>
      </c>
      <c r="M242" t="s">
        <v>27</v>
      </c>
      <c r="N242" t="s">
        <v>28</v>
      </c>
      <c r="O242">
        <v>3</v>
      </c>
      <c r="P242">
        <v>33519</v>
      </c>
      <c r="Q242">
        <f t="shared" si="4"/>
        <v>3.3519E-2</v>
      </c>
      <c r="R242">
        <v>43252</v>
      </c>
      <c r="S242" t="s">
        <v>122</v>
      </c>
    </row>
    <row r="243" spans="1:19">
      <c r="A243">
        <v>60000242</v>
      </c>
      <c r="B243">
        <v>60</v>
      </c>
      <c r="C243" t="s">
        <v>18</v>
      </c>
      <c r="D243" t="s">
        <v>19</v>
      </c>
      <c r="E243" t="s">
        <v>20</v>
      </c>
      <c r="F243" t="s">
        <v>21</v>
      </c>
      <c r="G243" s="23">
        <v>0.11</v>
      </c>
      <c r="H243" t="s">
        <v>36</v>
      </c>
      <c r="I243" t="s">
        <v>45</v>
      </c>
      <c r="J243" t="s">
        <v>58</v>
      </c>
      <c r="K243" t="s">
        <v>97</v>
      </c>
      <c r="L243" t="s">
        <v>121</v>
      </c>
      <c r="M243" t="s">
        <v>27</v>
      </c>
      <c r="N243" t="s">
        <v>51</v>
      </c>
      <c r="O243">
        <v>0</v>
      </c>
      <c r="P243">
        <v>36838</v>
      </c>
      <c r="Q243">
        <f t="shared" si="4"/>
        <v>3.6838000000000003E-2</v>
      </c>
      <c r="R243">
        <v>43252</v>
      </c>
      <c r="S243" t="s">
        <v>122</v>
      </c>
    </row>
    <row r="244" spans="1:19">
      <c r="A244">
        <v>60000243</v>
      </c>
      <c r="B244">
        <v>37</v>
      </c>
      <c r="C244" t="s">
        <v>33</v>
      </c>
      <c r="D244" t="s">
        <v>19</v>
      </c>
      <c r="E244" t="s">
        <v>20</v>
      </c>
      <c r="F244" t="s">
        <v>21</v>
      </c>
      <c r="G244" s="23">
        <v>0.14000000000000001</v>
      </c>
      <c r="H244" t="s">
        <v>22</v>
      </c>
      <c r="I244" t="s">
        <v>76</v>
      </c>
      <c r="J244" t="s">
        <v>46</v>
      </c>
      <c r="K244" t="s">
        <v>103</v>
      </c>
      <c r="L244" t="s">
        <v>119</v>
      </c>
      <c r="M244" t="s">
        <v>27</v>
      </c>
      <c r="N244" t="s">
        <v>51</v>
      </c>
      <c r="O244">
        <v>7</v>
      </c>
      <c r="P244">
        <v>71082</v>
      </c>
      <c r="Q244">
        <f t="shared" si="4"/>
        <v>7.1082000000000006E-2</v>
      </c>
      <c r="R244">
        <v>43252</v>
      </c>
      <c r="S244" t="s">
        <v>122</v>
      </c>
    </row>
    <row r="245" spans="1:19">
      <c r="A245">
        <v>60000244</v>
      </c>
      <c r="B245">
        <v>33</v>
      </c>
      <c r="C245" t="s">
        <v>18</v>
      </c>
      <c r="D245" t="s">
        <v>19</v>
      </c>
      <c r="E245" t="s">
        <v>85</v>
      </c>
      <c r="F245" t="s">
        <v>21</v>
      </c>
      <c r="G245" s="23">
        <v>0.27</v>
      </c>
      <c r="H245" t="s">
        <v>53</v>
      </c>
      <c r="I245" t="s">
        <v>37</v>
      </c>
      <c r="J245" t="s">
        <v>69</v>
      </c>
      <c r="K245" t="s">
        <v>92</v>
      </c>
      <c r="L245" t="s">
        <v>119</v>
      </c>
      <c r="M245" t="s">
        <v>27</v>
      </c>
      <c r="N245" t="s">
        <v>28</v>
      </c>
      <c r="O245">
        <v>0</v>
      </c>
      <c r="P245">
        <v>50431</v>
      </c>
      <c r="Q245">
        <f t="shared" si="4"/>
        <v>5.0430999999999997E-2</v>
      </c>
      <c r="R245">
        <v>43252</v>
      </c>
      <c r="S245" t="s">
        <v>122</v>
      </c>
    </row>
    <row r="246" spans="1:19">
      <c r="A246">
        <v>60000245</v>
      </c>
      <c r="B246">
        <v>27</v>
      </c>
      <c r="C246" t="s">
        <v>33</v>
      </c>
      <c r="D246" t="s">
        <v>19</v>
      </c>
      <c r="E246" t="s">
        <v>72</v>
      </c>
      <c r="F246" t="s">
        <v>21</v>
      </c>
      <c r="G246" s="23">
        <v>0.1</v>
      </c>
      <c r="H246" t="s">
        <v>36</v>
      </c>
      <c r="I246" t="s">
        <v>30</v>
      </c>
      <c r="J246" t="s">
        <v>74</v>
      </c>
      <c r="K246" t="s">
        <v>110</v>
      </c>
      <c r="L246" t="s">
        <v>121</v>
      </c>
      <c r="M246" t="s">
        <v>27</v>
      </c>
      <c r="N246" t="s">
        <v>28</v>
      </c>
      <c r="O246">
        <v>5</v>
      </c>
      <c r="P246">
        <v>27793</v>
      </c>
      <c r="Q246">
        <f t="shared" si="4"/>
        <v>2.7793000000000002E-2</v>
      </c>
      <c r="R246">
        <v>43252</v>
      </c>
      <c r="S246" t="s">
        <v>122</v>
      </c>
    </row>
    <row r="247" spans="1:19">
      <c r="A247">
        <v>60000246</v>
      </c>
      <c r="B247">
        <v>26</v>
      </c>
      <c r="C247" t="s">
        <v>18</v>
      </c>
      <c r="D247" t="s">
        <v>19</v>
      </c>
      <c r="E247" t="s">
        <v>85</v>
      </c>
      <c r="F247" t="s">
        <v>21</v>
      </c>
      <c r="G247" s="23">
        <v>0.11</v>
      </c>
      <c r="H247" t="s">
        <v>36</v>
      </c>
      <c r="I247" t="s">
        <v>65</v>
      </c>
      <c r="J247" t="s">
        <v>46</v>
      </c>
      <c r="K247" t="s">
        <v>82</v>
      </c>
      <c r="L247" t="s">
        <v>119</v>
      </c>
      <c r="M247" t="s">
        <v>27</v>
      </c>
      <c r="N247" t="s">
        <v>28</v>
      </c>
      <c r="O247">
        <v>6</v>
      </c>
      <c r="P247">
        <v>53157</v>
      </c>
      <c r="Q247">
        <f t="shared" si="4"/>
        <v>5.3157000000000003E-2</v>
      </c>
      <c r="R247">
        <v>43252</v>
      </c>
      <c r="S247" t="s">
        <v>122</v>
      </c>
    </row>
    <row r="248" spans="1:19">
      <c r="A248">
        <v>60000247</v>
      </c>
      <c r="B248">
        <v>54</v>
      </c>
      <c r="C248" t="s">
        <v>33</v>
      </c>
      <c r="D248" t="s">
        <v>19</v>
      </c>
      <c r="E248" t="s">
        <v>64</v>
      </c>
      <c r="F248" t="s">
        <v>21</v>
      </c>
      <c r="G248" s="23">
        <v>0.35</v>
      </c>
      <c r="H248" t="s">
        <v>42</v>
      </c>
      <c r="I248" t="s">
        <v>73</v>
      </c>
      <c r="J248" t="s">
        <v>78</v>
      </c>
      <c r="K248" t="s">
        <v>32</v>
      </c>
      <c r="L248" t="s">
        <v>26</v>
      </c>
      <c r="M248" t="s">
        <v>27</v>
      </c>
      <c r="N248" t="s">
        <v>28</v>
      </c>
      <c r="O248">
        <v>0</v>
      </c>
      <c r="P248">
        <v>62433</v>
      </c>
      <c r="Q248">
        <f t="shared" si="4"/>
        <v>6.2433000000000002E-2</v>
      </c>
      <c r="R248">
        <v>43252</v>
      </c>
      <c r="S248" t="s">
        <v>122</v>
      </c>
    </row>
    <row r="249" spans="1:19">
      <c r="A249">
        <v>60000248</v>
      </c>
      <c r="B249">
        <v>28</v>
      </c>
      <c r="C249" t="s">
        <v>18</v>
      </c>
      <c r="D249" t="s">
        <v>19</v>
      </c>
      <c r="E249" t="s">
        <v>67</v>
      </c>
      <c r="F249" t="s">
        <v>21</v>
      </c>
      <c r="G249" s="23">
        <v>0.3</v>
      </c>
      <c r="H249" t="s">
        <v>53</v>
      </c>
      <c r="I249" t="s">
        <v>57</v>
      </c>
      <c r="J249" t="s">
        <v>46</v>
      </c>
      <c r="K249" t="s">
        <v>118</v>
      </c>
      <c r="L249" t="s">
        <v>121</v>
      </c>
      <c r="M249" t="s">
        <v>27</v>
      </c>
      <c r="N249" t="s">
        <v>28</v>
      </c>
      <c r="O249">
        <v>0</v>
      </c>
      <c r="P249">
        <v>25103</v>
      </c>
      <c r="Q249">
        <f t="shared" si="4"/>
        <v>2.5103E-2</v>
      </c>
      <c r="R249">
        <v>43252</v>
      </c>
      <c r="S249" t="s">
        <v>122</v>
      </c>
    </row>
    <row r="250" spans="1:19">
      <c r="A250">
        <v>60000249</v>
      </c>
      <c r="B250">
        <v>24</v>
      </c>
      <c r="C250" t="s">
        <v>18</v>
      </c>
      <c r="D250" t="s">
        <v>19</v>
      </c>
      <c r="E250" t="s">
        <v>48</v>
      </c>
      <c r="F250" t="s">
        <v>21</v>
      </c>
      <c r="G250" s="23">
        <v>0.34</v>
      </c>
      <c r="H250" t="s">
        <v>42</v>
      </c>
      <c r="I250" t="s">
        <v>57</v>
      </c>
      <c r="J250" t="s">
        <v>46</v>
      </c>
      <c r="K250" t="s">
        <v>117</v>
      </c>
      <c r="L250" t="s">
        <v>119</v>
      </c>
      <c r="M250" t="s">
        <v>27</v>
      </c>
      <c r="N250" t="s">
        <v>51</v>
      </c>
      <c r="O250">
        <v>0</v>
      </c>
      <c r="P250">
        <v>36428</v>
      </c>
      <c r="Q250">
        <f t="shared" si="4"/>
        <v>3.6428000000000002E-2</v>
      </c>
      <c r="R250">
        <v>43252</v>
      </c>
      <c r="S250" t="s">
        <v>122</v>
      </c>
    </row>
    <row r="251" spans="1:19">
      <c r="A251">
        <v>60000250</v>
      </c>
      <c r="B251">
        <v>48</v>
      </c>
      <c r="C251" t="s">
        <v>33</v>
      </c>
      <c r="D251" t="s">
        <v>19</v>
      </c>
      <c r="E251" t="s">
        <v>64</v>
      </c>
      <c r="F251" t="s">
        <v>21</v>
      </c>
      <c r="G251" s="23">
        <v>0.19</v>
      </c>
      <c r="H251" t="s">
        <v>29</v>
      </c>
      <c r="I251" t="s">
        <v>68</v>
      </c>
      <c r="J251" t="s">
        <v>31</v>
      </c>
      <c r="K251" t="s">
        <v>96</v>
      </c>
      <c r="L251" t="s">
        <v>119</v>
      </c>
      <c r="M251" t="s">
        <v>27</v>
      </c>
      <c r="N251" t="s">
        <v>28</v>
      </c>
      <c r="O251">
        <v>2</v>
      </c>
      <c r="P251">
        <v>44679</v>
      </c>
      <c r="Q251">
        <f t="shared" si="4"/>
        <v>4.4679000000000003E-2</v>
      </c>
      <c r="R251">
        <v>43252</v>
      </c>
      <c r="S251" t="s">
        <v>122</v>
      </c>
    </row>
    <row r="252" spans="1:19">
      <c r="A252">
        <v>60000251</v>
      </c>
      <c r="B252">
        <v>26</v>
      </c>
      <c r="C252" t="s">
        <v>18</v>
      </c>
      <c r="D252" t="s">
        <v>40</v>
      </c>
      <c r="E252" t="s">
        <v>41</v>
      </c>
      <c r="F252" t="s">
        <v>21</v>
      </c>
      <c r="G252" s="23">
        <v>0.21</v>
      </c>
      <c r="H252" t="s">
        <v>29</v>
      </c>
      <c r="I252" t="s">
        <v>60</v>
      </c>
      <c r="J252" t="s">
        <v>38</v>
      </c>
      <c r="K252" t="s">
        <v>101</v>
      </c>
      <c r="L252" t="s">
        <v>121</v>
      </c>
      <c r="M252" t="s">
        <v>27</v>
      </c>
      <c r="N252" t="s">
        <v>51</v>
      </c>
      <c r="O252">
        <v>0</v>
      </c>
      <c r="P252">
        <v>60136</v>
      </c>
      <c r="Q252">
        <f t="shared" si="4"/>
        <v>6.0136000000000002E-2</v>
      </c>
      <c r="R252">
        <v>43252</v>
      </c>
      <c r="S252" t="s">
        <v>122</v>
      </c>
    </row>
    <row r="253" spans="1:19">
      <c r="A253">
        <v>60000252</v>
      </c>
      <c r="B253">
        <v>30</v>
      </c>
      <c r="C253" t="s">
        <v>18</v>
      </c>
      <c r="D253" t="s">
        <v>40</v>
      </c>
      <c r="E253" t="s">
        <v>41</v>
      </c>
      <c r="F253" t="s">
        <v>21</v>
      </c>
      <c r="G253" s="23">
        <v>0.2</v>
      </c>
      <c r="H253" t="s">
        <v>29</v>
      </c>
      <c r="I253" t="s">
        <v>30</v>
      </c>
      <c r="J253" t="s">
        <v>91</v>
      </c>
      <c r="K253" t="s">
        <v>117</v>
      </c>
      <c r="L253" t="s">
        <v>26</v>
      </c>
      <c r="M253" t="s">
        <v>27</v>
      </c>
      <c r="N253" t="s">
        <v>28</v>
      </c>
      <c r="O253">
        <v>0</v>
      </c>
      <c r="P253">
        <v>45590</v>
      </c>
      <c r="Q253">
        <f t="shared" si="4"/>
        <v>4.5589999999999999E-2</v>
      </c>
      <c r="R253">
        <v>43252</v>
      </c>
      <c r="S253" t="s">
        <v>122</v>
      </c>
    </row>
    <row r="254" spans="1:19">
      <c r="A254">
        <v>60000253</v>
      </c>
      <c r="B254">
        <v>31</v>
      </c>
      <c r="C254" t="s">
        <v>18</v>
      </c>
      <c r="D254" t="s">
        <v>19</v>
      </c>
      <c r="E254" t="s">
        <v>85</v>
      </c>
      <c r="F254" t="s">
        <v>21</v>
      </c>
      <c r="G254" s="23">
        <v>0.19</v>
      </c>
      <c r="H254" t="s">
        <v>29</v>
      </c>
      <c r="I254" t="s">
        <v>45</v>
      </c>
      <c r="J254" t="s">
        <v>61</v>
      </c>
      <c r="K254" t="s">
        <v>110</v>
      </c>
      <c r="L254" t="s">
        <v>121</v>
      </c>
      <c r="M254" t="s">
        <v>27</v>
      </c>
      <c r="N254" t="s">
        <v>51</v>
      </c>
      <c r="O254">
        <v>3</v>
      </c>
      <c r="P254">
        <v>38361</v>
      </c>
      <c r="Q254">
        <f t="shared" si="4"/>
        <v>3.8360999999999999E-2</v>
      </c>
      <c r="R254">
        <v>43252</v>
      </c>
      <c r="S254" t="s">
        <v>122</v>
      </c>
    </row>
    <row r="255" spans="1:19">
      <c r="A255">
        <v>60000254</v>
      </c>
      <c r="B255">
        <v>51</v>
      </c>
      <c r="C255" t="s">
        <v>33</v>
      </c>
      <c r="D255" t="s">
        <v>19</v>
      </c>
      <c r="E255" t="s">
        <v>56</v>
      </c>
      <c r="F255" t="s">
        <v>21</v>
      </c>
      <c r="G255" s="23">
        <v>0.35</v>
      </c>
      <c r="H255" t="s">
        <v>42</v>
      </c>
      <c r="I255" t="s">
        <v>83</v>
      </c>
      <c r="J255" t="s">
        <v>58</v>
      </c>
      <c r="K255" t="s">
        <v>103</v>
      </c>
      <c r="L255" t="s">
        <v>121</v>
      </c>
      <c r="M255" t="s">
        <v>27</v>
      </c>
      <c r="N255" t="s">
        <v>51</v>
      </c>
      <c r="O255">
        <v>0</v>
      </c>
      <c r="P255">
        <v>42979</v>
      </c>
      <c r="Q255">
        <f t="shared" si="4"/>
        <v>4.2979000000000003E-2</v>
      </c>
      <c r="R255">
        <v>43252</v>
      </c>
      <c r="S255" t="s">
        <v>122</v>
      </c>
    </row>
    <row r="256" spans="1:19">
      <c r="A256">
        <v>60000255</v>
      </c>
      <c r="B256">
        <v>56</v>
      </c>
      <c r="C256" t="s">
        <v>18</v>
      </c>
      <c r="D256" t="s">
        <v>40</v>
      </c>
      <c r="E256" t="s">
        <v>72</v>
      </c>
      <c r="F256" t="s">
        <v>21</v>
      </c>
      <c r="G256" s="23">
        <v>0.36</v>
      </c>
      <c r="H256" t="s">
        <v>42</v>
      </c>
      <c r="I256" t="s">
        <v>70</v>
      </c>
      <c r="J256" t="s">
        <v>58</v>
      </c>
      <c r="K256" t="s">
        <v>87</v>
      </c>
      <c r="L256" t="s">
        <v>119</v>
      </c>
      <c r="M256" t="s">
        <v>27</v>
      </c>
      <c r="N256" t="s">
        <v>51</v>
      </c>
      <c r="O256">
        <v>0</v>
      </c>
      <c r="P256">
        <v>55189</v>
      </c>
      <c r="Q256">
        <f t="shared" si="4"/>
        <v>5.5189000000000002E-2</v>
      </c>
      <c r="R256">
        <v>43252</v>
      </c>
      <c r="S256" t="s">
        <v>122</v>
      </c>
    </row>
    <row r="257" spans="1:19">
      <c r="A257">
        <v>60000256</v>
      </c>
      <c r="B257">
        <v>21</v>
      </c>
      <c r="C257" t="s">
        <v>18</v>
      </c>
      <c r="D257" t="s">
        <v>19</v>
      </c>
      <c r="E257" t="s">
        <v>52</v>
      </c>
      <c r="F257" t="s">
        <v>21</v>
      </c>
      <c r="G257" s="23">
        <v>0.15</v>
      </c>
      <c r="H257" t="s">
        <v>22</v>
      </c>
      <c r="I257" t="s">
        <v>57</v>
      </c>
      <c r="J257" t="s">
        <v>31</v>
      </c>
      <c r="K257" t="s">
        <v>117</v>
      </c>
      <c r="L257" t="s">
        <v>26</v>
      </c>
      <c r="M257" t="s">
        <v>27</v>
      </c>
      <c r="N257" t="s">
        <v>28</v>
      </c>
      <c r="O257">
        <v>0</v>
      </c>
      <c r="P257">
        <v>44547</v>
      </c>
      <c r="Q257">
        <f t="shared" si="4"/>
        <v>4.4547000000000003E-2</v>
      </c>
      <c r="R257">
        <v>43252</v>
      </c>
      <c r="S257" t="s">
        <v>122</v>
      </c>
    </row>
    <row r="258" spans="1:19">
      <c r="A258">
        <v>60000257</v>
      </c>
      <c r="B258">
        <v>60</v>
      </c>
      <c r="C258" t="s">
        <v>33</v>
      </c>
      <c r="D258" t="s">
        <v>40</v>
      </c>
      <c r="E258" t="s">
        <v>41</v>
      </c>
      <c r="F258" t="s">
        <v>21</v>
      </c>
      <c r="G258" s="23">
        <v>0.21</v>
      </c>
      <c r="H258" t="s">
        <v>29</v>
      </c>
      <c r="I258" t="s">
        <v>86</v>
      </c>
      <c r="J258" t="s">
        <v>88</v>
      </c>
      <c r="K258" t="s">
        <v>98</v>
      </c>
      <c r="L258" t="s">
        <v>119</v>
      </c>
      <c r="M258" t="s">
        <v>27</v>
      </c>
      <c r="N258" t="s">
        <v>51</v>
      </c>
      <c r="O258">
        <v>0</v>
      </c>
      <c r="P258">
        <v>36625</v>
      </c>
      <c r="Q258">
        <f t="shared" si="4"/>
        <v>3.6624999999999998E-2</v>
      </c>
      <c r="R258">
        <v>43252</v>
      </c>
      <c r="S258" t="s">
        <v>122</v>
      </c>
    </row>
    <row r="259" spans="1:19">
      <c r="A259">
        <v>60000258</v>
      </c>
      <c r="B259">
        <v>47</v>
      </c>
      <c r="C259" t="s">
        <v>18</v>
      </c>
      <c r="D259" t="s">
        <v>19</v>
      </c>
      <c r="E259" t="s">
        <v>48</v>
      </c>
      <c r="F259" t="s">
        <v>21</v>
      </c>
      <c r="G259" s="23">
        <v>0.33</v>
      </c>
      <c r="H259" t="s">
        <v>42</v>
      </c>
      <c r="I259" t="s">
        <v>65</v>
      </c>
      <c r="J259" t="s">
        <v>38</v>
      </c>
      <c r="K259" t="s">
        <v>98</v>
      </c>
      <c r="L259" t="s">
        <v>26</v>
      </c>
      <c r="M259" t="s">
        <v>27</v>
      </c>
      <c r="N259" t="s">
        <v>28</v>
      </c>
      <c r="O259">
        <v>4</v>
      </c>
      <c r="P259">
        <v>51401</v>
      </c>
      <c r="Q259">
        <f t="shared" si="4"/>
        <v>5.1401000000000002E-2</v>
      </c>
      <c r="R259">
        <v>43252</v>
      </c>
      <c r="S259" t="s">
        <v>122</v>
      </c>
    </row>
    <row r="260" spans="1:19">
      <c r="A260">
        <v>60000259</v>
      </c>
      <c r="B260">
        <v>63</v>
      </c>
      <c r="C260" t="s">
        <v>33</v>
      </c>
      <c r="D260" t="s">
        <v>19</v>
      </c>
      <c r="E260" t="s">
        <v>44</v>
      </c>
      <c r="F260" t="s">
        <v>21</v>
      </c>
      <c r="G260" s="23">
        <v>0.12</v>
      </c>
      <c r="H260" t="s">
        <v>22</v>
      </c>
      <c r="I260" t="s">
        <v>23</v>
      </c>
      <c r="J260" t="s">
        <v>66</v>
      </c>
      <c r="K260" t="s">
        <v>118</v>
      </c>
      <c r="L260" t="s">
        <v>26</v>
      </c>
      <c r="M260" t="s">
        <v>27</v>
      </c>
      <c r="N260" t="s">
        <v>28</v>
      </c>
      <c r="O260">
        <v>4</v>
      </c>
      <c r="P260">
        <v>43733</v>
      </c>
      <c r="Q260">
        <f t="shared" si="4"/>
        <v>4.3733000000000001E-2</v>
      </c>
      <c r="R260">
        <v>43252</v>
      </c>
      <c r="S260" t="s">
        <v>122</v>
      </c>
    </row>
    <row r="261" spans="1:19">
      <c r="A261">
        <v>60000260</v>
      </c>
      <c r="B261">
        <v>53</v>
      </c>
      <c r="C261" t="s">
        <v>18</v>
      </c>
      <c r="D261" t="s">
        <v>19</v>
      </c>
      <c r="E261" t="s">
        <v>67</v>
      </c>
      <c r="F261" t="s">
        <v>21</v>
      </c>
      <c r="G261" s="23">
        <v>0.19</v>
      </c>
      <c r="H261" t="s">
        <v>29</v>
      </c>
      <c r="I261" t="s">
        <v>45</v>
      </c>
      <c r="J261" t="s">
        <v>54</v>
      </c>
      <c r="K261" t="s">
        <v>92</v>
      </c>
      <c r="L261" t="s">
        <v>119</v>
      </c>
      <c r="M261" t="s">
        <v>27</v>
      </c>
      <c r="N261" t="s">
        <v>28</v>
      </c>
      <c r="O261">
        <v>0</v>
      </c>
      <c r="P261">
        <v>52142</v>
      </c>
      <c r="Q261">
        <f t="shared" si="4"/>
        <v>5.2142000000000001E-2</v>
      </c>
      <c r="R261">
        <v>43252</v>
      </c>
      <c r="S261" t="s">
        <v>122</v>
      </c>
    </row>
    <row r="262" spans="1:19">
      <c r="A262">
        <v>60000261</v>
      </c>
      <c r="B262">
        <v>64</v>
      </c>
      <c r="C262" t="s">
        <v>33</v>
      </c>
      <c r="D262" t="s">
        <v>19</v>
      </c>
      <c r="E262" t="s">
        <v>44</v>
      </c>
      <c r="F262" t="s">
        <v>21</v>
      </c>
      <c r="G262" s="23">
        <v>0.25</v>
      </c>
      <c r="H262" t="s">
        <v>53</v>
      </c>
      <c r="I262" t="s">
        <v>76</v>
      </c>
      <c r="J262" t="s">
        <v>46</v>
      </c>
      <c r="K262" t="s">
        <v>107</v>
      </c>
      <c r="L262" t="s">
        <v>121</v>
      </c>
      <c r="M262" t="s">
        <v>27</v>
      </c>
      <c r="N262" t="s">
        <v>51</v>
      </c>
      <c r="O262">
        <v>0</v>
      </c>
      <c r="P262">
        <v>68355</v>
      </c>
      <c r="Q262">
        <f t="shared" si="4"/>
        <v>6.8354999999999999E-2</v>
      </c>
      <c r="R262">
        <v>43252</v>
      </c>
      <c r="S262" t="s">
        <v>122</v>
      </c>
    </row>
    <row r="263" spans="1:19">
      <c r="A263">
        <v>60000262</v>
      </c>
      <c r="B263">
        <v>63</v>
      </c>
      <c r="C263" t="s">
        <v>18</v>
      </c>
      <c r="D263" t="s">
        <v>19</v>
      </c>
      <c r="E263" t="s">
        <v>67</v>
      </c>
      <c r="F263" t="s">
        <v>21</v>
      </c>
      <c r="G263" s="23">
        <v>0.35</v>
      </c>
      <c r="H263" t="s">
        <v>42</v>
      </c>
      <c r="I263" t="s">
        <v>73</v>
      </c>
      <c r="J263" t="s">
        <v>78</v>
      </c>
      <c r="K263" t="s">
        <v>77</v>
      </c>
      <c r="L263" t="s">
        <v>121</v>
      </c>
      <c r="M263" t="s">
        <v>27</v>
      </c>
      <c r="N263" t="s">
        <v>51</v>
      </c>
      <c r="O263">
        <v>6</v>
      </c>
      <c r="P263">
        <v>64273</v>
      </c>
      <c r="Q263">
        <f t="shared" si="4"/>
        <v>6.4272999999999997E-2</v>
      </c>
      <c r="R263">
        <v>43252</v>
      </c>
      <c r="S263" t="s">
        <v>122</v>
      </c>
    </row>
    <row r="264" spans="1:19">
      <c r="A264">
        <v>60000263</v>
      </c>
      <c r="B264">
        <v>47</v>
      </c>
      <c r="C264" t="s">
        <v>33</v>
      </c>
      <c r="D264" t="s">
        <v>19</v>
      </c>
      <c r="E264" t="s">
        <v>20</v>
      </c>
      <c r="F264" t="s">
        <v>21</v>
      </c>
      <c r="G264" s="23">
        <v>0.23</v>
      </c>
      <c r="H264" t="s">
        <v>29</v>
      </c>
      <c r="I264" t="s">
        <v>68</v>
      </c>
      <c r="J264" t="s">
        <v>61</v>
      </c>
      <c r="K264" t="s">
        <v>115</v>
      </c>
      <c r="L264" t="s">
        <v>26</v>
      </c>
      <c r="M264" t="s">
        <v>27</v>
      </c>
      <c r="N264" t="s">
        <v>51</v>
      </c>
      <c r="O264">
        <v>0</v>
      </c>
      <c r="P264">
        <v>73415</v>
      </c>
      <c r="Q264">
        <f t="shared" si="4"/>
        <v>7.3414999999999994E-2</v>
      </c>
      <c r="R264">
        <v>43252</v>
      </c>
      <c r="S264" t="s">
        <v>122</v>
      </c>
    </row>
    <row r="265" spans="1:19">
      <c r="A265">
        <v>60000264</v>
      </c>
      <c r="B265">
        <v>62</v>
      </c>
      <c r="C265" t="s">
        <v>18</v>
      </c>
      <c r="D265" t="s">
        <v>40</v>
      </c>
      <c r="E265" t="s">
        <v>67</v>
      </c>
      <c r="F265" t="s">
        <v>21</v>
      </c>
      <c r="G265" s="23">
        <v>0.32</v>
      </c>
      <c r="H265" t="s">
        <v>42</v>
      </c>
      <c r="I265" t="s">
        <v>23</v>
      </c>
      <c r="J265" t="s">
        <v>38</v>
      </c>
      <c r="K265" t="s">
        <v>112</v>
      </c>
      <c r="L265" t="s">
        <v>119</v>
      </c>
      <c r="M265" t="s">
        <v>27</v>
      </c>
      <c r="N265" t="s">
        <v>28</v>
      </c>
      <c r="O265">
        <v>7</v>
      </c>
      <c r="P265">
        <v>28009</v>
      </c>
      <c r="Q265">
        <f t="shared" si="4"/>
        <v>2.8008999999999999E-2</v>
      </c>
      <c r="R265">
        <v>43252</v>
      </c>
      <c r="S265" t="s">
        <v>122</v>
      </c>
    </row>
    <row r="266" spans="1:19">
      <c r="A266">
        <v>60000265</v>
      </c>
      <c r="B266">
        <v>22</v>
      </c>
      <c r="C266" t="s">
        <v>18</v>
      </c>
      <c r="D266" t="s">
        <v>19</v>
      </c>
      <c r="E266" t="s">
        <v>52</v>
      </c>
      <c r="F266" t="s">
        <v>21</v>
      </c>
      <c r="G266" s="23">
        <v>0.32</v>
      </c>
      <c r="H266" t="s">
        <v>42</v>
      </c>
      <c r="I266" t="s">
        <v>68</v>
      </c>
      <c r="J266" t="s">
        <v>54</v>
      </c>
      <c r="K266" t="s">
        <v>101</v>
      </c>
      <c r="L266" t="s">
        <v>26</v>
      </c>
      <c r="M266" t="s">
        <v>27</v>
      </c>
      <c r="N266" t="s">
        <v>51</v>
      </c>
      <c r="O266">
        <v>0</v>
      </c>
      <c r="P266">
        <v>50117</v>
      </c>
      <c r="Q266">
        <f t="shared" si="4"/>
        <v>5.0117000000000002E-2</v>
      </c>
      <c r="R266">
        <v>43252</v>
      </c>
      <c r="S266" t="s">
        <v>122</v>
      </c>
    </row>
    <row r="267" spans="1:19">
      <c r="A267">
        <v>60000266</v>
      </c>
      <c r="B267">
        <v>55</v>
      </c>
      <c r="C267" t="s">
        <v>33</v>
      </c>
      <c r="D267" t="s">
        <v>40</v>
      </c>
      <c r="E267" t="s">
        <v>56</v>
      </c>
      <c r="F267" t="s">
        <v>21</v>
      </c>
      <c r="G267" s="23">
        <v>0.24</v>
      </c>
      <c r="H267" t="s">
        <v>29</v>
      </c>
      <c r="I267" t="s">
        <v>62</v>
      </c>
      <c r="J267" t="s">
        <v>69</v>
      </c>
      <c r="K267" t="s">
        <v>59</v>
      </c>
      <c r="L267" t="s">
        <v>119</v>
      </c>
      <c r="M267" t="s">
        <v>27</v>
      </c>
      <c r="N267" t="s">
        <v>51</v>
      </c>
      <c r="O267">
        <v>5</v>
      </c>
      <c r="P267">
        <v>73685</v>
      </c>
      <c r="Q267">
        <f t="shared" si="4"/>
        <v>7.3685E-2</v>
      </c>
      <c r="R267">
        <v>43252</v>
      </c>
      <c r="S267" t="s">
        <v>122</v>
      </c>
    </row>
    <row r="268" spans="1:19">
      <c r="A268">
        <v>60000267</v>
      </c>
      <c r="B268">
        <v>23</v>
      </c>
      <c r="C268" t="s">
        <v>18</v>
      </c>
      <c r="D268" t="s">
        <v>40</v>
      </c>
      <c r="E268" t="s">
        <v>56</v>
      </c>
      <c r="F268" t="s">
        <v>21</v>
      </c>
      <c r="G268" s="23">
        <v>0.19</v>
      </c>
      <c r="H268" t="s">
        <v>29</v>
      </c>
      <c r="I268" t="s">
        <v>62</v>
      </c>
      <c r="J268" t="s">
        <v>24</v>
      </c>
      <c r="K268" t="s">
        <v>94</v>
      </c>
      <c r="L268" t="s">
        <v>119</v>
      </c>
      <c r="M268" t="s">
        <v>27</v>
      </c>
      <c r="N268" t="s">
        <v>51</v>
      </c>
      <c r="O268">
        <v>3</v>
      </c>
      <c r="P268">
        <v>75872</v>
      </c>
      <c r="Q268">
        <f t="shared" si="4"/>
        <v>7.5871999999999995E-2</v>
      </c>
      <c r="R268">
        <v>43252</v>
      </c>
      <c r="S268" t="s">
        <v>122</v>
      </c>
    </row>
    <row r="269" spans="1:19">
      <c r="A269">
        <v>60000268</v>
      </c>
      <c r="B269">
        <v>20</v>
      </c>
      <c r="C269" t="s">
        <v>33</v>
      </c>
      <c r="D269" t="s">
        <v>19</v>
      </c>
      <c r="E269" t="s">
        <v>34</v>
      </c>
      <c r="F269" t="s">
        <v>21</v>
      </c>
      <c r="G269" s="23">
        <v>0.35</v>
      </c>
      <c r="H269" t="s">
        <v>42</v>
      </c>
      <c r="I269" t="s">
        <v>62</v>
      </c>
      <c r="J269" t="s">
        <v>58</v>
      </c>
      <c r="K269" t="s">
        <v>84</v>
      </c>
      <c r="L269" t="s">
        <v>26</v>
      </c>
      <c r="M269" t="s">
        <v>27</v>
      </c>
      <c r="N269" t="s">
        <v>51</v>
      </c>
      <c r="O269">
        <v>0</v>
      </c>
      <c r="P269">
        <v>81531</v>
      </c>
      <c r="Q269">
        <f t="shared" si="4"/>
        <v>8.1531000000000006E-2</v>
      </c>
      <c r="R269">
        <v>43252</v>
      </c>
      <c r="S269" t="s">
        <v>122</v>
      </c>
    </row>
    <row r="270" spans="1:19">
      <c r="A270">
        <v>60000269</v>
      </c>
      <c r="B270">
        <v>64</v>
      </c>
      <c r="C270" t="s">
        <v>33</v>
      </c>
      <c r="D270" t="s">
        <v>40</v>
      </c>
      <c r="E270" t="s">
        <v>75</v>
      </c>
      <c r="F270" t="s">
        <v>21</v>
      </c>
      <c r="G270" s="23">
        <v>0.34</v>
      </c>
      <c r="H270" t="s">
        <v>42</v>
      </c>
      <c r="I270" t="s">
        <v>45</v>
      </c>
      <c r="J270" t="s">
        <v>74</v>
      </c>
      <c r="K270" t="s">
        <v>118</v>
      </c>
      <c r="L270" t="s">
        <v>121</v>
      </c>
      <c r="M270" t="s">
        <v>27</v>
      </c>
      <c r="N270" t="s">
        <v>28</v>
      </c>
      <c r="O270">
        <v>5</v>
      </c>
      <c r="P270">
        <v>74132</v>
      </c>
      <c r="Q270">
        <f t="shared" si="4"/>
        <v>7.4132000000000003E-2</v>
      </c>
      <c r="R270">
        <v>43252</v>
      </c>
      <c r="S270" t="s">
        <v>122</v>
      </c>
    </row>
    <row r="271" spans="1:19">
      <c r="A271">
        <v>60000270</v>
      </c>
      <c r="B271">
        <v>27</v>
      </c>
      <c r="C271" t="s">
        <v>33</v>
      </c>
      <c r="D271" t="s">
        <v>19</v>
      </c>
      <c r="E271" t="s">
        <v>85</v>
      </c>
      <c r="F271" t="s">
        <v>21</v>
      </c>
      <c r="G271" s="23">
        <v>0.33</v>
      </c>
      <c r="H271" t="s">
        <v>42</v>
      </c>
      <c r="I271" t="s">
        <v>60</v>
      </c>
      <c r="J271" t="s">
        <v>74</v>
      </c>
      <c r="K271" t="s">
        <v>95</v>
      </c>
      <c r="L271" t="s">
        <v>121</v>
      </c>
      <c r="M271" t="s">
        <v>27</v>
      </c>
      <c r="N271" t="s">
        <v>28</v>
      </c>
      <c r="O271">
        <v>1</v>
      </c>
      <c r="P271">
        <v>42932</v>
      </c>
      <c r="Q271">
        <f t="shared" si="4"/>
        <v>4.2931999999999998E-2</v>
      </c>
      <c r="R271">
        <v>43252</v>
      </c>
      <c r="S271" t="s">
        <v>122</v>
      </c>
    </row>
    <row r="272" spans="1:19">
      <c r="A272">
        <v>60000271</v>
      </c>
      <c r="B272">
        <v>48</v>
      </c>
      <c r="C272" t="s">
        <v>33</v>
      </c>
      <c r="D272" t="s">
        <v>40</v>
      </c>
      <c r="E272" t="s">
        <v>34</v>
      </c>
      <c r="F272" t="s">
        <v>21</v>
      </c>
      <c r="G272" s="23">
        <v>0.16</v>
      </c>
      <c r="H272" t="s">
        <v>22</v>
      </c>
      <c r="I272" t="s">
        <v>30</v>
      </c>
      <c r="J272" t="s">
        <v>91</v>
      </c>
      <c r="K272" t="s">
        <v>112</v>
      </c>
      <c r="L272" t="s">
        <v>119</v>
      </c>
      <c r="M272" t="s">
        <v>27</v>
      </c>
      <c r="N272" t="s">
        <v>51</v>
      </c>
      <c r="O272">
        <v>0</v>
      </c>
      <c r="P272">
        <v>62947</v>
      </c>
      <c r="Q272">
        <f t="shared" si="4"/>
        <v>6.2947000000000003E-2</v>
      </c>
      <c r="R272">
        <v>43252</v>
      </c>
      <c r="S272" t="s">
        <v>122</v>
      </c>
    </row>
    <row r="273" spans="1:19">
      <c r="A273">
        <v>60000272</v>
      </c>
      <c r="B273">
        <v>41</v>
      </c>
      <c r="C273" t="s">
        <v>33</v>
      </c>
      <c r="D273" t="s">
        <v>19</v>
      </c>
      <c r="E273" t="s">
        <v>85</v>
      </c>
      <c r="F273" t="s">
        <v>21</v>
      </c>
      <c r="G273" s="23">
        <v>0.17</v>
      </c>
      <c r="H273" t="s">
        <v>22</v>
      </c>
      <c r="I273" t="s">
        <v>68</v>
      </c>
      <c r="J273" t="s">
        <v>88</v>
      </c>
      <c r="K273" t="s">
        <v>90</v>
      </c>
      <c r="L273" t="s">
        <v>26</v>
      </c>
      <c r="M273" t="s">
        <v>27</v>
      </c>
      <c r="N273" t="s">
        <v>51</v>
      </c>
      <c r="O273">
        <v>0</v>
      </c>
      <c r="P273">
        <v>56032</v>
      </c>
      <c r="Q273">
        <f t="shared" si="4"/>
        <v>5.6031999999999998E-2</v>
      </c>
      <c r="R273">
        <v>43252</v>
      </c>
      <c r="S273" t="s">
        <v>122</v>
      </c>
    </row>
    <row r="274" spans="1:19">
      <c r="A274">
        <v>60000273</v>
      </c>
      <c r="B274">
        <v>39</v>
      </c>
      <c r="C274" t="s">
        <v>33</v>
      </c>
      <c r="D274" t="s">
        <v>40</v>
      </c>
      <c r="E274" t="s">
        <v>85</v>
      </c>
      <c r="F274" t="s">
        <v>21</v>
      </c>
      <c r="G274" s="23">
        <v>0.21</v>
      </c>
      <c r="H274" t="s">
        <v>29</v>
      </c>
      <c r="I274" t="s">
        <v>73</v>
      </c>
      <c r="J274" t="s">
        <v>24</v>
      </c>
      <c r="K274" t="s">
        <v>81</v>
      </c>
      <c r="L274" t="s">
        <v>119</v>
      </c>
      <c r="M274" t="s">
        <v>27</v>
      </c>
      <c r="N274" t="s">
        <v>28</v>
      </c>
      <c r="O274">
        <v>0</v>
      </c>
      <c r="P274">
        <v>67233</v>
      </c>
      <c r="Q274">
        <f t="shared" si="4"/>
        <v>6.7233000000000001E-2</v>
      </c>
      <c r="R274">
        <v>43252</v>
      </c>
      <c r="S274" t="s">
        <v>122</v>
      </c>
    </row>
    <row r="275" spans="1:19">
      <c r="A275">
        <v>60000274</v>
      </c>
      <c r="B275">
        <v>51</v>
      </c>
      <c r="C275" t="s">
        <v>18</v>
      </c>
      <c r="D275" t="s">
        <v>40</v>
      </c>
      <c r="E275" t="s">
        <v>44</v>
      </c>
      <c r="F275" t="s">
        <v>21</v>
      </c>
      <c r="G275" s="23">
        <v>0.27</v>
      </c>
      <c r="H275" t="s">
        <v>53</v>
      </c>
      <c r="I275" t="s">
        <v>68</v>
      </c>
      <c r="J275" t="s">
        <v>66</v>
      </c>
      <c r="K275" t="s">
        <v>107</v>
      </c>
      <c r="L275" t="s">
        <v>26</v>
      </c>
      <c r="M275" t="s">
        <v>27</v>
      </c>
      <c r="N275" t="s">
        <v>51</v>
      </c>
      <c r="O275">
        <v>6</v>
      </c>
      <c r="P275">
        <v>42157</v>
      </c>
      <c r="Q275">
        <f t="shared" si="4"/>
        <v>4.2157E-2</v>
      </c>
      <c r="R275">
        <v>43252</v>
      </c>
      <c r="S275" t="s">
        <v>122</v>
      </c>
    </row>
    <row r="276" spans="1:19">
      <c r="A276">
        <v>60000275</v>
      </c>
      <c r="B276">
        <v>64</v>
      </c>
      <c r="C276" t="s">
        <v>33</v>
      </c>
      <c r="D276" t="s">
        <v>19</v>
      </c>
      <c r="E276" t="s">
        <v>48</v>
      </c>
      <c r="F276" t="s">
        <v>21</v>
      </c>
      <c r="G276" s="23">
        <v>0.35</v>
      </c>
      <c r="H276" t="s">
        <v>42</v>
      </c>
      <c r="I276" t="s">
        <v>65</v>
      </c>
      <c r="J276" t="s">
        <v>38</v>
      </c>
      <c r="K276" t="s">
        <v>32</v>
      </c>
      <c r="L276" t="s">
        <v>119</v>
      </c>
      <c r="M276" t="s">
        <v>27</v>
      </c>
      <c r="N276" t="s">
        <v>28</v>
      </c>
      <c r="O276">
        <v>2</v>
      </c>
      <c r="P276">
        <v>80127</v>
      </c>
      <c r="Q276">
        <f t="shared" si="4"/>
        <v>8.0127000000000004E-2</v>
      </c>
      <c r="R276">
        <v>43252</v>
      </c>
      <c r="S276" t="s">
        <v>122</v>
      </c>
    </row>
    <row r="277" spans="1:19">
      <c r="A277">
        <v>60000276</v>
      </c>
      <c r="B277">
        <v>61</v>
      </c>
      <c r="C277" t="s">
        <v>33</v>
      </c>
      <c r="D277" t="s">
        <v>19</v>
      </c>
      <c r="E277" t="s">
        <v>41</v>
      </c>
      <c r="F277" t="s">
        <v>21</v>
      </c>
      <c r="G277" s="23">
        <v>0.22</v>
      </c>
      <c r="H277" t="s">
        <v>29</v>
      </c>
      <c r="I277" t="s">
        <v>62</v>
      </c>
      <c r="J277" t="s">
        <v>69</v>
      </c>
      <c r="K277" t="s">
        <v>96</v>
      </c>
      <c r="L277" t="s">
        <v>119</v>
      </c>
      <c r="M277" t="s">
        <v>27</v>
      </c>
      <c r="N277" t="s">
        <v>51</v>
      </c>
      <c r="O277">
        <v>5</v>
      </c>
      <c r="P277">
        <v>63859</v>
      </c>
      <c r="Q277">
        <f t="shared" si="4"/>
        <v>6.3858999999999999E-2</v>
      </c>
      <c r="R277">
        <v>43252</v>
      </c>
      <c r="S277" t="s">
        <v>122</v>
      </c>
    </row>
    <row r="278" spans="1:19">
      <c r="A278">
        <v>60000277</v>
      </c>
      <c r="B278">
        <v>21</v>
      </c>
      <c r="C278" t="s">
        <v>33</v>
      </c>
      <c r="D278" t="s">
        <v>19</v>
      </c>
      <c r="E278" t="s">
        <v>67</v>
      </c>
      <c r="F278" t="s">
        <v>21</v>
      </c>
      <c r="G278" s="23">
        <v>0.19</v>
      </c>
      <c r="H278" t="s">
        <v>29</v>
      </c>
      <c r="I278" t="s">
        <v>62</v>
      </c>
      <c r="J278" t="s">
        <v>78</v>
      </c>
      <c r="K278" t="s">
        <v>92</v>
      </c>
      <c r="L278" t="s">
        <v>119</v>
      </c>
      <c r="M278" t="s">
        <v>27</v>
      </c>
      <c r="N278" t="s">
        <v>28</v>
      </c>
      <c r="O278">
        <v>4</v>
      </c>
      <c r="P278">
        <v>56370</v>
      </c>
      <c r="Q278">
        <f t="shared" si="4"/>
        <v>5.6370000000000003E-2</v>
      </c>
      <c r="R278">
        <v>43252</v>
      </c>
      <c r="S278" t="s">
        <v>122</v>
      </c>
    </row>
    <row r="279" spans="1:19">
      <c r="A279">
        <v>60000278</v>
      </c>
      <c r="B279">
        <v>62</v>
      </c>
      <c r="C279" t="s">
        <v>18</v>
      </c>
      <c r="D279" t="s">
        <v>40</v>
      </c>
      <c r="E279" t="s">
        <v>48</v>
      </c>
      <c r="F279" t="s">
        <v>21</v>
      </c>
      <c r="G279" s="23">
        <v>0.35</v>
      </c>
      <c r="H279" t="s">
        <v>42</v>
      </c>
      <c r="I279" t="s">
        <v>68</v>
      </c>
      <c r="J279" t="s">
        <v>78</v>
      </c>
      <c r="K279" t="s">
        <v>81</v>
      </c>
      <c r="L279" t="s">
        <v>26</v>
      </c>
      <c r="M279" t="s">
        <v>27</v>
      </c>
      <c r="N279" t="s">
        <v>28</v>
      </c>
      <c r="O279">
        <v>4</v>
      </c>
      <c r="P279">
        <v>45869</v>
      </c>
      <c r="Q279">
        <f t="shared" si="4"/>
        <v>4.5869E-2</v>
      </c>
      <c r="R279">
        <v>43252</v>
      </c>
      <c r="S279" t="s">
        <v>122</v>
      </c>
    </row>
    <row r="280" spans="1:19">
      <c r="A280">
        <v>60000279</v>
      </c>
      <c r="B280">
        <v>35</v>
      </c>
      <c r="C280" t="s">
        <v>33</v>
      </c>
      <c r="D280" t="s">
        <v>19</v>
      </c>
      <c r="E280" t="s">
        <v>34</v>
      </c>
      <c r="F280" t="s">
        <v>21</v>
      </c>
      <c r="G280" s="23">
        <v>0.28000000000000003</v>
      </c>
      <c r="H280" t="s">
        <v>53</v>
      </c>
      <c r="I280" t="s">
        <v>57</v>
      </c>
      <c r="J280" t="s">
        <v>38</v>
      </c>
      <c r="K280" t="s">
        <v>109</v>
      </c>
      <c r="L280" t="s">
        <v>26</v>
      </c>
      <c r="M280" t="s">
        <v>27</v>
      </c>
      <c r="N280" t="s">
        <v>28</v>
      </c>
      <c r="O280">
        <v>0</v>
      </c>
      <c r="P280">
        <v>61650</v>
      </c>
      <c r="Q280">
        <f t="shared" si="4"/>
        <v>6.1650000000000003E-2</v>
      </c>
      <c r="R280">
        <v>43252</v>
      </c>
      <c r="S280" t="s">
        <v>122</v>
      </c>
    </row>
    <row r="281" spans="1:19">
      <c r="A281">
        <v>60000280</v>
      </c>
      <c r="B281">
        <v>33</v>
      </c>
      <c r="C281" t="s">
        <v>18</v>
      </c>
      <c r="D281" t="s">
        <v>40</v>
      </c>
      <c r="E281" t="s">
        <v>64</v>
      </c>
      <c r="F281" t="s">
        <v>21</v>
      </c>
      <c r="G281" s="23">
        <v>0.19</v>
      </c>
      <c r="H281" t="s">
        <v>29</v>
      </c>
      <c r="I281" t="s">
        <v>86</v>
      </c>
      <c r="J281" t="s">
        <v>66</v>
      </c>
      <c r="K281" t="s">
        <v>83</v>
      </c>
      <c r="L281" t="s">
        <v>26</v>
      </c>
      <c r="M281" t="s">
        <v>27</v>
      </c>
      <c r="N281" t="s">
        <v>28</v>
      </c>
      <c r="O281">
        <v>0</v>
      </c>
      <c r="P281">
        <v>54763</v>
      </c>
      <c r="Q281">
        <f t="shared" si="4"/>
        <v>5.4762999999999999E-2</v>
      </c>
      <c r="R281">
        <v>43252</v>
      </c>
      <c r="S281" t="s">
        <v>122</v>
      </c>
    </row>
    <row r="282" spans="1:19">
      <c r="A282">
        <v>60000281</v>
      </c>
      <c r="B282">
        <v>32</v>
      </c>
      <c r="C282" t="s">
        <v>18</v>
      </c>
      <c r="D282" t="s">
        <v>19</v>
      </c>
      <c r="E282" t="s">
        <v>52</v>
      </c>
      <c r="F282" t="s">
        <v>21</v>
      </c>
      <c r="G282" s="23">
        <v>0.14000000000000001</v>
      </c>
      <c r="H282" t="s">
        <v>22</v>
      </c>
      <c r="I282" t="s">
        <v>60</v>
      </c>
      <c r="J282" t="s">
        <v>24</v>
      </c>
      <c r="K282" t="s">
        <v>93</v>
      </c>
      <c r="L282" t="s">
        <v>119</v>
      </c>
      <c r="M282" t="s">
        <v>27</v>
      </c>
      <c r="N282" t="s">
        <v>51</v>
      </c>
      <c r="O282">
        <v>0</v>
      </c>
      <c r="P282">
        <v>84890</v>
      </c>
      <c r="Q282">
        <f t="shared" si="4"/>
        <v>8.4889999999999993E-2</v>
      </c>
      <c r="R282">
        <v>43252</v>
      </c>
      <c r="S282" t="s">
        <v>122</v>
      </c>
    </row>
    <row r="283" spans="1:19">
      <c r="A283">
        <v>60000282</v>
      </c>
      <c r="B283">
        <v>54</v>
      </c>
      <c r="C283" t="s">
        <v>33</v>
      </c>
      <c r="D283" t="s">
        <v>19</v>
      </c>
      <c r="E283" t="s">
        <v>20</v>
      </c>
      <c r="F283" t="s">
        <v>21</v>
      </c>
      <c r="G283" s="23">
        <v>0.11</v>
      </c>
      <c r="H283" t="s">
        <v>36</v>
      </c>
      <c r="I283" t="s">
        <v>70</v>
      </c>
      <c r="J283" t="s">
        <v>46</v>
      </c>
      <c r="K283" t="s">
        <v>102</v>
      </c>
      <c r="L283" t="s">
        <v>119</v>
      </c>
      <c r="M283" t="s">
        <v>27</v>
      </c>
      <c r="N283" t="s">
        <v>51</v>
      </c>
      <c r="O283">
        <v>6</v>
      </c>
      <c r="P283">
        <v>62574</v>
      </c>
      <c r="Q283">
        <f t="shared" si="4"/>
        <v>6.2574000000000005E-2</v>
      </c>
      <c r="R283">
        <v>43252</v>
      </c>
      <c r="S283" t="s">
        <v>122</v>
      </c>
    </row>
    <row r="284" spans="1:19">
      <c r="A284">
        <v>60000283</v>
      </c>
      <c r="B284">
        <v>45</v>
      </c>
      <c r="C284" t="s">
        <v>18</v>
      </c>
      <c r="D284" t="s">
        <v>40</v>
      </c>
      <c r="E284" t="s">
        <v>85</v>
      </c>
      <c r="F284" t="s">
        <v>21</v>
      </c>
      <c r="G284" s="23">
        <v>0.37</v>
      </c>
      <c r="H284" t="s">
        <v>42</v>
      </c>
      <c r="I284" t="s">
        <v>86</v>
      </c>
      <c r="J284" t="s">
        <v>46</v>
      </c>
      <c r="K284" t="s">
        <v>82</v>
      </c>
      <c r="L284" t="s">
        <v>26</v>
      </c>
      <c r="M284" t="s">
        <v>27</v>
      </c>
      <c r="N284" t="s">
        <v>51</v>
      </c>
      <c r="O284">
        <v>0</v>
      </c>
      <c r="P284">
        <v>25808</v>
      </c>
      <c r="Q284">
        <f t="shared" si="4"/>
        <v>2.5808000000000001E-2</v>
      </c>
      <c r="R284">
        <v>43252</v>
      </c>
      <c r="S284" t="s">
        <v>122</v>
      </c>
    </row>
    <row r="285" spans="1:19">
      <c r="A285">
        <v>60000284</v>
      </c>
      <c r="B285">
        <v>44</v>
      </c>
      <c r="C285" t="s">
        <v>18</v>
      </c>
      <c r="D285" t="s">
        <v>40</v>
      </c>
      <c r="E285" t="s">
        <v>75</v>
      </c>
      <c r="F285" t="s">
        <v>21</v>
      </c>
      <c r="G285" s="23">
        <v>0.16</v>
      </c>
      <c r="H285" t="s">
        <v>22</v>
      </c>
      <c r="I285" t="s">
        <v>86</v>
      </c>
      <c r="J285" t="s">
        <v>66</v>
      </c>
      <c r="K285" t="s">
        <v>49</v>
      </c>
      <c r="L285" t="s">
        <v>119</v>
      </c>
      <c r="M285" t="s">
        <v>27</v>
      </c>
      <c r="N285" t="s">
        <v>28</v>
      </c>
      <c r="O285">
        <v>0</v>
      </c>
      <c r="P285">
        <v>40642</v>
      </c>
      <c r="Q285">
        <f t="shared" si="4"/>
        <v>4.0641999999999998E-2</v>
      </c>
      <c r="R285">
        <v>43252</v>
      </c>
      <c r="S285" t="s">
        <v>122</v>
      </c>
    </row>
    <row r="286" spans="1:19">
      <c r="A286">
        <v>60000285</v>
      </c>
      <c r="B286">
        <v>37</v>
      </c>
      <c r="C286" t="s">
        <v>33</v>
      </c>
      <c r="D286" t="s">
        <v>19</v>
      </c>
      <c r="E286" t="s">
        <v>64</v>
      </c>
      <c r="F286" t="s">
        <v>21</v>
      </c>
      <c r="G286" s="23">
        <v>0.19</v>
      </c>
      <c r="H286" t="s">
        <v>29</v>
      </c>
      <c r="I286" t="s">
        <v>45</v>
      </c>
      <c r="J286" t="s">
        <v>69</v>
      </c>
      <c r="K286" t="s">
        <v>99</v>
      </c>
      <c r="L286" t="s">
        <v>26</v>
      </c>
      <c r="M286" t="s">
        <v>27</v>
      </c>
      <c r="N286" t="s">
        <v>51</v>
      </c>
      <c r="O286">
        <v>0</v>
      </c>
      <c r="P286">
        <v>79634</v>
      </c>
      <c r="Q286">
        <f t="shared" si="4"/>
        <v>7.9633999999999996E-2</v>
      </c>
      <c r="R286">
        <v>43252</v>
      </c>
      <c r="S286" t="s">
        <v>122</v>
      </c>
    </row>
    <row r="287" spans="1:19">
      <c r="A287">
        <v>60000286</v>
      </c>
      <c r="B287">
        <v>54</v>
      </c>
      <c r="C287" t="s">
        <v>33</v>
      </c>
      <c r="D287" t="s">
        <v>19</v>
      </c>
      <c r="E287" t="s">
        <v>72</v>
      </c>
      <c r="F287" t="s">
        <v>21</v>
      </c>
      <c r="G287" s="23">
        <v>0.25</v>
      </c>
      <c r="H287" t="s">
        <v>53</v>
      </c>
      <c r="I287" t="s">
        <v>70</v>
      </c>
      <c r="J287" t="s">
        <v>61</v>
      </c>
      <c r="K287" t="s">
        <v>92</v>
      </c>
      <c r="L287" t="s">
        <v>26</v>
      </c>
      <c r="M287" t="s">
        <v>27</v>
      </c>
      <c r="N287" t="s">
        <v>28</v>
      </c>
      <c r="O287">
        <v>7</v>
      </c>
      <c r="P287">
        <v>45068</v>
      </c>
      <c r="Q287">
        <f t="shared" si="4"/>
        <v>4.5067999999999997E-2</v>
      </c>
      <c r="R287">
        <v>43252</v>
      </c>
      <c r="S287" t="s">
        <v>122</v>
      </c>
    </row>
    <row r="288" spans="1:19">
      <c r="A288">
        <v>60000287</v>
      </c>
      <c r="B288">
        <v>60</v>
      </c>
      <c r="C288" t="s">
        <v>33</v>
      </c>
      <c r="D288" t="s">
        <v>19</v>
      </c>
      <c r="E288" t="s">
        <v>64</v>
      </c>
      <c r="F288" t="s">
        <v>21</v>
      </c>
      <c r="G288" s="23">
        <v>0.21</v>
      </c>
      <c r="H288" t="s">
        <v>29</v>
      </c>
      <c r="I288" t="s">
        <v>49</v>
      </c>
      <c r="J288" t="s">
        <v>24</v>
      </c>
      <c r="K288" t="s">
        <v>65</v>
      </c>
      <c r="L288" t="s">
        <v>26</v>
      </c>
      <c r="M288" t="s">
        <v>27</v>
      </c>
      <c r="N288" t="s">
        <v>51</v>
      </c>
      <c r="O288">
        <v>0</v>
      </c>
      <c r="P288">
        <v>71844</v>
      </c>
      <c r="Q288">
        <f t="shared" si="4"/>
        <v>7.1844000000000005E-2</v>
      </c>
      <c r="R288">
        <v>43252</v>
      </c>
      <c r="S288" t="s">
        <v>122</v>
      </c>
    </row>
    <row r="289" spans="1:19">
      <c r="A289">
        <v>60000288</v>
      </c>
      <c r="B289">
        <v>27</v>
      </c>
      <c r="C289" t="s">
        <v>18</v>
      </c>
      <c r="D289" t="s">
        <v>40</v>
      </c>
      <c r="E289" t="s">
        <v>56</v>
      </c>
      <c r="F289" t="s">
        <v>21</v>
      </c>
      <c r="G289" s="23">
        <v>0.27</v>
      </c>
      <c r="H289" t="s">
        <v>53</v>
      </c>
      <c r="I289" t="s">
        <v>49</v>
      </c>
      <c r="J289" t="s">
        <v>54</v>
      </c>
      <c r="K289" t="s">
        <v>49</v>
      </c>
      <c r="L289" t="s">
        <v>119</v>
      </c>
      <c r="M289" t="s">
        <v>27</v>
      </c>
      <c r="N289" t="s">
        <v>51</v>
      </c>
      <c r="O289">
        <v>0</v>
      </c>
      <c r="P289">
        <v>23846</v>
      </c>
      <c r="Q289">
        <f t="shared" si="4"/>
        <v>2.3845999999999999E-2</v>
      </c>
      <c r="R289">
        <v>43252</v>
      </c>
      <c r="S289" t="s">
        <v>122</v>
      </c>
    </row>
    <row r="290" spans="1:19">
      <c r="A290">
        <v>60000289</v>
      </c>
      <c r="B290">
        <v>58</v>
      </c>
      <c r="C290" t="s">
        <v>18</v>
      </c>
      <c r="D290" t="s">
        <v>19</v>
      </c>
      <c r="E290" t="s">
        <v>56</v>
      </c>
      <c r="F290" t="s">
        <v>21</v>
      </c>
      <c r="G290" s="23">
        <v>0.28000000000000003</v>
      </c>
      <c r="H290" t="s">
        <v>53</v>
      </c>
      <c r="I290" t="s">
        <v>62</v>
      </c>
      <c r="J290" t="s">
        <v>88</v>
      </c>
      <c r="K290" t="s">
        <v>87</v>
      </c>
      <c r="L290" t="s">
        <v>119</v>
      </c>
      <c r="M290" t="s">
        <v>27</v>
      </c>
      <c r="N290" t="s">
        <v>28</v>
      </c>
      <c r="O290">
        <v>0</v>
      </c>
      <c r="P290">
        <v>68805</v>
      </c>
      <c r="Q290">
        <f t="shared" si="4"/>
        <v>6.8805000000000005E-2</v>
      </c>
      <c r="R290">
        <v>43252</v>
      </c>
      <c r="S290" t="s">
        <v>122</v>
      </c>
    </row>
    <row r="291" spans="1:19">
      <c r="A291">
        <v>60000290</v>
      </c>
      <c r="B291">
        <v>45</v>
      </c>
      <c r="C291" t="s">
        <v>33</v>
      </c>
      <c r="D291" t="s">
        <v>40</v>
      </c>
      <c r="E291" t="s">
        <v>20</v>
      </c>
      <c r="F291" t="s">
        <v>21</v>
      </c>
      <c r="G291" s="23">
        <v>0.3</v>
      </c>
      <c r="H291" t="s">
        <v>53</v>
      </c>
      <c r="I291" t="s">
        <v>37</v>
      </c>
      <c r="J291" t="s">
        <v>91</v>
      </c>
      <c r="K291" t="s">
        <v>82</v>
      </c>
      <c r="L291" t="s">
        <v>121</v>
      </c>
      <c r="M291" t="s">
        <v>27</v>
      </c>
      <c r="N291" t="s">
        <v>28</v>
      </c>
      <c r="O291">
        <v>6</v>
      </c>
      <c r="P291">
        <v>79400</v>
      </c>
      <c r="Q291">
        <f t="shared" si="4"/>
        <v>7.9399999999999998E-2</v>
      </c>
      <c r="R291">
        <v>43252</v>
      </c>
      <c r="S291" t="s">
        <v>122</v>
      </c>
    </row>
    <row r="292" spans="1:19">
      <c r="A292">
        <v>60000291</v>
      </c>
      <c r="B292">
        <v>58</v>
      </c>
      <c r="C292" t="s">
        <v>18</v>
      </c>
      <c r="D292" t="s">
        <v>19</v>
      </c>
      <c r="E292" t="s">
        <v>34</v>
      </c>
      <c r="F292" t="s">
        <v>21</v>
      </c>
      <c r="G292" s="23">
        <v>0.36</v>
      </c>
      <c r="H292" t="s">
        <v>42</v>
      </c>
      <c r="I292" t="s">
        <v>37</v>
      </c>
      <c r="J292" t="s">
        <v>38</v>
      </c>
      <c r="K292" t="s">
        <v>106</v>
      </c>
      <c r="L292" t="s">
        <v>119</v>
      </c>
      <c r="M292" t="s">
        <v>27</v>
      </c>
      <c r="N292" t="s">
        <v>51</v>
      </c>
      <c r="O292">
        <v>3</v>
      </c>
      <c r="P292">
        <v>65258</v>
      </c>
      <c r="Q292">
        <f t="shared" si="4"/>
        <v>6.5257999999999997E-2</v>
      </c>
      <c r="R292">
        <v>43252</v>
      </c>
      <c r="S292" t="s">
        <v>122</v>
      </c>
    </row>
    <row r="293" spans="1:19">
      <c r="A293">
        <v>60000292</v>
      </c>
      <c r="B293">
        <v>35</v>
      </c>
      <c r="C293" t="s">
        <v>18</v>
      </c>
      <c r="D293" t="s">
        <v>19</v>
      </c>
      <c r="E293" t="s">
        <v>44</v>
      </c>
      <c r="F293" t="s">
        <v>21</v>
      </c>
      <c r="G293" s="23">
        <v>0.13</v>
      </c>
      <c r="H293" t="s">
        <v>22</v>
      </c>
      <c r="I293" t="s">
        <v>70</v>
      </c>
      <c r="J293" t="s">
        <v>61</v>
      </c>
      <c r="K293" t="s">
        <v>92</v>
      </c>
      <c r="L293" t="s">
        <v>121</v>
      </c>
      <c r="M293" t="s">
        <v>27</v>
      </c>
      <c r="N293" t="s">
        <v>28</v>
      </c>
      <c r="O293">
        <v>7</v>
      </c>
      <c r="P293">
        <v>79127</v>
      </c>
      <c r="Q293">
        <f t="shared" si="4"/>
        <v>7.9127000000000003E-2</v>
      </c>
      <c r="R293">
        <v>43252</v>
      </c>
      <c r="S293" t="s">
        <v>122</v>
      </c>
    </row>
    <row r="294" spans="1:19">
      <c r="A294">
        <v>60000293</v>
      </c>
      <c r="B294">
        <v>40</v>
      </c>
      <c r="C294" t="s">
        <v>18</v>
      </c>
      <c r="D294" t="s">
        <v>40</v>
      </c>
      <c r="E294" t="s">
        <v>52</v>
      </c>
      <c r="F294" t="s">
        <v>21</v>
      </c>
      <c r="G294" s="23">
        <v>0.27</v>
      </c>
      <c r="H294" t="s">
        <v>53</v>
      </c>
      <c r="I294" t="s">
        <v>49</v>
      </c>
      <c r="J294" t="s">
        <v>74</v>
      </c>
      <c r="K294" t="s">
        <v>108</v>
      </c>
      <c r="L294" t="s">
        <v>26</v>
      </c>
      <c r="M294" t="s">
        <v>27</v>
      </c>
      <c r="N294" t="s">
        <v>51</v>
      </c>
      <c r="O294">
        <v>0</v>
      </c>
      <c r="P294">
        <v>54971</v>
      </c>
      <c r="Q294">
        <f t="shared" si="4"/>
        <v>5.4970999999999999E-2</v>
      </c>
      <c r="R294">
        <v>43252</v>
      </c>
      <c r="S294" t="s">
        <v>122</v>
      </c>
    </row>
    <row r="295" spans="1:19">
      <c r="A295">
        <v>60000294</v>
      </c>
      <c r="B295">
        <v>48</v>
      </c>
      <c r="C295" t="s">
        <v>33</v>
      </c>
      <c r="D295" t="s">
        <v>19</v>
      </c>
      <c r="E295" t="s">
        <v>44</v>
      </c>
      <c r="F295" t="s">
        <v>21</v>
      </c>
      <c r="G295" s="23">
        <v>0.27</v>
      </c>
      <c r="H295" t="s">
        <v>53</v>
      </c>
      <c r="I295" t="s">
        <v>83</v>
      </c>
      <c r="J295" t="s">
        <v>74</v>
      </c>
      <c r="K295" t="s">
        <v>90</v>
      </c>
      <c r="L295" t="s">
        <v>121</v>
      </c>
      <c r="M295" t="s">
        <v>27</v>
      </c>
      <c r="N295" t="s">
        <v>28</v>
      </c>
      <c r="O295">
        <v>0</v>
      </c>
      <c r="P295">
        <v>35141</v>
      </c>
      <c r="Q295">
        <f t="shared" si="4"/>
        <v>3.5140999999999999E-2</v>
      </c>
      <c r="R295">
        <v>43252</v>
      </c>
      <c r="S295" t="s">
        <v>122</v>
      </c>
    </row>
    <row r="296" spans="1:19">
      <c r="A296">
        <v>60000295</v>
      </c>
      <c r="B296">
        <v>56</v>
      </c>
      <c r="C296" t="s">
        <v>33</v>
      </c>
      <c r="D296" t="s">
        <v>40</v>
      </c>
      <c r="E296" t="s">
        <v>52</v>
      </c>
      <c r="F296" t="s">
        <v>21</v>
      </c>
      <c r="G296" s="23">
        <v>0.27</v>
      </c>
      <c r="H296" t="s">
        <v>53</v>
      </c>
      <c r="I296" t="s">
        <v>30</v>
      </c>
      <c r="J296" t="s">
        <v>66</v>
      </c>
      <c r="K296" t="s">
        <v>95</v>
      </c>
      <c r="L296" t="s">
        <v>121</v>
      </c>
      <c r="M296" t="s">
        <v>27</v>
      </c>
      <c r="N296" t="s">
        <v>28</v>
      </c>
      <c r="O296">
        <v>0</v>
      </c>
      <c r="P296">
        <v>31060</v>
      </c>
      <c r="Q296">
        <f t="shared" si="4"/>
        <v>3.1060000000000001E-2</v>
      </c>
      <c r="R296">
        <v>43252</v>
      </c>
      <c r="S296" t="s">
        <v>122</v>
      </c>
    </row>
    <row r="297" spans="1:19">
      <c r="A297">
        <v>60000296</v>
      </c>
      <c r="B297">
        <v>36</v>
      </c>
      <c r="C297" t="s">
        <v>18</v>
      </c>
      <c r="D297" t="s">
        <v>40</v>
      </c>
      <c r="E297" t="s">
        <v>56</v>
      </c>
      <c r="F297" t="s">
        <v>21</v>
      </c>
      <c r="G297" s="23">
        <v>0.13</v>
      </c>
      <c r="H297" t="s">
        <v>22</v>
      </c>
      <c r="I297" t="s">
        <v>83</v>
      </c>
      <c r="J297" t="s">
        <v>38</v>
      </c>
      <c r="K297" t="s">
        <v>84</v>
      </c>
      <c r="L297" t="s">
        <v>119</v>
      </c>
      <c r="M297" t="s">
        <v>27</v>
      </c>
      <c r="N297" t="s">
        <v>51</v>
      </c>
      <c r="O297">
        <v>0</v>
      </c>
      <c r="P297">
        <v>66888</v>
      </c>
      <c r="Q297">
        <f t="shared" si="4"/>
        <v>6.6888000000000003E-2</v>
      </c>
      <c r="R297">
        <v>43252</v>
      </c>
      <c r="S297" t="s">
        <v>122</v>
      </c>
    </row>
    <row r="298" spans="1:19">
      <c r="A298">
        <v>60000297</v>
      </c>
      <c r="B298">
        <v>40</v>
      </c>
      <c r="C298" t="s">
        <v>33</v>
      </c>
      <c r="D298" t="s">
        <v>40</v>
      </c>
      <c r="E298" t="s">
        <v>56</v>
      </c>
      <c r="F298" t="s">
        <v>21</v>
      </c>
      <c r="G298" s="23">
        <v>0.16</v>
      </c>
      <c r="H298" t="s">
        <v>22</v>
      </c>
      <c r="I298" t="s">
        <v>80</v>
      </c>
      <c r="J298" t="s">
        <v>78</v>
      </c>
      <c r="K298" t="s">
        <v>115</v>
      </c>
      <c r="L298" t="s">
        <v>119</v>
      </c>
      <c r="M298" t="s">
        <v>27</v>
      </c>
      <c r="N298" t="s">
        <v>28</v>
      </c>
      <c r="O298">
        <v>0</v>
      </c>
      <c r="P298">
        <v>31251</v>
      </c>
      <c r="Q298">
        <f t="shared" si="4"/>
        <v>3.1251000000000001E-2</v>
      </c>
      <c r="R298">
        <v>43252</v>
      </c>
      <c r="S298" t="s">
        <v>122</v>
      </c>
    </row>
    <row r="299" spans="1:19">
      <c r="A299">
        <v>60000298</v>
      </c>
      <c r="B299">
        <v>49</v>
      </c>
      <c r="C299" t="s">
        <v>18</v>
      </c>
      <c r="D299" t="s">
        <v>19</v>
      </c>
      <c r="E299" t="s">
        <v>48</v>
      </c>
      <c r="F299" t="s">
        <v>21</v>
      </c>
      <c r="G299" s="23">
        <v>0.32</v>
      </c>
      <c r="H299" t="s">
        <v>42</v>
      </c>
      <c r="I299" t="s">
        <v>30</v>
      </c>
      <c r="J299" t="s">
        <v>69</v>
      </c>
      <c r="K299" t="s">
        <v>47</v>
      </c>
      <c r="L299" t="s">
        <v>119</v>
      </c>
      <c r="M299" t="s">
        <v>27</v>
      </c>
      <c r="N299" t="s">
        <v>51</v>
      </c>
      <c r="O299">
        <v>5</v>
      </c>
      <c r="P299">
        <v>71949</v>
      </c>
      <c r="Q299">
        <f t="shared" si="4"/>
        <v>7.1948999999999999E-2</v>
      </c>
      <c r="R299">
        <v>43252</v>
      </c>
      <c r="S299" t="s">
        <v>122</v>
      </c>
    </row>
    <row r="300" spans="1:19">
      <c r="A300">
        <v>60000299</v>
      </c>
      <c r="B300">
        <v>47</v>
      </c>
      <c r="C300" t="s">
        <v>18</v>
      </c>
      <c r="D300" t="s">
        <v>19</v>
      </c>
      <c r="E300" t="s">
        <v>52</v>
      </c>
      <c r="F300" t="s">
        <v>21</v>
      </c>
      <c r="G300" s="23">
        <v>0.1</v>
      </c>
      <c r="H300" t="s">
        <v>36</v>
      </c>
      <c r="I300" t="s">
        <v>86</v>
      </c>
      <c r="J300" t="s">
        <v>61</v>
      </c>
      <c r="K300" t="s">
        <v>79</v>
      </c>
      <c r="L300" t="s">
        <v>121</v>
      </c>
      <c r="M300" t="s">
        <v>27</v>
      </c>
      <c r="N300" t="s">
        <v>28</v>
      </c>
      <c r="O300">
        <v>3</v>
      </c>
      <c r="P300">
        <v>78768</v>
      </c>
      <c r="Q300">
        <f t="shared" si="4"/>
        <v>7.8768000000000005E-2</v>
      </c>
      <c r="R300">
        <v>43252</v>
      </c>
      <c r="S300" t="s">
        <v>122</v>
      </c>
    </row>
    <row r="301" spans="1:19">
      <c r="A301">
        <v>60000300</v>
      </c>
      <c r="B301">
        <v>27</v>
      </c>
      <c r="C301" t="s">
        <v>33</v>
      </c>
      <c r="D301" t="s">
        <v>40</v>
      </c>
      <c r="E301" t="s">
        <v>85</v>
      </c>
      <c r="F301" t="s">
        <v>21</v>
      </c>
      <c r="G301" s="23">
        <v>0.28999999999999998</v>
      </c>
      <c r="H301" t="s">
        <v>53</v>
      </c>
      <c r="I301" t="s">
        <v>57</v>
      </c>
      <c r="J301" t="s">
        <v>54</v>
      </c>
      <c r="K301" t="s">
        <v>104</v>
      </c>
      <c r="L301" t="s">
        <v>119</v>
      </c>
      <c r="M301" t="s">
        <v>27</v>
      </c>
      <c r="N301" t="s">
        <v>51</v>
      </c>
      <c r="O301">
        <v>0</v>
      </c>
      <c r="P301">
        <v>66516</v>
      </c>
      <c r="Q301">
        <f t="shared" si="4"/>
        <v>6.6516000000000006E-2</v>
      </c>
      <c r="R301">
        <v>43252</v>
      </c>
      <c r="S301" t="s">
        <v>122</v>
      </c>
    </row>
    <row r="302" spans="1:19">
      <c r="A302">
        <v>60000301</v>
      </c>
      <c r="B302">
        <v>64</v>
      </c>
      <c r="C302" t="s">
        <v>18</v>
      </c>
      <c r="D302" t="s">
        <v>19</v>
      </c>
      <c r="E302" t="s">
        <v>52</v>
      </c>
      <c r="F302" t="s">
        <v>21</v>
      </c>
      <c r="G302" s="23">
        <v>0.25</v>
      </c>
      <c r="H302" t="s">
        <v>53</v>
      </c>
      <c r="I302" t="s">
        <v>45</v>
      </c>
      <c r="J302" t="s">
        <v>61</v>
      </c>
      <c r="K302" t="s">
        <v>96</v>
      </c>
      <c r="L302" t="s">
        <v>26</v>
      </c>
      <c r="M302" t="s">
        <v>27</v>
      </c>
      <c r="N302" t="s">
        <v>28</v>
      </c>
      <c r="O302">
        <v>0</v>
      </c>
      <c r="P302">
        <v>80286</v>
      </c>
      <c r="Q302">
        <f t="shared" ref="Q302:Q365" si="5">+P302/1000000</f>
        <v>8.0285999999999996E-2</v>
      </c>
      <c r="R302">
        <v>43252</v>
      </c>
      <c r="S302" t="s">
        <v>122</v>
      </c>
    </row>
    <row r="303" spans="1:19">
      <c r="A303">
        <v>60000302</v>
      </c>
      <c r="B303">
        <v>49</v>
      </c>
      <c r="C303" t="s">
        <v>33</v>
      </c>
      <c r="D303" t="s">
        <v>19</v>
      </c>
      <c r="E303" t="s">
        <v>20</v>
      </c>
      <c r="F303" t="s">
        <v>21</v>
      </c>
      <c r="G303" s="23">
        <v>0.36</v>
      </c>
      <c r="H303" t="s">
        <v>42</v>
      </c>
      <c r="I303" t="s">
        <v>45</v>
      </c>
      <c r="J303" t="s">
        <v>74</v>
      </c>
      <c r="K303" t="s">
        <v>118</v>
      </c>
      <c r="L303" t="s">
        <v>121</v>
      </c>
      <c r="M303" t="s">
        <v>27</v>
      </c>
      <c r="N303" t="s">
        <v>28</v>
      </c>
      <c r="O303">
        <v>7</v>
      </c>
      <c r="P303">
        <v>27132</v>
      </c>
      <c r="Q303">
        <f t="shared" si="5"/>
        <v>2.7132E-2</v>
      </c>
      <c r="R303">
        <v>43252</v>
      </c>
      <c r="S303" t="s">
        <v>122</v>
      </c>
    </row>
    <row r="304" spans="1:19">
      <c r="A304">
        <v>60000303</v>
      </c>
      <c r="B304">
        <v>45</v>
      </c>
      <c r="C304" t="s">
        <v>18</v>
      </c>
      <c r="D304" t="s">
        <v>40</v>
      </c>
      <c r="E304" t="s">
        <v>67</v>
      </c>
      <c r="F304" t="s">
        <v>21</v>
      </c>
      <c r="G304" s="23">
        <v>0.31</v>
      </c>
      <c r="H304" t="s">
        <v>53</v>
      </c>
      <c r="I304" t="s">
        <v>86</v>
      </c>
      <c r="J304" t="s">
        <v>66</v>
      </c>
      <c r="K304" t="s">
        <v>100</v>
      </c>
      <c r="L304" t="s">
        <v>119</v>
      </c>
      <c r="M304" t="s">
        <v>27</v>
      </c>
      <c r="N304" t="s">
        <v>28</v>
      </c>
      <c r="O304">
        <v>5</v>
      </c>
      <c r="P304">
        <v>47731</v>
      </c>
      <c r="Q304">
        <f t="shared" si="5"/>
        <v>4.7731000000000003E-2</v>
      </c>
      <c r="R304">
        <v>43252</v>
      </c>
      <c r="S304" t="s">
        <v>122</v>
      </c>
    </row>
    <row r="305" spans="1:19">
      <c r="A305">
        <v>60000304</v>
      </c>
      <c r="B305">
        <v>46</v>
      </c>
      <c r="C305" t="s">
        <v>18</v>
      </c>
      <c r="D305" t="s">
        <v>19</v>
      </c>
      <c r="E305" t="s">
        <v>67</v>
      </c>
      <c r="F305" t="s">
        <v>21</v>
      </c>
      <c r="G305" s="23">
        <v>0.33</v>
      </c>
      <c r="H305" t="s">
        <v>42</v>
      </c>
      <c r="I305" t="s">
        <v>23</v>
      </c>
      <c r="J305" t="s">
        <v>61</v>
      </c>
      <c r="K305" t="s">
        <v>99</v>
      </c>
      <c r="L305" t="s">
        <v>119</v>
      </c>
      <c r="M305" t="s">
        <v>27</v>
      </c>
      <c r="N305" t="s">
        <v>28</v>
      </c>
      <c r="O305">
        <v>0</v>
      </c>
      <c r="P305">
        <v>36561</v>
      </c>
      <c r="Q305">
        <f t="shared" si="5"/>
        <v>3.6561000000000003E-2</v>
      </c>
      <c r="R305">
        <v>43252</v>
      </c>
      <c r="S305" t="s">
        <v>122</v>
      </c>
    </row>
    <row r="306" spans="1:19">
      <c r="A306">
        <v>60000305</v>
      </c>
      <c r="B306">
        <v>55</v>
      </c>
      <c r="C306" t="s">
        <v>33</v>
      </c>
      <c r="D306" t="s">
        <v>19</v>
      </c>
      <c r="E306" t="s">
        <v>72</v>
      </c>
      <c r="F306" t="s">
        <v>21</v>
      </c>
      <c r="G306" s="23">
        <v>0.26</v>
      </c>
      <c r="H306" t="s">
        <v>53</v>
      </c>
      <c r="I306" t="s">
        <v>70</v>
      </c>
      <c r="J306" t="s">
        <v>24</v>
      </c>
      <c r="K306" t="s">
        <v>50</v>
      </c>
      <c r="L306" t="s">
        <v>121</v>
      </c>
      <c r="M306" t="s">
        <v>27</v>
      </c>
      <c r="N306" t="s">
        <v>28</v>
      </c>
      <c r="O306">
        <v>0</v>
      </c>
      <c r="P306">
        <v>67604</v>
      </c>
      <c r="Q306">
        <f t="shared" si="5"/>
        <v>6.7603999999999997E-2</v>
      </c>
      <c r="R306">
        <v>43252</v>
      </c>
      <c r="S306" t="s">
        <v>122</v>
      </c>
    </row>
    <row r="307" spans="1:19">
      <c r="A307">
        <v>60000306</v>
      </c>
      <c r="B307">
        <v>33</v>
      </c>
      <c r="C307" t="s">
        <v>33</v>
      </c>
      <c r="D307" t="s">
        <v>40</v>
      </c>
      <c r="E307" t="s">
        <v>64</v>
      </c>
      <c r="F307" t="s">
        <v>21</v>
      </c>
      <c r="G307" s="23">
        <v>0.13</v>
      </c>
      <c r="H307" t="s">
        <v>22</v>
      </c>
      <c r="I307" t="s">
        <v>76</v>
      </c>
      <c r="J307" t="s">
        <v>54</v>
      </c>
      <c r="K307" t="s">
        <v>112</v>
      </c>
      <c r="L307" t="s">
        <v>26</v>
      </c>
      <c r="M307" t="s">
        <v>27</v>
      </c>
      <c r="N307" t="s">
        <v>28</v>
      </c>
      <c r="O307">
        <v>3</v>
      </c>
      <c r="P307">
        <v>65598</v>
      </c>
      <c r="Q307">
        <f t="shared" si="5"/>
        <v>6.5598000000000004E-2</v>
      </c>
      <c r="R307">
        <v>43252</v>
      </c>
      <c r="S307" t="s">
        <v>122</v>
      </c>
    </row>
    <row r="308" spans="1:19">
      <c r="A308">
        <v>60000307</v>
      </c>
      <c r="B308">
        <v>59</v>
      </c>
      <c r="C308" t="s">
        <v>18</v>
      </c>
      <c r="D308" t="s">
        <v>19</v>
      </c>
      <c r="E308" t="s">
        <v>34</v>
      </c>
      <c r="F308" t="s">
        <v>21</v>
      </c>
      <c r="G308" s="23">
        <v>0.17</v>
      </c>
      <c r="H308" t="s">
        <v>22</v>
      </c>
      <c r="I308" t="s">
        <v>60</v>
      </c>
      <c r="J308" t="s">
        <v>91</v>
      </c>
      <c r="K308" t="s">
        <v>32</v>
      </c>
      <c r="L308" t="s">
        <v>26</v>
      </c>
      <c r="M308" t="s">
        <v>27</v>
      </c>
      <c r="N308" t="s">
        <v>51</v>
      </c>
      <c r="O308">
        <v>0</v>
      </c>
      <c r="P308">
        <v>34810</v>
      </c>
      <c r="Q308">
        <f t="shared" si="5"/>
        <v>3.4810000000000001E-2</v>
      </c>
      <c r="R308">
        <v>43252</v>
      </c>
      <c r="S308" t="s">
        <v>122</v>
      </c>
    </row>
    <row r="309" spans="1:19">
      <c r="A309">
        <v>60000308</v>
      </c>
      <c r="B309">
        <v>65</v>
      </c>
      <c r="C309" t="s">
        <v>18</v>
      </c>
      <c r="D309" t="s">
        <v>40</v>
      </c>
      <c r="E309" t="s">
        <v>34</v>
      </c>
      <c r="F309" t="s">
        <v>21</v>
      </c>
      <c r="G309" s="23">
        <v>0.32</v>
      </c>
      <c r="H309" t="s">
        <v>42</v>
      </c>
      <c r="I309" t="s">
        <v>30</v>
      </c>
      <c r="J309" t="s">
        <v>38</v>
      </c>
      <c r="K309" t="s">
        <v>99</v>
      </c>
      <c r="L309" t="s">
        <v>119</v>
      </c>
      <c r="M309" t="s">
        <v>27</v>
      </c>
      <c r="N309" t="s">
        <v>51</v>
      </c>
      <c r="O309">
        <v>0</v>
      </c>
      <c r="P309">
        <v>71181</v>
      </c>
      <c r="Q309">
        <f t="shared" si="5"/>
        <v>7.1180999999999994E-2</v>
      </c>
      <c r="R309">
        <v>43252</v>
      </c>
      <c r="S309" t="s">
        <v>122</v>
      </c>
    </row>
    <row r="310" spans="1:19">
      <c r="A310">
        <v>60000309</v>
      </c>
      <c r="B310">
        <v>59</v>
      </c>
      <c r="C310" t="s">
        <v>18</v>
      </c>
      <c r="D310" t="s">
        <v>40</v>
      </c>
      <c r="E310" t="s">
        <v>48</v>
      </c>
      <c r="F310" t="s">
        <v>21</v>
      </c>
      <c r="G310" s="23">
        <v>0.13</v>
      </c>
      <c r="H310" t="s">
        <v>22</v>
      </c>
      <c r="I310" t="s">
        <v>68</v>
      </c>
      <c r="J310" t="s">
        <v>74</v>
      </c>
      <c r="K310" t="s">
        <v>110</v>
      </c>
      <c r="L310" t="s">
        <v>121</v>
      </c>
      <c r="M310" t="s">
        <v>27</v>
      </c>
      <c r="N310" t="s">
        <v>28</v>
      </c>
      <c r="O310">
        <v>0</v>
      </c>
      <c r="P310">
        <v>27743</v>
      </c>
      <c r="Q310">
        <f t="shared" si="5"/>
        <v>2.7743E-2</v>
      </c>
      <c r="R310">
        <v>43252</v>
      </c>
      <c r="S310" t="s">
        <v>122</v>
      </c>
    </row>
    <row r="311" spans="1:19">
      <c r="A311">
        <v>60000310</v>
      </c>
      <c r="B311">
        <v>28</v>
      </c>
      <c r="C311" t="s">
        <v>33</v>
      </c>
      <c r="D311" t="s">
        <v>40</v>
      </c>
      <c r="E311" t="s">
        <v>56</v>
      </c>
      <c r="F311" t="s">
        <v>21</v>
      </c>
      <c r="G311" s="23">
        <v>0.26</v>
      </c>
      <c r="H311" t="s">
        <v>53</v>
      </c>
      <c r="I311" t="s">
        <v>76</v>
      </c>
      <c r="J311" t="s">
        <v>91</v>
      </c>
      <c r="K311" t="s">
        <v>82</v>
      </c>
      <c r="L311" t="s">
        <v>26</v>
      </c>
      <c r="M311" t="s">
        <v>27</v>
      </c>
      <c r="N311" t="s">
        <v>51</v>
      </c>
      <c r="O311">
        <v>7</v>
      </c>
      <c r="P311">
        <v>33018</v>
      </c>
      <c r="Q311">
        <f t="shared" si="5"/>
        <v>3.3017999999999999E-2</v>
      </c>
      <c r="R311">
        <v>43252</v>
      </c>
      <c r="S311" t="s">
        <v>122</v>
      </c>
    </row>
    <row r="312" spans="1:19">
      <c r="A312">
        <v>60000311</v>
      </c>
      <c r="B312">
        <v>20</v>
      </c>
      <c r="C312" t="s">
        <v>33</v>
      </c>
      <c r="D312" t="s">
        <v>19</v>
      </c>
      <c r="E312" t="s">
        <v>41</v>
      </c>
      <c r="F312" t="s">
        <v>21</v>
      </c>
      <c r="G312" s="23">
        <v>0.36</v>
      </c>
      <c r="H312" t="s">
        <v>42</v>
      </c>
      <c r="I312" t="s">
        <v>62</v>
      </c>
      <c r="J312" t="s">
        <v>78</v>
      </c>
      <c r="K312" t="s">
        <v>100</v>
      </c>
      <c r="L312" t="s">
        <v>121</v>
      </c>
      <c r="M312" t="s">
        <v>27</v>
      </c>
      <c r="N312" t="s">
        <v>28</v>
      </c>
      <c r="O312">
        <v>4</v>
      </c>
      <c r="P312">
        <v>81977</v>
      </c>
      <c r="Q312">
        <f t="shared" si="5"/>
        <v>8.1976999999999994E-2</v>
      </c>
      <c r="R312">
        <v>43252</v>
      </c>
      <c r="S312" t="s">
        <v>122</v>
      </c>
    </row>
    <row r="313" spans="1:19">
      <c r="A313">
        <v>60000312</v>
      </c>
      <c r="B313">
        <v>21</v>
      </c>
      <c r="C313" t="s">
        <v>18</v>
      </c>
      <c r="D313" t="s">
        <v>19</v>
      </c>
      <c r="E313" t="s">
        <v>48</v>
      </c>
      <c r="F313" t="s">
        <v>21</v>
      </c>
      <c r="G313" s="23">
        <v>0.17</v>
      </c>
      <c r="H313" t="s">
        <v>22</v>
      </c>
      <c r="I313" t="s">
        <v>80</v>
      </c>
      <c r="J313" t="s">
        <v>88</v>
      </c>
      <c r="K313" t="s">
        <v>108</v>
      </c>
      <c r="L313" t="s">
        <v>121</v>
      </c>
      <c r="M313" t="s">
        <v>27</v>
      </c>
      <c r="N313" t="s">
        <v>51</v>
      </c>
      <c r="O313">
        <v>3</v>
      </c>
      <c r="P313">
        <v>40365</v>
      </c>
      <c r="Q313">
        <f t="shared" si="5"/>
        <v>4.0364999999999998E-2</v>
      </c>
      <c r="R313">
        <v>43252</v>
      </c>
      <c r="S313" t="s">
        <v>122</v>
      </c>
    </row>
    <row r="314" spans="1:19">
      <c r="A314">
        <v>60000313</v>
      </c>
      <c r="B314">
        <v>54</v>
      </c>
      <c r="C314" t="s">
        <v>33</v>
      </c>
      <c r="D314" t="s">
        <v>19</v>
      </c>
      <c r="E314" t="s">
        <v>44</v>
      </c>
      <c r="F314" t="s">
        <v>21</v>
      </c>
      <c r="G314" s="23">
        <v>0.35</v>
      </c>
      <c r="H314" t="s">
        <v>42</v>
      </c>
      <c r="I314" t="s">
        <v>73</v>
      </c>
      <c r="J314" t="s">
        <v>61</v>
      </c>
      <c r="K314" t="s">
        <v>115</v>
      </c>
      <c r="L314" t="s">
        <v>119</v>
      </c>
      <c r="M314" t="s">
        <v>27</v>
      </c>
      <c r="N314" t="s">
        <v>51</v>
      </c>
      <c r="O314">
        <v>0</v>
      </c>
      <c r="P314">
        <v>24396</v>
      </c>
      <c r="Q314">
        <f t="shared" si="5"/>
        <v>2.4396000000000001E-2</v>
      </c>
      <c r="R314">
        <v>43252</v>
      </c>
      <c r="S314" t="s">
        <v>122</v>
      </c>
    </row>
    <row r="315" spans="1:19">
      <c r="A315">
        <v>60000314</v>
      </c>
      <c r="B315">
        <v>36</v>
      </c>
      <c r="C315" t="s">
        <v>18</v>
      </c>
      <c r="D315" t="s">
        <v>40</v>
      </c>
      <c r="E315" t="s">
        <v>34</v>
      </c>
      <c r="F315" t="s">
        <v>21</v>
      </c>
      <c r="G315" s="23">
        <v>0.34</v>
      </c>
      <c r="H315" t="s">
        <v>42</v>
      </c>
      <c r="I315" t="s">
        <v>30</v>
      </c>
      <c r="J315" t="s">
        <v>91</v>
      </c>
      <c r="K315" t="s">
        <v>96</v>
      </c>
      <c r="L315" t="s">
        <v>119</v>
      </c>
      <c r="M315" t="s">
        <v>27</v>
      </c>
      <c r="N315" t="s">
        <v>51</v>
      </c>
      <c r="O315">
        <v>0</v>
      </c>
      <c r="P315">
        <v>60089</v>
      </c>
      <c r="Q315">
        <f t="shared" si="5"/>
        <v>6.0088999999999997E-2</v>
      </c>
      <c r="R315">
        <v>43252</v>
      </c>
      <c r="S315" t="s">
        <v>122</v>
      </c>
    </row>
    <row r="316" spans="1:19">
      <c r="A316">
        <v>60000315</v>
      </c>
      <c r="B316">
        <v>65</v>
      </c>
      <c r="C316" t="s">
        <v>33</v>
      </c>
      <c r="D316" t="s">
        <v>40</v>
      </c>
      <c r="E316" t="s">
        <v>34</v>
      </c>
      <c r="F316" t="s">
        <v>21</v>
      </c>
      <c r="G316" s="23">
        <v>0.37</v>
      </c>
      <c r="H316" t="s">
        <v>42</v>
      </c>
      <c r="I316" t="s">
        <v>68</v>
      </c>
      <c r="J316" t="s">
        <v>46</v>
      </c>
      <c r="K316" t="s">
        <v>50</v>
      </c>
      <c r="L316" t="s">
        <v>119</v>
      </c>
      <c r="M316" t="s">
        <v>27</v>
      </c>
      <c r="N316" t="s">
        <v>51</v>
      </c>
      <c r="O316">
        <v>0</v>
      </c>
      <c r="P316">
        <v>80153</v>
      </c>
      <c r="Q316">
        <f t="shared" si="5"/>
        <v>8.0153000000000002E-2</v>
      </c>
      <c r="R316">
        <v>43252</v>
      </c>
      <c r="S316" t="s">
        <v>122</v>
      </c>
    </row>
    <row r="317" spans="1:19">
      <c r="A317">
        <v>60000316</v>
      </c>
      <c r="B317">
        <v>53</v>
      </c>
      <c r="C317" t="s">
        <v>33</v>
      </c>
      <c r="D317" t="s">
        <v>40</v>
      </c>
      <c r="E317" t="s">
        <v>67</v>
      </c>
      <c r="F317" t="s">
        <v>21</v>
      </c>
      <c r="G317" s="23">
        <v>0.17</v>
      </c>
      <c r="H317" t="s">
        <v>22</v>
      </c>
      <c r="I317" t="s">
        <v>65</v>
      </c>
      <c r="J317" t="s">
        <v>61</v>
      </c>
      <c r="K317" t="s">
        <v>104</v>
      </c>
      <c r="L317" t="s">
        <v>26</v>
      </c>
      <c r="M317" t="s">
        <v>27</v>
      </c>
      <c r="N317" t="s">
        <v>51</v>
      </c>
      <c r="O317">
        <v>0</v>
      </c>
      <c r="P317">
        <v>30014</v>
      </c>
      <c r="Q317">
        <f t="shared" si="5"/>
        <v>3.0013999999999999E-2</v>
      </c>
      <c r="R317">
        <v>43252</v>
      </c>
      <c r="S317" t="s">
        <v>122</v>
      </c>
    </row>
    <row r="318" spans="1:19">
      <c r="A318">
        <v>60000317</v>
      </c>
      <c r="B318">
        <v>30</v>
      </c>
      <c r="C318" t="s">
        <v>33</v>
      </c>
      <c r="D318" t="s">
        <v>19</v>
      </c>
      <c r="E318" t="s">
        <v>85</v>
      </c>
      <c r="F318" t="s">
        <v>21</v>
      </c>
      <c r="G318" s="23">
        <v>0.3</v>
      </c>
      <c r="H318" t="s">
        <v>53</v>
      </c>
      <c r="I318" t="s">
        <v>45</v>
      </c>
      <c r="J318" t="s">
        <v>58</v>
      </c>
      <c r="K318" t="s">
        <v>118</v>
      </c>
      <c r="L318" t="s">
        <v>26</v>
      </c>
      <c r="M318" t="s">
        <v>27</v>
      </c>
      <c r="N318" t="s">
        <v>28</v>
      </c>
      <c r="O318">
        <v>3</v>
      </c>
      <c r="P318">
        <v>59887</v>
      </c>
      <c r="Q318">
        <f t="shared" si="5"/>
        <v>5.9887000000000003E-2</v>
      </c>
      <c r="R318">
        <v>43252</v>
      </c>
      <c r="S318" t="s">
        <v>122</v>
      </c>
    </row>
    <row r="319" spans="1:19">
      <c r="A319">
        <v>60000318</v>
      </c>
      <c r="B319">
        <v>55</v>
      </c>
      <c r="C319" t="s">
        <v>33</v>
      </c>
      <c r="D319" t="s">
        <v>40</v>
      </c>
      <c r="E319" t="s">
        <v>85</v>
      </c>
      <c r="F319" t="s">
        <v>21</v>
      </c>
      <c r="G319" s="23">
        <v>0.19</v>
      </c>
      <c r="H319" t="s">
        <v>29</v>
      </c>
      <c r="I319" t="s">
        <v>45</v>
      </c>
      <c r="J319" t="s">
        <v>91</v>
      </c>
      <c r="K319" t="s">
        <v>92</v>
      </c>
      <c r="L319" t="s">
        <v>121</v>
      </c>
      <c r="M319" t="s">
        <v>27</v>
      </c>
      <c r="N319" t="s">
        <v>28</v>
      </c>
      <c r="O319">
        <v>0</v>
      </c>
      <c r="P319">
        <v>54530</v>
      </c>
      <c r="Q319">
        <f t="shared" si="5"/>
        <v>5.4530000000000002E-2</v>
      </c>
      <c r="R319">
        <v>43252</v>
      </c>
      <c r="S319" t="s">
        <v>122</v>
      </c>
    </row>
    <row r="320" spans="1:19">
      <c r="A320">
        <v>60000319</v>
      </c>
      <c r="B320">
        <v>22</v>
      </c>
      <c r="C320" t="s">
        <v>18</v>
      </c>
      <c r="D320" t="s">
        <v>19</v>
      </c>
      <c r="E320" t="s">
        <v>48</v>
      </c>
      <c r="F320" t="s">
        <v>21</v>
      </c>
      <c r="G320" s="23">
        <v>0.34</v>
      </c>
      <c r="H320" t="s">
        <v>42</v>
      </c>
      <c r="I320" t="s">
        <v>73</v>
      </c>
      <c r="J320" t="s">
        <v>74</v>
      </c>
      <c r="K320" t="s">
        <v>95</v>
      </c>
      <c r="L320" t="s">
        <v>119</v>
      </c>
      <c r="M320" t="s">
        <v>27</v>
      </c>
      <c r="N320" t="s">
        <v>28</v>
      </c>
      <c r="O320">
        <v>0</v>
      </c>
      <c r="P320">
        <v>69493</v>
      </c>
      <c r="Q320">
        <f t="shared" si="5"/>
        <v>6.9492999999999999E-2</v>
      </c>
      <c r="R320">
        <v>43252</v>
      </c>
      <c r="S320" t="s">
        <v>122</v>
      </c>
    </row>
    <row r="321" spans="1:19">
      <c r="A321">
        <v>60000320</v>
      </c>
      <c r="B321">
        <v>48</v>
      </c>
      <c r="C321" t="s">
        <v>18</v>
      </c>
      <c r="D321" t="s">
        <v>19</v>
      </c>
      <c r="E321" t="s">
        <v>72</v>
      </c>
      <c r="F321" t="s">
        <v>21</v>
      </c>
      <c r="G321" s="23">
        <v>0.25</v>
      </c>
      <c r="H321" t="s">
        <v>53</v>
      </c>
      <c r="I321" t="s">
        <v>60</v>
      </c>
      <c r="J321" t="s">
        <v>74</v>
      </c>
      <c r="K321" t="s">
        <v>100</v>
      </c>
      <c r="L321" t="s">
        <v>119</v>
      </c>
      <c r="M321" t="s">
        <v>27</v>
      </c>
      <c r="N321" t="s">
        <v>28</v>
      </c>
      <c r="O321">
        <v>0</v>
      </c>
      <c r="P321">
        <v>59545</v>
      </c>
      <c r="Q321">
        <f t="shared" si="5"/>
        <v>5.9545000000000001E-2</v>
      </c>
      <c r="R321">
        <v>43252</v>
      </c>
      <c r="S321" t="s">
        <v>122</v>
      </c>
    </row>
    <row r="322" spans="1:19">
      <c r="A322">
        <v>60000321</v>
      </c>
      <c r="B322">
        <v>53</v>
      </c>
      <c r="C322" t="s">
        <v>18</v>
      </c>
      <c r="D322" t="s">
        <v>19</v>
      </c>
      <c r="E322" t="s">
        <v>52</v>
      </c>
      <c r="F322" t="s">
        <v>21</v>
      </c>
      <c r="G322" s="23">
        <v>0.23</v>
      </c>
      <c r="H322" t="s">
        <v>29</v>
      </c>
      <c r="I322" t="s">
        <v>73</v>
      </c>
      <c r="J322" t="s">
        <v>69</v>
      </c>
      <c r="K322" t="s">
        <v>109</v>
      </c>
      <c r="L322" t="s">
        <v>119</v>
      </c>
      <c r="M322" t="s">
        <v>27</v>
      </c>
      <c r="N322" t="s">
        <v>51</v>
      </c>
      <c r="O322">
        <v>0</v>
      </c>
      <c r="P322">
        <v>44617</v>
      </c>
      <c r="Q322">
        <f t="shared" si="5"/>
        <v>4.4616999999999997E-2</v>
      </c>
      <c r="R322">
        <v>43252</v>
      </c>
      <c r="S322" t="s">
        <v>122</v>
      </c>
    </row>
    <row r="323" spans="1:19">
      <c r="A323">
        <v>60000322</v>
      </c>
      <c r="B323">
        <v>41</v>
      </c>
      <c r="C323" t="s">
        <v>33</v>
      </c>
      <c r="D323" t="s">
        <v>19</v>
      </c>
      <c r="E323" t="s">
        <v>44</v>
      </c>
      <c r="F323" t="s">
        <v>21</v>
      </c>
      <c r="G323" s="23">
        <v>0.16</v>
      </c>
      <c r="H323" t="s">
        <v>22</v>
      </c>
      <c r="I323" t="s">
        <v>76</v>
      </c>
      <c r="J323" t="s">
        <v>58</v>
      </c>
      <c r="K323" t="s">
        <v>95</v>
      </c>
      <c r="L323" t="s">
        <v>119</v>
      </c>
      <c r="M323" t="s">
        <v>27</v>
      </c>
      <c r="N323" t="s">
        <v>28</v>
      </c>
      <c r="O323">
        <v>4</v>
      </c>
      <c r="P323">
        <v>73689</v>
      </c>
      <c r="Q323">
        <f t="shared" si="5"/>
        <v>7.3689000000000004E-2</v>
      </c>
      <c r="R323">
        <v>43252</v>
      </c>
      <c r="S323" t="s">
        <v>122</v>
      </c>
    </row>
    <row r="324" spans="1:19">
      <c r="A324">
        <v>60000323</v>
      </c>
      <c r="B324">
        <v>59</v>
      </c>
      <c r="C324" t="s">
        <v>18</v>
      </c>
      <c r="D324" t="s">
        <v>40</v>
      </c>
      <c r="E324" t="s">
        <v>44</v>
      </c>
      <c r="F324" t="s">
        <v>21</v>
      </c>
      <c r="G324" s="23">
        <v>0.16</v>
      </c>
      <c r="H324" t="s">
        <v>22</v>
      </c>
      <c r="I324" t="s">
        <v>57</v>
      </c>
      <c r="J324" t="s">
        <v>38</v>
      </c>
      <c r="K324" t="s">
        <v>63</v>
      </c>
      <c r="L324" t="s">
        <v>26</v>
      </c>
      <c r="M324" t="s">
        <v>27</v>
      </c>
      <c r="N324" t="s">
        <v>51</v>
      </c>
      <c r="O324">
        <v>6</v>
      </c>
      <c r="P324">
        <v>40223</v>
      </c>
      <c r="Q324">
        <f t="shared" si="5"/>
        <v>4.0223000000000002E-2</v>
      </c>
      <c r="R324">
        <v>43252</v>
      </c>
      <c r="S324" t="s">
        <v>122</v>
      </c>
    </row>
    <row r="325" spans="1:19">
      <c r="A325">
        <v>60000324</v>
      </c>
      <c r="B325">
        <v>46</v>
      </c>
      <c r="C325" t="s">
        <v>33</v>
      </c>
      <c r="D325" t="s">
        <v>19</v>
      </c>
      <c r="E325" t="s">
        <v>34</v>
      </c>
      <c r="F325" t="s">
        <v>21</v>
      </c>
      <c r="G325" s="23">
        <v>0.18</v>
      </c>
      <c r="H325" t="s">
        <v>22</v>
      </c>
      <c r="I325" t="s">
        <v>37</v>
      </c>
      <c r="J325" t="s">
        <v>54</v>
      </c>
      <c r="K325" t="s">
        <v>43</v>
      </c>
      <c r="L325" t="s">
        <v>26</v>
      </c>
      <c r="M325" t="s">
        <v>27</v>
      </c>
      <c r="N325" t="s">
        <v>28</v>
      </c>
      <c r="O325">
        <v>0</v>
      </c>
      <c r="P325">
        <v>57482</v>
      </c>
      <c r="Q325">
        <f t="shared" si="5"/>
        <v>5.7481999999999998E-2</v>
      </c>
      <c r="R325">
        <v>43252</v>
      </c>
      <c r="S325" t="s">
        <v>122</v>
      </c>
    </row>
    <row r="326" spans="1:19">
      <c r="A326">
        <v>60000325</v>
      </c>
      <c r="B326">
        <v>30</v>
      </c>
      <c r="C326" t="s">
        <v>33</v>
      </c>
      <c r="D326" t="s">
        <v>19</v>
      </c>
      <c r="E326" t="s">
        <v>41</v>
      </c>
      <c r="F326" t="s">
        <v>21</v>
      </c>
      <c r="G326" s="23">
        <v>0.27</v>
      </c>
      <c r="H326" t="s">
        <v>53</v>
      </c>
      <c r="I326" t="s">
        <v>37</v>
      </c>
      <c r="J326" t="s">
        <v>54</v>
      </c>
      <c r="K326" t="s">
        <v>50</v>
      </c>
      <c r="L326" t="s">
        <v>121</v>
      </c>
      <c r="M326" t="s">
        <v>27</v>
      </c>
      <c r="N326" t="s">
        <v>28</v>
      </c>
      <c r="O326">
        <v>7</v>
      </c>
      <c r="P326">
        <v>64281</v>
      </c>
      <c r="Q326">
        <f t="shared" si="5"/>
        <v>6.4281000000000005E-2</v>
      </c>
      <c r="R326">
        <v>43252</v>
      </c>
      <c r="S326" t="s">
        <v>122</v>
      </c>
    </row>
    <row r="327" spans="1:19">
      <c r="A327">
        <v>60000326</v>
      </c>
      <c r="B327">
        <v>62</v>
      </c>
      <c r="C327" t="s">
        <v>33</v>
      </c>
      <c r="D327" t="s">
        <v>19</v>
      </c>
      <c r="E327" t="s">
        <v>41</v>
      </c>
      <c r="F327" t="s">
        <v>21</v>
      </c>
      <c r="G327" s="23">
        <v>0.12</v>
      </c>
      <c r="H327" t="s">
        <v>22</v>
      </c>
      <c r="I327" t="s">
        <v>86</v>
      </c>
      <c r="J327" t="s">
        <v>46</v>
      </c>
      <c r="K327" t="s">
        <v>43</v>
      </c>
      <c r="L327" t="s">
        <v>26</v>
      </c>
      <c r="M327" t="s">
        <v>27</v>
      </c>
      <c r="N327" t="s">
        <v>28</v>
      </c>
      <c r="O327">
        <v>2</v>
      </c>
      <c r="P327">
        <v>71618</v>
      </c>
      <c r="Q327">
        <f t="shared" si="5"/>
        <v>7.1618000000000001E-2</v>
      </c>
      <c r="R327">
        <v>43252</v>
      </c>
      <c r="S327" t="s">
        <v>122</v>
      </c>
    </row>
    <row r="328" spans="1:19">
      <c r="A328">
        <v>60000327</v>
      </c>
      <c r="B328">
        <v>27</v>
      </c>
      <c r="C328" t="s">
        <v>33</v>
      </c>
      <c r="D328" t="s">
        <v>19</v>
      </c>
      <c r="E328" t="s">
        <v>64</v>
      </c>
      <c r="F328" t="s">
        <v>21</v>
      </c>
      <c r="G328" s="23">
        <v>0.15</v>
      </c>
      <c r="H328" t="s">
        <v>22</v>
      </c>
      <c r="I328" t="s">
        <v>60</v>
      </c>
      <c r="J328" t="s">
        <v>58</v>
      </c>
      <c r="K328" t="s">
        <v>118</v>
      </c>
      <c r="L328" t="s">
        <v>121</v>
      </c>
      <c r="M328" t="s">
        <v>27</v>
      </c>
      <c r="N328" t="s">
        <v>51</v>
      </c>
      <c r="O328">
        <v>0</v>
      </c>
      <c r="P328">
        <v>26318</v>
      </c>
      <c r="Q328">
        <f t="shared" si="5"/>
        <v>2.6318000000000001E-2</v>
      </c>
      <c r="R328">
        <v>43252</v>
      </c>
      <c r="S328" t="s">
        <v>122</v>
      </c>
    </row>
    <row r="329" spans="1:19">
      <c r="A329">
        <v>60000328</v>
      </c>
      <c r="B329">
        <v>59</v>
      </c>
      <c r="C329" t="s">
        <v>18</v>
      </c>
      <c r="D329" t="s">
        <v>40</v>
      </c>
      <c r="E329" t="s">
        <v>41</v>
      </c>
      <c r="F329" t="s">
        <v>21</v>
      </c>
      <c r="G329" s="23">
        <v>0.1</v>
      </c>
      <c r="H329" t="s">
        <v>36</v>
      </c>
      <c r="I329" t="s">
        <v>23</v>
      </c>
      <c r="J329" t="s">
        <v>58</v>
      </c>
      <c r="K329" t="s">
        <v>111</v>
      </c>
      <c r="L329" t="s">
        <v>26</v>
      </c>
      <c r="M329" t="s">
        <v>27</v>
      </c>
      <c r="N329" t="s">
        <v>51</v>
      </c>
      <c r="O329">
        <v>4</v>
      </c>
      <c r="P329">
        <v>46356</v>
      </c>
      <c r="Q329">
        <f t="shared" si="5"/>
        <v>4.6356000000000001E-2</v>
      </c>
      <c r="R329">
        <v>43252</v>
      </c>
      <c r="S329" t="s">
        <v>122</v>
      </c>
    </row>
    <row r="330" spans="1:19">
      <c r="A330">
        <v>60000329</v>
      </c>
      <c r="B330">
        <v>29</v>
      </c>
      <c r="C330" t="s">
        <v>33</v>
      </c>
      <c r="D330" t="s">
        <v>40</v>
      </c>
      <c r="E330" t="s">
        <v>56</v>
      </c>
      <c r="F330" t="s">
        <v>21</v>
      </c>
      <c r="G330" s="23">
        <v>0.28000000000000003</v>
      </c>
      <c r="H330" t="s">
        <v>53</v>
      </c>
      <c r="I330" t="s">
        <v>65</v>
      </c>
      <c r="J330" t="s">
        <v>54</v>
      </c>
      <c r="K330" t="s">
        <v>111</v>
      </c>
      <c r="L330" t="s">
        <v>26</v>
      </c>
      <c r="M330" t="s">
        <v>27</v>
      </c>
      <c r="N330" t="s">
        <v>28</v>
      </c>
      <c r="O330">
        <v>0</v>
      </c>
      <c r="P330">
        <v>81647</v>
      </c>
      <c r="Q330">
        <f t="shared" si="5"/>
        <v>8.1646999999999997E-2</v>
      </c>
      <c r="R330">
        <v>43252</v>
      </c>
      <c r="S330" t="s">
        <v>122</v>
      </c>
    </row>
    <row r="331" spans="1:19">
      <c r="A331">
        <v>60000330</v>
      </c>
      <c r="B331">
        <v>48</v>
      </c>
      <c r="C331" t="s">
        <v>33</v>
      </c>
      <c r="D331" t="s">
        <v>19</v>
      </c>
      <c r="E331" t="s">
        <v>64</v>
      </c>
      <c r="F331" t="s">
        <v>21</v>
      </c>
      <c r="G331" s="23">
        <v>0.14000000000000001</v>
      </c>
      <c r="H331" t="s">
        <v>22</v>
      </c>
      <c r="I331" t="s">
        <v>86</v>
      </c>
      <c r="J331" t="s">
        <v>88</v>
      </c>
      <c r="K331" t="s">
        <v>98</v>
      </c>
      <c r="L331" t="s">
        <v>119</v>
      </c>
      <c r="M331" t="s">
        <v>27</v>
      </c>
      <c r="N331" t="s">
        <v>51</v>
      </c>
      <c r="O331">
        <v>3</v>
      </c>
      <c r="P331">
        <v>54648</v>
      </c>
      <c r="Q331">
        <f t="shared" si="5"/>
        <v>5.4648000000000002E-2</v>
      </c>
      <c r="R331">
        <v>43252</v>
      </c>
      <c r="S331" t="s">
        <v>122</v>
      </c>
    </row>
    <row r="332" spans="1:19">
      <c r="A332">
        <v>60000331</v>
      </c>
      <c r="B332">
        <v>21</v>
      </c>
      <c r="C332" t="s">
        <v>33</v>
      </c>
      <c r="D332" t="s">
        <v>19</v>
      </c>
      <c r="E332" t="s">
        <v>75</v>
      </c>
      <c r="F332" t="s">
        <v>21</v>
      </c>
      <c r="G332" s="23">
        <v>0.24</v>
      </c>
      <c r="H332" t="s">
        <v>29</v>
      </c>
      <c r="I332" t="s">
        <v>68</v>
      </c>
      <c r="J332" t="s">
        <v>91</v>
      </c>
      <c r="K332" t="s">
        <v>62</v>
      </c>
      <c r="L332" t="s">
        <v>26</v>
      </c>
      <c r="M332" t="s">
        <v>27</v>
      </c>
      <c r="N332" t="s">
        <v>28</v>
      </c>
      <c r="O332">
        <v>7</v>
      </c>
      <c r="P332">
        <v>81653</v>
      </c>
      <c r="Q332">
        <f t="shared" si="5"/>
        <v>8.1653000000000003E-2</v>
      </c>
      <c r="R332">
        <v>43252</v>
      </c>
      <c r="S332" t="s">
        <v>122</v>
      </c>
    </row>
    <row r="333" spans="1:19">
      <c r="A333">
        <v>60000332</v>
      </c>
      <c r="B333">
        <v>36</v>
      </c>
      <c r="C333" t="s">
        <v>33</v>
      </c>
      <c r="D333" t="s">
        <v>19</v>
      </c>
      <c r="E333" t="s">
        <v>72</v>
      </c>
      <c r="F333" t="s">
        <v>21</v>
      </c>
      <c r="G333" s="23">
        <v>0.38</v>
      </c>
      <c r="H333" t="s">
        <v>42</v>
      </c>
      <c r="I333" t="s">
        <v>62</v>
      </c>
      <c r="J333" t="s">
        <v>58</v>
      </c>
      <c r="K333" t="s">
        <v>93</v>
      </c>
      <c r="L333" t="s">
        <v>119</v>
      </c>
      <c r="M333" t="s">
        <v>27</v>
      </c>
      <c r="N333" t="s">
        <v>28</v>
      </c>
      <c r="O333">
        <v>7</v>
      </c>
      <c r="P333">
        <v>77875</v>
      </c>
      <c r="Q333">
        <f t="shared" si="5"/>
        <v>7.7875E-2</v>
      </c>
      <c r="R333">
        <v>43252</v>
      </c>
      <c r="S333" t="s">
        <v>122</v>
      </c>
    </row>
    <row r="334" spans="1:19">
      <c r="A334">
        <v>60000333</v>
      </c>
      <c r="B334">
        <v>25</v>
      </c>
      <c r="C334" t="s">
        <v>18</v>
      </c>
      <c r="D334" t="s">
        <v>19</v>
      </c>
      <c r="E334" t="s">
        <v>75</v>
      </c>
      <c r="F334" t="s">
        <v>21</v>
      </c>
      <c r="G334" s="23">
        <v>0.11</v>
      </c>
      <c r="H334" t="s">
        <v>36</v>
      </c>
      <c r="I334" t="s">
        <v>62</v>
      </c>
      <c r="J334" t="s">
        <v>54</v>
      </c>
      <c r="K334" t="s">
        <v>83</v>
      </c>
      <c r="L334" t="s">
        <v>121</v>
      </c>
      <c r="M334" t="s">
        <v>27</v>
      </c>
      <c r="N334" t="s">
        <v>51</v>
      </c>
      <c r="O334">
        <v>0</v>
      </c>
      <c r="P334">
        <v>45273</v>
      </c>
      <c r="Q334">
        <f t="shared" si="5"/>
        <v>4.5273000000000001E-2</v>
      </c>
      <c r="R334">
        <v>43252</v>
      </c>
      <c r="S334" t="s">
        <v>122</v>
      </c>
    </row>
    <row r="335" spans="1:19">
      <c r="A335">
        <v>60000334</v>
      </c>
      <c r="B335">
        <v>21</v>
      </c>
      <c r="C335" t="s">
        <v>18</v>
      </c>
      <c r="D335" t="s">
        <v>40</v>
      </c>
      <c r="E335" t="s">
        <v>52</v>
      </c>
      <c r="F335" t="s">
        <v>21</v>
      </c>
      <c r="G335" s="23">
        <v>0.25</v>
      </c>
      <c r="H335" t="s">
        <v>53</v>
      </c>
      <c r="I335" t="s">
        <v>60</v>
      </c>
      <c r="J335" t="s">
        <v>78</v>
      </c>
      <c r="K335" t="s">
        <v>60</v>
      </c>
      <c r="L335" t="s">
        <v>119</v>
      </c>
      <c r="M335" t="s">
        <v>27</v>
      </c>
      <c r="N335" t="s">
        <v>51</v>
      </c>
      <c r="O335">
        <v>3</v>
      </c>
      <c r="P335">
        <v>61595</v>
      </c>
      <c r="Q335">
        <f t="shared" si="5"/>
        <v>6.1594999999999997E-2</v>
      </c>
      <c r="R335">
        <v>43252</v>
      </c>
      <c r="S335" t="s">
        <v>122</v>
      </c>
    </row>
    <row r="336" spans="1:19">
      <c r="A336">
        <v>60000335</v>
      </c>
      <c r="B336">
        <v>58</v>
      </c>
      <c r="C336" t="s">
        <v>18</v>
      </c>
      <c r="D336" t="s">
        <v>19</v>
      </c>
      <c r="E336" t="s">
        <v>34</v>
      </c>
      <c r="F336" t="s">
        <v>21</v>
      </c>
      <c r="G336" s="23">
        <v>0.14000000000000001</v>
      </c>
      <c r="H336" t="s">
        <v>22</v>
      </c>
      <c r="I336" t="s">
        <v>70</v>
      </c>
      <c r="J336" t="s">
        <v>38</v>
      </c>
      <c r="K336" t="s">
        <v>113</v>
      </c>
      <c r="L336" t="s">
        <v>119</v>
      </c>
      <c r="M336" t="s">
        <v>27</v>
      </c>
      <c r="N336" t="s">
        <v>28</v>
      </c>
      <c r="O336">
        <v>0</v>
      </c>
      <c r="P336">
        <v>63891</v>
      </c>
      <c r="Q336">
        <f t="shared" si="5"/>
        <v>6.3891000000000003E-2</v>
      </c>
      <c r="R336">
        <v>43252</v>
      </c>
      <c r="S336" t="s">
        <v>122</v>
      </c>
    </row>
    <row r="337" spans="1:19">
      <c r="A337">
        <v>60000336</v>
      </c>
      <c r="B337">
        <v>54</v>
      </c>
      <c r="C337" t="s">
        <v>33</v>
      </c>
      <c r="D337" t="s">
        <v>40</v>
      </c>
      <c r="E337" t="s">
        <v>34</v>
      </c>
      <c r="F337" t="s">
        <v>21</v>
      </c>
      <c r="G337" s="23">
        <v>0.35</v>
      </c>
      <c r="H337" t="s">
        <v>42</v>
      </c>
      <c r="I337" t="s">
        <v>65</v>
      </c>
      <c r="J337" t="s">
        <v>61</v>
      </c>
      <c r="K337" t="s">
        <v>114</v>
      </c>
      <c r="L337" t="s">
        <v>121</v>
      </c>
      <c r="M337" t="s">
        <v>27</v>
      </c>
      <c r="N337" t="s">
        <v>28</v>
      </c>
      <c r="O337">
        <v>3</v>
      </c>
      <c r="P337">
        <v>82738</v>
      </c>
      <c r="Q337">
        <f t="shared" si="5"/>
        <v>8.2738000000000006E-2</v>
      </c>
      <c r="R337">
        <v>43252</v>
      </c>
      <c r="S337" t="s">
        <v>122</v>
      </c>
    </row>
    <row r="338" spans="1:19">
      <c r="A338">
        <v>60000337</v>
      </c>
      <c r="B338">
        <v>22</v>
      </c>
      <c r="C338" t="s">
        <v>18</v>
      </c>
      <c r="D338" t="s">
        <v>40</v>
      </c>
      <c r="E338" t="s">
        <v>64</v>
      </c>
      <c r="F338" t="s">
        <v>21</v>
      </c>
      <c r="G338" s="23">
        <v>0.2</v>
      </c>
      <c r="H338" t="s">
        <v>29</v>
      </c>
      <c r="I338" t="s">
        <v>37</v>
      </c>
      <c r="J338" t="s">
        <v>31</v>
      </c>
      <c r="K338" t="s">
        <v>101</v>
      </c>
      <c r="L338" t="s">
        <v>121</v>
      </c>
      <c r="M338" t="s">
        <v>27</v>
      </c>
      <c r="N338" t="s">
        <v>51</v>
      </c>
      <c r="O338">
        <v>0</v>
      </c>
      <c r="P338">
        <v>70406</v>
      </c>
      <c r="Q338">
        <f t="shared" si="5"/>
        <v>7.0405999999999996E-2</v>
      </c>
      <c r="R338">
        <v>43252</v>
      </c>
      <c r="S338" t="s">
        <v>122</v>
      </c>
    </row>
    <row r="339" spans="1:19">
      <c r="A339">
        <v>60000338</v>
      </c>
      <c r="B339">
        <v>43</v>
      </c>
      <c r="C339" t="s">
        <v>33</v>
      </c>
      <c r="D339" t="s">
        <v>40</v>
      </c>
      <c r="E339" t="s">
        <v>52</v>
      </c>
      <c r="F339" t="s">
        <v>21</v>
      </c>
      <c r="G339" s="23">
        <v>0.24</v>
      </c>
      <c r="H339" t="s">
        <v>29</v>
      </c>
      <c r="I339" t="s">
        <v>73</v>
      </c>
      <c r="J339" t="s">
        <v>78</v>
      </c>
      <c r="K339" t="s">
        <v>63</v>
      </c>
      <c r="L339" t="s">
        <v>26</v>
      </c>
      <c r="M339" t="s">
        <v>27</v>
      </c>
      <c r="N339" t="s">
        <v>51</v>
      </c>
      <c r="O339">
        <v>0</v>
      </c>
      <c r="P339">
        <v>32704</v>
      </c>
      <c r="Q339">
        <f t="shared" si="5"/>
        <v>3.2703999999999997E-2</v>
      </c>
      <c r="R339">
        <v>43252</v>
      </c>
      <c r="S339" t="s">
        <v>122</v>
      </c>
    </row>
    <row r="340" spans="1:19">
      <c r="A340">
        <v>60000339</v>
      </c>
      <c r="B340">
        <v>41</v>
      </c>
      <c r="C340" t="s">
        <v>18</v>
      </c>
      <c r="D340" t="s">
        <v>19</v>
      </c>
      <c r="E340" t="s">
        <v>67</v>
      </c>
      <c r="F340" t="s">
        <v>21</v>
      </c>
      <c r="G340" s="23">
        <v>0.18</v>
      </c>
      <c r="H340" t="s">
        <v>22</v>
      </c>
      <c r="I340" t="s">
        <v>76</v>
      </c>
      <c r="J340" t="s">
        <v>38</v>
      </c>
      <c r="K340" t="s">
        <v>90</v>
      </c>
      <c r="L340" t="s">
        <v>121</v>
      </c>
      <c r="M340" t="s">
        <v>27</v>
      </c>
      <c r="N340" t="s">
        <v>51</v>
      </c>
      <c r="O340">
        <v>5</v>
      </c>
      <c r="P340">
        <v>55853</v>
      </c>
      <c r="Q340">
        <f t="shared" si="5"/>
        <v>5.5853E-2</v>
      </c>
      <c r="R340">
        <v>43252</v>
      </c>
      <c r="S340" t="s">
        <v>122</v>
      </c>
    </row>
    <row r="341" spans="1:19">
      <c r="A341">
        <v>60000340</v>
      </c>
      <c r="B341">
        <v>30</v>
      </c>
      <c r="C341" t="s">
        <v>33</v>
      </c>
      <c r="D341" t="s">
        <v>19</v>
      </c>
      <c r="E341" t="s">
        <v>44</v>
      </c>
      <c r="F341" t="s">
        <v>21</v>
      </c>
      <c r="G341" s="23">
        <v>0.21</v>
      </c>
      <c r="H341" t="s">
        <v>29</v>
      </c>
      <c r="I341" t="s">
        <v>23</v>
      </c>
      <c r="J341" t="s">
        <v>61</v>
      </c>
      <c r="K341" t="s">
        <v>114</v>
      </c>
      <c r="L341" t="s">
        <v>121</v>
      </c>
      <c r="M341" t="s">
        <v>27</v>
      </c>
      <c r="N341" t="s">
        <v>51</v>
      </c>
      <c r="O341">
        <v>1</v>
      </c>
      <c r="P341">
        <v>68248</v>
      </c>
      <c r="Q341">
        <f t="shared" si="5"/>
        <v>6.8248000000000003E-2</v>
      </c>
      <c r="R341">
        <v>43252</v>
      </c>
      <c r="S341" t="s">
        <v>122</v>
      </c>
    </row>
    <row r="342" spans="1:19">
      <c r="A342">
        <v>60000341</v>
      </c>
      <c r="B342">
        <v>20</v>
      </c>
      <c r="C342" t="s">
        <v>18</v>
      </c>
      <c r="D342" t="s">
        <v>40</v>
      </c>
      <c r="E342" t="s">
        <v>72</v>
      </c>
      <c r="F342" t="s">
        <v>21</v>
      </c>
      <c r="G342" s="23">
        <v>0.21</v>
      </c>
      <c r="H342" t="s">
        <v>29</v>
      </c>
      <c r="I342" t="s">
        <v>70</v>
      </c>
      <c r="J342" t="s">
        <v>66</v>
      </c>
      <c r="K342" t="s">
        <v>83</v>
      </c>
      <c r="L342" t="s">
        <v>121</v>
      </c>
      <c r="M342" t="s">
        <v>27</v>
      </c>
      <c r="N342" t="s">
        <v>28</v>
      </c>
      <c r="O342">
        <v>7</v>
      </c>
      <c r="P342">
        <v>66416</v>
      </c>
      <c r="Q342">
        <f t="shared" si="5"/>
        <v>6.6416000000000003E-2</v>
      </c>
      <c r="R342">
        <v>43252</v>
      </c>
      <c r="S342" t="s">
        <v>122</v>
      </c>
    </row>
    <row r="343" spans="1:19">
      <c r="A343">
        <v>60000342</v>
      </c>
      <c r="B343">
        <v>35</v>
      </c>
      <c r="C343" t="s">
        <v>18</v>
      </c>
      <c r="D343" t="s">
        <v>19</v>
      </c>
      <c r="E343" t="s">
        <v>56</v>
      </c>
      <c r="F343" t="s">
        <v>21</v>
      </c>
      <c r="G343" s="23">
        <v>0.31</v>
      </c>
      <c r="H343" t="s">
        <v>53</v>
      </c>
      <c r="I343" t="s">
        <v>73</v>
      </c>
      <c r="J343" t="s">
        <v>24</v>
      </c>
      <c r="K343" t="s">
        <v>84</v>
      </c>
      <c r="L343" t="s">
        <v>119</v>
      </c>
      <c r="M343" t="s">
        <v>27</v>
      </c>
      <c r="N343" t="s">
        <v>28</v>
      </c>
      <c r="O343">
        <v>0</v>
      </c>
      <c r="P343">
        <v>30843</v>
      </c>
      <c r="Q343">
        <f t="shared" si="5"/>
        <v>3.0842999999999999E-2</v>
      </c>
      <c r="R343">
        <v>43252</v>
      </c>
      <c r="S343" t="s">
        <v>122</v>
      </c>
    </row>
    <row r="344" spans="1:19">
      <c r="A344">
        <v>60000343</v>
      </c>
      <c r="B344">
        <v>47</v>
      </c>
      <c r="C344" t="s">
        <v>18</v>
      </c>
      <c r="D344" t="s">
        <v>19</v>
      </c>
      <c r="E344" t="s">
        <v>34</v>
      </c>
      <c r="F344" t="s">
        <v>21</v>
      </c>
      <c r="G344" s="23">
        <v>0.33</v>
      </c>
      <c r="H344" t="s">
        <v>42</v>
      </c>
      <c r="I344" t="s">
        <v>23</v>
      </c>
      <c r="J344" t="s">
        <v>58</v>
      </c>
      <c r="K344" t="s">
        <v>105</v>
      </c>
      <c r="L344" t="s">
        <v>119</v>
      </c>
      <c r="M344" t="s">
        <v>27</v>
      </c>
      <c r="N344" t="s">
        <v>51</v>
      </c>
      <c r="O344">
        <v>1</v>
      </c>
      <c r="P344">
        <v>75103</v>
      </c>
      <c r="Q344">
        <f t="shared" si="5"/>
        <v>7.5103000000000003E-2</v>
      </c>
      <c r="R344">
        <v>43252</v>
      </c>
      <c r="S344" t="s">
        <v>122</v>
      </c>
    </row>
    <row r="345" spans="1:19">
      <c r="A345">
        <v>60000344</v>
      </c>
      <c r="B345">
        <v>56</v>
      </c>
      <c r="C345" t="s">
        <v>18</v>
      </c>
      <c r="D345" t="s">
        <v>40</v>
      </c>
      <c r="E345" t="s">
        <v>56</v>
      </c>
      <c r="F345" t="s">
        <v>21</v>
      </c>
      <c r="G345" s="23">
        <v>0.3</v>
      </c>
      <c r="H345" t="s">
        <v>53</v>
      </c>
      <c r="I345" t="s">
        <v>60</v>
      </c>
      <c r="J345" t="s">
        <v>24</v>
      </c>
      <c r="K345" t="s">
        <v>90</v>
      </c>
      <c r="L345" t="s">
        <v>119</v>
      </c>
      <c r="M345" t="s">
        <v>27</v>
      </c>
      <c r="N345" t="s">
        <v>51</v>
      </c>
      <c r="O345">
        <v>0</v>
      </c>
      <c r="P345">
        <v>25142</v>
      </c>
      <c r="Q345">
        <f t="shared" si="5"/>
        <v>2.5142000000000001E-2</v>
      </c>
      <c r="R345">
        <v>43252</v>
      </c>
      <c r="S345" t="s">
        <v>122</v>
      </c>
    </row>
    <row r="346" spans="1:19">
      <c r="A346">
        <v>60000345</v>
      </c>
      <c r="B346">
        <v>45</v>
      </c>
      <c r="C346" t="s">
        <v>33</v>
      </c>
      <c r="D346" t="s">
        <v>19</v>
      </c>
      <c r="E346" t="s">
        <v>64</v>
      </c>
      <c r="F346" t="s">
        <v>21</v>
      </c>
      <c r="G346" s="23">
        <v>0.25</v>
      </c>
      <c r="H346" t="s">
        <v>53</v>
      </c>
      <c r="I346" t="s">
        <v>83</v>
      </c>
      <c r="J346" t="s">
        <v>66</v>
      </c>
      <c r="K346" t="s">
        <v>60</v>
      </c>
      <c r="L346" t="s">
        <v>121</v>
      </c>
      <c r="M346" t="s">
        <v>27</v>
      </c>
      <c r="N346" t="s">
        <v>51</v>
      </c>
      <c r="O346">
        <v>0</v>
      </c>
      <c r="P346">
        <v>66513</v>
      </c>
      <c r="Q346">
        <f t="shared" si="5"/>
        <v>6.6513000000000003E-2</v>
      </c>
      <c r="R346">
        <v>43252</v>
      </c>
      <c r="S346" t="s">
        <v>122</v>
      </c>
    </row>
    <row r="347" spans="1:19">
      <c r="A347">
        <v>60000346</v>
      </c>
      <c r="B347">
        <v>61</v>
      </c>
      <c r="C347" t="s">
        <v>18</v>
      </c>
      <c r="D347" t="s">
        <v>40</v>
      </c>
      <c r="E347" t="s">
        <v>52</v>
      </c>
      <c r="F347" t="s">
        <v>21</v>
      </c>
      <c r="G347" s="23">
        <v>0.24</v>
      </c>
      <c r="H347" t="s">
        <v>29</v>
      </c>
      <c r="I347" t="s">
        <v>86</v>
      </c>
      <c r="J347" t="s">
        <v>58</v>
      </c>
      <c r="K347" t="s">
        <v>89</v>
      </c>
      <c r="L347" t="s">
        <v>119</v>
      </c>
      <c r="M347" t="s">
        <v>27</v>
      </c>
      <c r="N347" t="s">
        <v>51</v>
      </c>
      <c r="O347">
        <v>0</v>
      </c>
      <c r="P347">
        <v>27384</v>
      </c>
      <c r="Q347">
        <f t="shared" si="5"/>
        <v>2.7383999999999999E-2</v>
      </c>
      <c r="R347">
        <v>43252</v>
      </c>
      <c r="S347" t="s">
        <v>122</v>
      </c>
    </row>
    <row r="348" spans="1:19">
      <c r="A348">
        <v>60000347</v>
      </c>
      <c r="B348">
        <v>39</v>
      </c>
      <c r="C348" t="s">
        <v>18</v>
      </c>
      <c r="D348" t="s">
        <v>19</v>
      </c>
      <c r="E348" t="s">
        <v>72</v>
      </c>
      <c r="F348" t="s">
        <v>21</v>
      </c>
      <c r="G348" s="23">
        <v>0.23</v>
      </c>
      <c r="H348" t="s">
        <v>29</v>
      </c>
      <c r="I348" t="s">
        <v>68</v>
      </c>
      <c r="J348" t="s">
        <v>91</v>
      </c>
      <c r="K348" t="s">
        <v>93</v>
      </c>
      <c r="L348" t="s">
        <v>119</v>
      </c>
      <c r="M348" t="s">
        <v>27</v>
      </c>
      <c r="N348" t="s">
        <v>51</v>
      </c>
      <c r="O348">
        <v>6</v>
      </c>
      <c r="P348">
        <v>38490</v>
      </c>
      <c r="Q348">
        <f t="shared" si="5"/>
        <v>3.8490000000000003E-2</v>
      </c>
      <c r="R348">
        <v>43252</v>
      </c>
      <c r="S348" t="s">
        <v>122</v>
      </c>
    </row>
    <row r="349" spans="1:19">
      <c r="A349">
        <v>60000348</v>
      </c>
      <c r="B349">
        <v>35</v>
      </c>
      <c r="C349" t="s">
        <v>18</v>
      </c>
      <c r="D349" t="s">
        <v>19</v>
      </c>
      <c r="E349" t="s">
        <v>20</v>
      </c>
      <c r="F349" t="s">
        <v>21</v>
      </c>
      <c r="G349" s="23">
        <v>0.11</v>
      </c>
      <c r="H349" t="s">
        <v>36</v>
      </c>
      <c r="I349" t="s">
        <v>80</v>
      </c>
      <c r="J349" t="s">
        <v>78</v>
      </c>
      <c r="K349" t="s">
        <v>118</v>
      </c>
      <c r="L349" t="s">
        <v>121</v>
      </c>
      <c r="M349" t="s">
        <v>27</v>
      </c>
      <c r="N349" t="s">
        <v>51</v>
      </c>
      <c r="O349">
        <v>7</v>
      </c>
      <c r="P349">
        <v>82763</v>
      </c>
      <c r="Q349">
        <f t="shared" si="5"/>
        <v>8.2763000000000003E-2</v>
      </c>
      <c r="R349">
        <v>43252</v>
      </c>
      <c r="S349" t="s">
        <v>122</v>
      </c>
    </row>
    <row r="350" spans="1:19">
      <c r="A350">
        <v>60000349</v>
      </c>
      <c r="B350">
        <v>61</v>
      </c>
      <c r="C350" t="s">
        <v>18</v>
      </c>
      <c r="D350" t="s">
        <v>19</v>
      </c>
      <c r="E350" t="s">
        <v>52</v>
      </c>
      <c r="F350" t="s">
        <v>21</v>
      </c>
      <c r="G350" s="23">
        <v>0.36</v>
      </c>
      <c r="H350" t="s">
        <v>42</v>
      </c>
      <c r="I350" t="s">
        <v>45</v>
      </c>
      <c r="J350" t="s">
        <v>58</v>
      </c>
      <c r="K350" t="s">
        <v>106</v>
      </c>
      <c r="L350" t="s">
        <v>26</v>
      </c>
      <c r="M350" t="s">
        <v>27</v>
      </c>
      <c r="N350" t="s">
        <v>28</v>
      </c>
      <c r="O350">
        <v>3</v>
      </c>
      <c r="P350">
        <v>43345</v>
      </c>
      <c r="Q350">
        <f t="shared" si="5"/>
        <v>4.3345000000000002E-2</v>
      </c>
      <c r="R350">
        <v>43252</v>
      </c>
      <c r="S350" t="s">
        <v>122</v>
      </c>
    </row>
    <row r="351" spans="1:19">
      <c r="A351">
        <v>60000350</v>
      </c>
      <c r="B351">
        <v>42</v>
      </c>
      <c r="C351" t="s">
        <v>33</v>
      </c>
      <c r="D351" t="s">
        <v>19</v>
      </c>
      <c r="E351" t="s">
        <v>20</v>
      </c>
      <c r="F351" t="s">
        <v>21</v>
      </c>
      <c r="G351" s="23">
        <v>0.32</v>
      </c>
      <c r="H351" t="s">
        <v>42</v>
      </c>
      <c r="I351" t="s">
        <v>37</v>
      </c>
      <c r="J351" t="s">
        <v>66</v>
      </c>
      <c r="K351" t="s">
        <v>87</v>
      </c>
      <c r="L351" t="s">
        <v>121</v>
      </c>
      <c r="M351" t="s">
        <v>27</v>
      </c>
      <c r="N351" t="s">
        <v>28</v>
      </c>
      <c r="O351">
        <v>0</v>
      </c>
      <c r="P351">
        <v>24990</v>
      </c>
      <c r="Q351">
        <f t="shared" si="5"/>
        <v>2.4989999999999998E-2</v>
      </c>
      <c r="R351">
        <v>43252</v>
      </c>
      <c r="S351" t="s">
        <v>122</v>
      </c>
    </row>
    <row r="352" spans="1:19">
      <c r="A352">
        <v>60000351</v>
      </c>
      <c r="B352">
        <v>63</v>
      </c>
      <c r="C352" t="s">
        <v>18</v>
      </c>
      <c r="D352" t="s">
        <v>19</v>
      </c>
      <c r="E352" t="s">
        <v>41</v>
      </c>
      <c r="F352" t="s">
        <v>21</v>
      </c>
      <c r="G352" s="23">
        <v>0.18</v>
      </c>
      <c r="H352" t="s">
        <v>22</v>
      </c>
      <c r="I352" t="s">
        <v>62</v>
      </c>
      <c r="J352" t="s">
        <v>58</v>
      </c>
      <c r="K352" t="s">
        <v>107</v>
      </c>
      <c r="L352" t="s">
        <v>121</v>
      </c>
      <c r="M352" t="s">
        <v>27</v>
      </c>
      <c r="N352" t="s">
        <v>51</v>
      </c>
      <c r="O352">
        <v>0</v>
      </c>
      <c r="P352">
        <v>25961</v>
      </c>
      <c r="Q352">
        <f t="shared" si="5"/>
        <v>2.5961000000000001E-2</v>
      </c>
      <c r="R352">
        <v>43252</v>
      </c>
      <c r="S352" t="s">
        <v>122</v>
      </c>
    </row>
    <row r="353" spans="1:19">
      <c r="A353">
        <v>60000352</v>
      </c>
      <c r="B353">
        <v>34</v>
      </c>
      <c r="C353" t="s">
        <v>18</v>
      </c>
      <c r="D353" t="s">
        <v>19</v>
      </c>
      <c r="E353" t="s">
        <v>85</v>
      </c>
      <c r="F353" t="s">
        <v>21</v>
      </c>
      <c r="G353" s="23">
        <v>0.38</v>
      </c>
      <c r="H353" t="s">
        <v>42</v>
      </c>
      <c r="I353" t="s">
        <v>83</v>
      </c>
      <c r="J353" t="s">
        <v>74</v>
      </c>
      <c r="K353" t="s">
        <v>39</v>
      </c>
      <c r="L353" t="s">
        <v>26</v>
      </c>
      <c r="M353" t="s">
        <v>27</v>
      </c>
      <c r="N353" t="s">
        <v>51</v>
      </c>
      <c r="O353">
        <v>4</v>
      </c>
      <c r="P353">
        <v>37228</v>
      </c>
      <c r="Q353">
        <f t="shared" si="5"/>
        <v>3.7227999999999997E-2</v>
      </c>
      <c r="R353">
        <v>43252</v>
      </c>
      <c r="S353" t="s">
        <v>122</v>
      </c>
    </row>
    <row r="354" spans="1:19">
      <c r="A354">
        <v>60000353</v>
      </c>
      <c r="B354">
        <v>48</v>
      </c>
      <c r="C354" t="s">
        <v>33</v>
      </c>
      <c r="D354" t="s">
        <v>19</v>
      </c>
      <c r="E354" t="s">
        <v>64</v>
      </c>
      <c r="F354" t="s">
        <v>21</v>
      </c>
      <c r="G354" s="23">
        <v>0.28999999999999998</v>
      </c>
      <c r="H354" t="s">
        <v>53</v>
      </c>
      <c r="I354" t="s">
        <v>37</v>
      </c>
      <c r="J354" t="s">
        <v>31</v>
      </c>
      <c r="K354" t="s">
        <v>32</v>
      </c>
      <c r="L354" t="s">
        <v>119</v>
      </c>
      <c r="M354" t="s">
        <v>27</v>
      </c>
      <c r="N354" t="s">
        <v>28</v>
      </c>
      <c r="O354">
        <v>0</v>
      </c>
      <c r="P354">
        <v>26244</v>
      </c>
      <c r="Q354">
        <f t="shared" si="5"/>
        <v>2.6244E-2</v>
      </c>
      <c r="R354">
        <v>43252</v>
      </c>
      <c r="S354" t="s">
        <v>122</v>
      </c>
    </row>
    <row r="355" spans="1:19">
      <c r="A355">
        <v>60000354</v>
      </c>
      <c r="B355">
        <v>53</v>
      </c>
      <c r="C355" t="s">
        <v>18</v>
      </c>
      <c r="D355" t="s">
        <v>19</v>
      </c>
      <c r="E355" t="s">
        <v>52</v>
      </c>
      <c r="F355" t="s">
        <v>21</v>
      </c>
      <c r="G355" s="23">
        <v>0.35</v>
      </c>
      <c r="H355" t="s">
        <v>42</v>
      </c>
      <c r="I355" t="s">
        <v>49</v>
      </c>
      <c r="J355" t="s">
        <v>61</v>
      </c>
      <c r="K355" t="s">
        <v>90</v>
      </c>
      <c r="L355" t="s">
        <v>121</v>
      </c>
      <c r="M355" t="s">
        <v>27</v>
      </c>
      <c r="N355" t="s">
        <v>28</v>
      </c>
      <c r="O355">
        <v>6</v>
      </c>
      <c r="P355">
        <v>69760</v>
      </c>
      <c r="Q355">
        <f t="shared" si="5"/>
        <v>6.9760000000000003E-2</v>
      </c>
      <c r="R355">
        <v>43252</v>
      </c>
      <c r="S355" t="s">
        <v>122</v>
      </c>
    </row>
    <row r="356" spans="1:19">
      <c r="A356">
        <v>60000355</v>
      </c>
      <c r="B356">
        <v>52</v>
      </c>
      <c r="C356" t="s">
        <v>18</v>
      </c>
      <c r="D356" t="s">
        <v>40</v>
      </c>
      <c r="E356" t="s">
        <v>64</v>
      </c>
      <c r="F356" t="s">
        <v>21</v>
      </c>
      <c r="G356" s="23">
        <v>0.36</v>
      </c>
      <c r="H356" t="s">
        <v>42</v>
      </c>
      <c r="I356" t="s">
        <v>60</v>
      </c>
      <c r="J356" t="s">
        <v>61</v>
      </c>
      <c r="K356" t="s">
        <v>82</v>
      </c>
      <c r="L356" t="s">
        <v>26</v>
      </c>
      <c r="M356" t="s">
        <v>27</v>
      </c>
      <c r="N356" t="s">
        <v>28</v>
      </c>
      <c r="O356">
        <v>2</v>
      </c>
      <c r="P356">
        <v>49433</v>
      </c>
      <c r="Q356">
        <f t="shared" si="5"/>
        <v>4.9432999999999998E-2</v>
      </c>
      <c r="R356">
        <v>43252</v>
      </c>
      <c r="S356" t="s">
        <v>122</v>
      </c>
    </row>
    <row r="357" spans="1:19">
      <c r="A357">
        <v>60000356</v>
      </c>
      <c r="B357">
        <v>30</v>
      </c>
      <c r="C357" t="s">
        <v>33</v>
      </c>
      <c r="D357" t="s">
        <v>19</v>
      </c>
      <c r="E357" t="s">
        <v>41</v>
      </c>
      <c r="F357" t="s">
        <v>21</v>
      </c>
      <c r="G357" s="23">
        <v>0.37</v>
      </c>
      <c r="H357" t="s">
        <v>42</v>
      </c>
      <c r="I357" t="s">
        <v>65</v>
      </c>
      <c r="J357" t="s">
        <v>88</v>
      </c>
      <c r="K357" t="s">
        <v>114</v>
      </c>
      <c r="L357" t="s">
        <v>26</v>
      </c>
      <c r="M357" t="s">
        <v>27</v>
      </c>
      <c r="N357" t="s">
        <v>28</v>
      </c>
      <c r="O357">
        <v>0</v>
      </c>
      <c r="P357">
        <v>32841</v>
      </c>
      <c r="Q357">
        <f t="shared" si="5"/>
        <v>3.2841000000000002E-2</v>
      </c>
      <c r="R357">
        <v>43252</v>
      </c>
      <c r="S357" t="s">
        <v>122</v>
      </c>
    </row>
    <row r="358" spans="1:19">
      <c r="A358">
        <v>60000357</v>
      </c>
      <c r="B358">
        <v>55</v>
      </c>
      <c r="C358" t="s">
        <v>18</v>
      </c>
      <c r="D358" t="s">
        <v>40</v>
      </c>
      <c r="E358" t="s">
        <v>34</v>
      </c>
      <c r="F358" t="s">
        <v>21</v>
      </c>
      <c r="G358" s="23">
        <v>0.35</v>
      </c>
      <c r="H358" t="s">
        <v>42</v>
      </c>
      <c r="I358" t="s">
        <v>68</v>
      </c>
      <c r="J358" t="s">
        <v>69</v>
      </c>
      <c r="K358" t="s">
        <v>93</v>
      </c>
      <c r="L358" t="s">
        <v>26</v>
      </c>
      <c r="M358" t="s">
        <v>27</v>
      </c>
      <c r="N358" t="s">
        <v>51</v>
      </c>
      <c r="O358">
        <v>0</v>
      </c>
      <c r="P358">
        <v>26497</v>
      </c>
      <c r="Q358">
        <f t="shared" si="5"/>
        <v>2.6497E-2</v>
      </c>
      <c r="R358">
        <v>43252</v>
      </c>
      <c r="S358" t="s">
        <v>122</v>
      </c>
    </row>
    <row r="359" spans="1:19">
      <c r="A359">
        <v>60000358</v>
      </c>
      <c r="B359">
        <v>42</v>
      </c>
      <c r="C359" t="s">
        <v>18</v>
      </c>
      <c r="D359" t="s">
        <v>19</v>
      </c>
      <c r="E359" t="s">
        <v>85</v>
      </c>
      <c r="F359" t="s">
        <v>21</v>
      </c>
      <c r="G359" s="23">
        <v>0.37</v>
      </c>
      <c r="H359" t="s">
        <v>42</v>
      </c>
      <c r="I359" t="s">
        <v>83</v>
      </c>
      <c r="J359" t="s">
        <v>31</v>
      </c>
      <c r="K359" t="s">
        <v>55</v>
      </c>
      <c r="L359" t="s">
        <v>26</v>
      </c>
      <c r="M359" t="s">
        <v>27</v>
      </c>
      <c r="N359" t="s">
        <v>28</v>
      </c>
      <c r="O359">
        <v>3</v>
      </c>
      <c r="P359">
        <v>24475</v>
      </c>
      <c r="Q359">
        <f t="shared" si="5"/>
        <v>2.4475E-2</v>
      </c>
      <c r="R359">
        <v>43252</v>
      </c>
      <c r="S359" t="s">
        <v>122</v>
      </c>
    </row>
    <row r="360" spans="1:19">
      <c r="A360">
        <v>60000359</v>
      </c>
      <c r="B360">
        <v>60</v>
      </c>
      <c r="C360" t="s">
        <v>18</v>
      </c>
      <c r="D360" t="s">
        <v>19</v>
      </c>
      <c r="E360" t="s">
        <v>85</v>
      </c>
      <c r="F360" t="s">
        <v>21</v>
      </c>
      <c r="G360" s="23">
        <v>0.35</v>
      </c>
      <c r="H360" t="s">
        <v>42</v>
      </c>
      <c r="I360" t="s">
        <v>86</v>
      </c>
      <c r="J360" t="s">
        <v>24</v>
      </c>
      <c r="K360" t="s">
        <v>60</v>
      </c>
      <c r="L360" t="s">
        <v>121</v>
      </c>
      <c r="M360" t="s">
        <v>27</v>
      </c>
      <c r="N360" t="s">
        <v>28</v>
      </c>
      <c r="O360">
        <v>0</v>
      </c>
      <c r="P360">
        <v>61193</v>
      </c>
      <c r="Q360">
        <f t="shared" si="5"/>
        <v>6.1192999999999997E-2</v>
      </c>
      <c r="R360">
        <v>43252</v>
      </c>
      <c r="S360" t="s">
        <v>122</v>
      </c>
    </row>
    <row r="361" spans="1:19">
      <c r="A361">
        <v>60000360</v>
      </c>
      <c r="B361">
        <v>36</v>
      </c>
      <c r="C361" t="s">
        <v>33</v>
      </c>
      <c r="D361" t="s">
        <v>40</v>
      </c>
      <c r="E361" t="s">
        <v>72</v>
      </c>
      <c r="F361" t="s">
        <v>21</v>
      </c>
      <c r="G361" s="23">
        <v>0.14000000000000001</v>
      </c>
      <c r="H361" t="s">
        <v>22</v>
      </c>
      <c r="I361" t="s">
        <v>80</v>
      </c>
      <c r="J361" t="s">
        <v>66</v>
      </c>
      <c r="K361" t="s">
        <v>25</v>
      </c>
      <c r="L361" t="s">
        <v>26</v>
      </c>
      <c r="M361" t="s">
        <v>27</v>
      </c>
      <c r="N361" t="s">
        <v>51</v>
      </c>
      <c r="O361">
        <v>6</v>
      </c>
      <c r="P361">
        <v>55051</v>
      </c>
      <c r="Q361">
        <f t="shared" si="5"/>
        <v>5.5051000000000003E-2</v>
      </c>
      <c r="R361">
        <v>43252</v>
      </c>
      <c r="S361" t="s">
        <v>122</v>
      </c>
    </row>
    <row r="362" spans="1:19">
      <c r="A362">
        <v>60000361</v>
      </c>
      <c r="B362">
        <v>42</v>
      </c>
      <c r="C362" t="s">
        <v>18</v>
      </c>
      <c r="D362" t="s">
        <v>19</v>
      </c>
      <c r="E362" t="s">
        <v>41</v>
      </c>
      <c r="F362" t="s">
        <v>21</v>
      </c>
      <c r="G362" s="23">
        <v>0.28000000000000003</v>
      </c>
      <c r="H362" t="s">
        <v>53</v>
      </c>
      <c r="I362" t="s">
        <v>23</v>
      </c>
      <c r="J362" t="s">
        <v>24</v>
      </c>
      <c r="K362" t="s">
        <v>94</v>
      </c>
      <c r="L362" t="s">
        <v>119</v>
      </c>
      <c r="M362" t="s">
        <v>27</v>
      </c>
      <c r="N362" t="s">
        <v>28</v>
      </c>
      <c r="O362">
        <v>0</v>
      </c>
      <c r="P362">
        <v>36268</v>
      </c>
      <c r="Q362">
        <f t="shared" si="5"/>
        <v>3.6268000000000002E-2</v>
      </c>
      <c r="R362">
        <v>43252</v>
      </c>
      <c r="S362" t="s">
        <v>122</v>
      </c>
    </row>
    <row r="363" spans="1:19">
      <c r="A363">
        <v>60000362</v>
      </c>
      <c r="B363">
        <v>26</v>
      </c>
      <c r="C363" t="s">
        <v>18</v>
      </c>
      <c r="D363" t="s">
        <v>40</v>
      </c>
      <c r="E363" t="s">
        <v>41</v>
      </c>
      <c r="F363" t="s">
        <v>21</v>
      </c>
      <c r="G363" s="23">
        <v>0.21</v>
      </c>
      <c r="H363" t="s">
        <v>29</v>
      </c>
      <c r="I363" t="s">
        <v>73</v>
      </c>
      <c r="J363" t="s">
        <v>61</v>
      </c>
      <c r="K363" t="s">
        <v>117</v>
      </c>
      <c r="L363" t="s">
        <v>121</v>
      </c>
      <c r="M363" t="s">
        <v>27</v>
      </c>
      <c r="N363" t="s">
        <v>28</v>
      </c>
      <c r="O363">
        <v>5</v>
      </c>
      <c r="P363">
        <v>62522</v>
      </c>
      <c r="Q363">
        <f t="shared" si="5"/>
        <v>6.2521999999999994E-2</v>
      </c>
      <c r="R363">
        <v>43252</v>
      </c>
      <c r="S363" t="s">
        <v>122</v>
      </c>
    </row>
    <row r="364" spans="1:19">
      <c r="A364">
        <v>60000363</v>
      </c>
      <c r="B364">
        <v>56</v>
      </c>
      <c r="C364" t="s">
        <v>18</v>
      </c>
      <c r="D364" t="s">
        <v>40</v>
      </c>
      <c r="E364" t="s">
        <v>44</v>
      </c>
      <c r="F364" t="s">
        <v>21</v>
      </c>
      <c r="G364" s="23">
        <v>0.16</v>
      </c>
      <c r="H364" t="s">
        <v>22</v>
      </c>
      <c r="I364" t="s">
        <v>45</v>
      </c>
      <c r="J364" t="s">
        <v>31</v>
      </c>
      <c r="K364" t="s">
        <v>114</v>
      </c>
      <c r="L364" t="s">
        <v>26</v>
      </c>
      <c r="M364" t="s">
        <v>27</v>
      </c>
      <c r="N364" t="s">
        <v>51</v>
      </c>
      <c r="O364">
        <v>0</v>
      </c>
      <c r="P364">
        <v>74630</v>
      </c>
      <c r="Q364">
        <f t="shared" si="5"/>
        <v>7.4630000000000002E-2</v>
      </c>
      <c r="R364">
        <v>43252</v>
      </c>
      <c r="S364" t="s">
        <v>122</v>
      </c>
    </row>
    <row r="365" spans="1:19">
      <c r="A365">
        <v>60000364</v>
      </c>
      <c r="B365">
        <v>28</v>
      </c>
      <c r="C365" t="s">
        <v>18</v>
      </c>
      <c r="D365" t="s">
        <v>40</v>
      </c>
      <c r="E365" t="s">
        <v>56</v>
      </c>
      <c r="F365" t="s">
        <v>21</v>
      </c>
      <c r="G365" s="23">
        <v>0.14000000000000001</v>
      </c>
      <c r="H365" t="s">
        <v>22</v>
      </c>
      <c r="I365" t="s">
        <v>60</v>
      </c>
      <c r="J365" t="s">
        <v>61</v>
      </c>
      <c r="K365" t="s">
        <v>63</v>
      </c>
      <c r="L365" t="s">
        <v>121</v>
      </c>
      <c r="M365" t="s">
        <v>27</v>
      </c>
      <c r="N365" t="s">
        <v>28</v>
      </c>
      <c r="O365">
        <v>0</v>
      </c>
      <c r="P365">
        <v>39889</v>
      </c>
      <c r="Q365">
        <f t="shared" si="5"/>
        <v>3.9889000000000001E-2</v>
      </c>
      <c r="R365">
        <v>43252</v>
      </c>
      <c r="S365" t="s">
        <v>122</v>
      </c>
    </row>
    <row r="366" spans="1:19">
      <c r="A366">
        <v>60000365</v>
      </c>
      <c r="B366">
        <v>37</v>
      </c>
      <c r="C366" t="s">
        <v>33</v>
      </c>
      <c r="D366" t="s">
        <v>40</v>
      </c>
      <c r="E366" t="s">
        <v>34</v>
      </c>
      <c r="F366" t="s">
        <v>21</v>
      </c>
      <c r="G366" s="23">
        <v>0.28999999999999998</v>
      </c>
      <c r="H366" t="s">
        <v>53</v>
      </c>
      <c r="I366" t="s">
        <v>23</v>
      </c>
      <c r="J366" t="s">
        <v>88</v>
      </c>
      <c r="K366" t="s">
        <v>77</v>
      </c>
      <c r="L366" t="s">
        <v>119</v>
      </c>
      <c r="M366" t="s">
        <v>27</v>
      </c>
      <c r="N366" t="s">
        <v>28</v>
      </c>
      <c r="O366">
        <v>5</v>
      </c>
      <c r="P366">
        <v>27928</v>
      </c>
      <c r="Q366">
        <f t="shared" ref="Q366:Q429" si="6">+P366/1000000</f>
        <v>2.7928000000000001E-2</v>
      </c>
      <c r="R366">
        <v>43252</v>
      </c>
      <c r="S366" t="s">
        <v>122</v>
      </c>
    </row>
    <row r="367" spans="1:19">
      <c r="A367">
        <v>60000366</v>
      </c>
      <c r="B367">
        <v>60</v>
      </c>
      <c r="C367" t="s">
        <v>18</v>
      </c>
      <c r="D367" t="s">
        <v>40</v>
      </c>
      <c r="E367" t="s">
        <v>67</v>
      </c>
      <c r="F367" t="s">
        <v>21</v>
      </c>
      <c r="G367" s="23">
        <v>0.25</v>
      </c>
      <c r="H367" t="s">
        <v>53</v>
      </c>
      <c r="I367" t="s">
        <v>68</v>
      </c>
      <c r="J367" t="s">
        <v>61</v>
      </c>
      <c r="K367" t="s">
        <v>103</v>
      </c>
      <c r="L367" t="s">
        <v>26</v>
      </c>
      <c r="M367" t="s">
        <v>27</v>
      </c>
      <c r="N367" t="s">
        <v>28</v>
      </c>
      <c r="O367">
        <v>1</v>
      </c>
      <c r="P367">
        <v>49493</v>
      </c>
      <c r="Q367">
        <f t="shared" si="6"/>
        <v>4.9493000000000002E-2</v>
      </c>
      <c r="R367">
        <v>43252</v>
      </c>
      <c r="S367" t="s">
        <v>122</v>
      </c>
    </row>
    <row r="368" spans="1:19">
      <c r="A368">
        <v>60000367</v>
      </c>
      <c r="B368">
        <v>44</v>
      </c>
      <c r="C368" t="s">
        <v>18</v>
      </c>
      <c r="D368" t="s">
        <v>40</v>
      </c>
      <c r="E368" t="s">
        <v>85</v>
      </c>
      <c r="F368" t="s">
        <v>21</v>
      </c>
      <c r="G368" s="23">
        <v>0.16</v>
      </c>
      <c r="H368" t="s">
        <v>22</v>
      </c>
      <c r="I368" t="s">
        <v>62</v>
      </c>
      <c r="J368" t="s">
        <v>54</v>
      </c>
      <c r="K368" t="s">
        <v>104</v>
      </c>
      <c r="L368" t="s">
        <v>26</v>
      </c>
      <c r="M368" t="s">
        <v>27</v>
      </c>
      <c r="N368" t="s">
        <v>51</v>
      </c>
      <c r="O368">
        <v>0</v>
      </c>
      <c r="P368">
        <v>64826</v>
      </c>
      <c r="Q368">
        <f t="shared" si="6"/>
        <v>6.4825999999999995E-2</v>
      </c>
      <c r="R368">
        <v>43252</v>
      </c>
      <c r="S368" t="s">
        <v>122</v>
      </c>
    </row>
    <row r="369" spans="1:19">
      <c r="A369">
        <v>60000368</v>
      </c>
      <c r="B369">
        <v>36</v>
      </c>
      <c r="C369" t="s">
        <v>18</v>
      </c>
      <c r="D369" t="s">
        <v>19</v>
      </c>
      <c r="E369" t="s">
        <v>75</v>
      </c>
      <c r="F369" t="s">
        <v>21</v>
      </c>
      <c r="G369" s="23">
        <v>0.14000000000000001</v>
      </c>
      <c r="H369" t="s">
        <v>22</v>
      </c>
      <c r="I369" t="s">
        <v>23</v>
      </c>
      <c r="J369" t="s">
        <v>91</v>
      </c>
      <c r="K369" t="s">
        <v>112</v>
      </c>
      <c r="L369" t="s">
        <v>121</v>
      </c>
      <c r="M369" t="s">
        <v>27</v>
      </c>
      <c r="N369" t="s">
        <v>51</v>
      </c>
      <c r="O369">
        <v>3</v>
      </c>
      <c r="P369">
        <v>54304</v>
      </c>
      <c r="Q369">
        <f t="shared" si="6"/>
        <v>5.4303999999999998E-2</v>
      </c>
      <c r="R369">
        <v>43252</v>
      </c>
      <c r="S369" t="s">
        <v>122</v>
      </c>
    </row>
    <row r="370" spans="1:19">
      <c r="A370">
        <v>60000369</v>
      </c>
      <c r="B370">
        <v>56</v>
      </c>
      <c r="C370" t="s">
        <v>33</v>
      </c>
      <c r="D370" t="s">
        <v>40</v>
      </c>
      <c r="E370" t="s">
        <v>75</v>
      </c>
      <c r="F370" t="s">
        <v>21</v>
      </c>
      <c r="G370" s="23">
        <v>0.28999999999999998</v>
      </c>
      <c r="H370" t="s">
        <v>53</v>
      </c>
      <c r="I370" t="s">
        <v>23</v>
      </c>
      <c r="J370" t="s">
        <v>61</v>
      </c>
      <c r="K370" t="s">
        <v>94</v>
      </c>
      <c r="L370" t="s">
        <v>121</v>
      </c>
      <c r="M370" t="s">
        <v>27</v>
      </c>
      <c r="N370" t="s">
        <v>51</v>
      </c>
      <c r="O370">
        <v>0</v>
      </c>
      <c r="P370">
        <v>80617</v>
      </c>
      <c r="Q370">
        <f t="shared" si="6"/>
        <v>8.0616999999999994E-2</v>
      </c>
      <c r="R370">
        <v>43252</v>
      </c>
      <c r="S370" t="s">
        <v>122</v>
      </c>
    </row>
    <row r="371" spans="1:19">
      <c r="A371">
        <v>60000370</v>
      </c>
      <c r="B371">
        <v>26</v>
      </c>
      <c r="C371" t="s">
        <v>18</v>
      </c>
      <c r="D371" t="s">
        <v>19</v>
      </c>
      <c r="E371" t="s">
        <v>20</v>
      </c>
      <c r="F371" t="s">
        <v>21</v>
      </c>
      <c r="G371" s="23">
        <v>0.19</v>
      </c>
      <c r="H371" t="s">
        <v>29</v>
      </c>
      <c r="I371" t="s">
        <v>45</v>
      </c>
      <c r="J371" t="s">
        <v>24</v>
      </c>
      <c r="K371" t="s">
        <v>110</v>
      </c>
      <c r="L371" t="s">
        <v>121</v>
      </c>
      <c r="M371" t="s">
        <v>27</v>
      </c>
      <c r="N371" t="s">
        <v>51</v>
      </c>
      <c r="O371">
        <v>0</v>
      </c>
      <c r="P371">
        <v>74854</v>
      </c>
      <c r="Q371">
        <f t="shared" si="6"/>
        <v>7.4854000000000004E-2</v>
      </c>
      <c r="R371">
        <v>43252</v>
      </c>
      <c r="S371" t="s">
        <v>122</v>
      </c>
    </row>
    <row r="372" spans="1:19">
      <c r="A372">
        <v>60000371</v>
      </c>
      <c r="B372">
        <v>46</v>
      </c>
      <c r="C372" t="s">
        <v>33</v>
      </c>
      <c r="D372" t="s">
        <v>40</v>
      </c>
      <c r="E372" t="s">
        <v>34</v>
      </c>
      <c r="F372" t="s">
        <v>21</v>
      </c>
      <c r="G372" s="23">
        <v>0.16</v>
      </c>
      <c r="H372" t="s">
        <v>22</v>
      </c>
      <c r="I372" t="s">
        <v>49</v>
      </c>
      <c r="J372" t="s">
        <v>91</v>
      </c>
      <c r="K372" t="s">
        <v>89</v>
      </c>
      <c r="L372" t="s">
        <v>119</v>
      </c>
      <c r="M372" t="s">
        <v>27</v>
      </c>
      <c r="N372" t="s">
        <v>28</v>
      </c>
      <c r="O372">
        <v>0</v>
      </c>
      <c r="P372">
        <v>49343</v>
      </c>
      <c r="Q372">
        <f t="shared" si="6"/>
        <v>4.9342999999999998E-2</v>
      </c>
      <c r="R372">
        <v>43252</v>
      </c>
      <c r="S372" t="s">
        <v>122</v>
      </c>
    </row>
    <row r="373" spans="1:19">
      <c r="A373">
        <v>60000372</v>
      </c>
      <c r="B373">
        <v>31</v>
      </c>
      <c r="C373" t="s">
        <v>33</v>
      </c>
      <c r="D373" t="s">
        <v>40</v>
      </c>
      <c r="E373" t="s">
        <v>85</v>
      </c>
      <c r="F373" t="s">
        <v>21</v>
      </c>
      <c r="G373" s="23">
        <v>0.16</v>
      </c>
      <c r="H373" t="s">
        <v>22</v>
      </c>
      <c r="I373" t="s">
        <v>80</v>
      </c>
      <c r="J373" t="s">
        <v>54</v>
      </c>
      <c r="K373" t="s">
        <v>93</v>
      </c>
      <c r="L373" t="s">
        <v>121</v>
      </c>
      <c r="M373" t="s">
        <v>27</v>
      </c>
      <c r="N373" t="s">
        <v>28</v>
      </c>
      <c r="O373">
        <v>4</v>
      </c>
      <c r="P373">
        <v>80425</v>
      </c>
      <c r="Q373">
        <f t="shared" si="6"/>
        <v>8.0424999999999996E-2</v>
      </c>
      <c r="R373">
        <v>43252</v>
      </c>
      <c r="S373" t="s">
        <v>122</v>
      </c>
    </row>
    <row r="374" spans="1:19">
      <c r="A374">
        <v>60000373</v>
      </c>
      <c r="B374">
        <v>21</v>
      </c>
      <c r="C374" t="s">
        <v>33</v>
      </c>
      <c r="D374" t="s">
        <v>19</v>
      </c>
      <c r="E374" t="s">
        <v>56</v>
      </c>
      <c r="F374" t="s">
        <v>21</v>
      </c>
      <c r="G374" s="23">
        <v>0.19</v>
      </c>
      <c r="H374" t="s">
        <v>29</v>
      </c>
      <c r="I374" t="s">
        <v>30</v>
      </c>
      <c r="J374" t="s">
        <v>74</v>
      </c>
      <c r="K374" t="s">
        <v>97</v>
      </c>
      <c r="L374" t="s">
        <v>26</v>
      </c>
      <c r="M374" t="s">
        <v>27</v>
      </c>
      <c r="N374" t="s">
        <v>51</v>
      </c>
      <c r="O374">
        <v>0</v>
      </c>
      <c r="P374">
        <v>28635</v>
      </c>
      <c r="Q374">
        <f t="shared" si="6"/>
        <v>2.8635000000000001E-2</v>
      </c>
      <c r="R374">
        <v>43252</v>
      </c>
      <c r="S374" t="s">
        <v>122</v>
      </c>
    </row>
    <row r="375" spans="1:19">
      <c r="A375">
        <v>60000374</v>
      </c>
      <c r="B375">
        <v>51</v>
      </c>
      <c r="C375" t="s">
        <v>18</v>
      </c>
      <c r="D375" t="s">
        <v>19</v>
      </c>
      <c r="E375" t="s">
        <v>44</v>
      </c>
      <c r="F375" t="s">
        <v>21</v>
      </c>
      <c r="G375" s="23">
        <v>0.26</v>
      </c>
      <c r="H375" t="s">
        <v>53</v>
      </c>
      <c r="I375" t="s">
        <v>60</v>
      </c>
      <c r="J375" t="s">
        <v>91</v>
      </c>
      <c r="K375" t="s">
        <v>95</v>
      </c>
      <c r="L375" t="s">
        <v>121</v>
      </c>
      <c r="M375" t="s">
        <v>27</v>
      </c>
      <c r="N375" t="s">
        <v>28</v>
      </c>
      <c r="O375">
        <v>0</v>
      </c>
      <c r="P375">
        <v>28074</v>
      </c>
      <c r="Q375">
        <f t="shared" si="6"/>
        <v>2.8074000000000002E-2</v>
      </c>
      <c r="R375">
        <v>43252</v>
      </c>
      <c r="S375" t="s">
        <v>122</v>
      </c>
    </row>
    <row r="376" spans="1:19">
      <c r="A376">
        <v>60000375</v>
      </c>
      <c r="B376">
        <v>64</v>
      </c>
      <c r="C376" t="s">
        <v>33</v>
      </c>
      <c r="D376" t="s">
        <v>19</v>
      </c>
      <c r="E376" t="s">
        <v>56</v>
      </c>
      <c r="F376" t="s">
        <v>21</v>
      </c>
      <c r="G376" s="23">
        <v>0.34</v>
      </c>
      <c r="H376" t="s">
        <v>42</v>
      </c>
      <c r="I376" t="s">
        <v>60</v>
      </c>
      <c r="J376" t="s">
        <v>88</v>
      </c>
      <c r="K376" t="s">
        <v>96</v>
      </c>
      <c r="L376" t="s">
        <v>119</v>
      </c>
      <c r="M376" t="s">
        <v>27</v>
      </c>
      <c r="N376" t="s">
        <v>28</v>
      </c>
      <c r="O376">
        <v>3</v>
      </c>
      <c r="P376">
        <v>68445</v>
      </c>
      <c r="Q376">
        <f t="shared" si="6"/>
        <v>6.8445000000000006E-2</v>
      </c>
      <c r="R376">
        <v>43252</v>
      </c>
      <c r="S376" t="s">
        <v>122</v>
      </c>
    </row>
    <row r="377" spans="1:19">
      <c r="A377">
        <v>60000376</v>
      </c>
      <c r="B377">
        <v>21</v>
      </c>
      <c r="C377" t="s">
        <v>33</v>
      </c>
      <c r="D377" t="s">
        <v>40</v>
      </c>
      <c r="E377" t="s">
        <v>64</v>
      </c>
      <c r="F377" t="s">
        <v>21</v>
      </c>
      <c r="G377" s="23">
        <v>0.25</v>
      </c>
      <c r="H377" t="s">
        <v>53</v>
      </c>
      <c r="I377" t="s">
        <v>68</v>
      </c>
      <c r="J377" t="s">
        <v>91</v>
      </c>
      <c r="K377" t="s">
        <v>113</v>
      </c>
      <c r="L377" t="s">
        <v>119</v>
      </c>
      <c r="M377" t="s">
        <v>27</v>
      </c>
      <c r="N377" t="s">
        <v>51</v>
      </c>
      <c r="O377">
        <v>0</v>
      </c>
      <c r="P377">
        <v>84067</v>
      </c>
      <c r="Q377">
        <f t="shared" si="6"/>
        <v>8.4067000000000003E-2</v>
      </c>
      <c r="R377">
        <v>43252</v>
      </c>
      <c r="S377" t="s">
        <v>122</v>
      </c>
    </row>
    <row r="378" spans="1:19">
      <c r="A378">
        <v>60000377</v>
      </c>
      <c r="B378">
        <v>50</v>
      </c>
      <c r="C378" t="s">
        <v>18</v>
      </c>
      <c r="D378" t="s">
        <v>40</v>
      </c>
      <c r="E378" t="s">
        <v>20</v>
      </c>
      <c r="F378" t="s">
        <v>21</v>
      </c>
      <c r="G378" s="23">
        <v>0.11</v>
      </c>
      <c r="H378" t="s">
        <v>36</v>
      </c>
      <c r="I378" t="s">
        <v>70</v>
      </c>
      <c r="J378" t="s">
        <v>78</v>
      </c>
      <c r="K378" t="s">
        <v>115</v>
      </c>
      <c r="L378" t="s">
        <v>26</v>
      </c>
      <c r="M378" t="s">
        <v>27</v>
      </c>
      <c r="N378" t="s">
        <v>28</v>
      </c>
      <c r="O378">
        <v>0</v>
      </c>
      <c r="P378">
        <v>83731</v>
      </c>
      <c r="Q378">
        <f t="shared" si="6"/>
        <v>8.3731E-2</v>
      </c>
      <c r="R378">
        <v>43252</v>
      </c>
      <c r="S378" t="s">
        <v>122</v>
      </c>
    </row>
    <row r="379" spans="1:19">
      <c r="A379">
        <v>60000378</v>
      </c>
      <c r="B379">
        <v>39</v>
      </c>
      <c r="C379" t="s">
        <v>33</v>
      </c>
      <c r="D379" t="s">
        <v>40</v>
      </c>
      <c r="E379" t="s">
        <v>52</v>
      </c>
      <c r="F379" t="s">
        <v>21</v>
      </c>
      <c r="G379" s="23">
        <v>0.27</v>
      </c>
      <c r="H379" t="s">
        <v>53</v>
      </c>
      <c r="I379" t="s">
        <v>80</v>
      </c>
      <c r="J379" t="s">
        <v>88</v>
      </c>
      <c r="K379" t="s">
        <v>101</v>
      </c>
      <c r="L379" t="s">
        <v>26</v>
      </c>
      <c r="M379" t="s">
        <v>27</v>
      </c>
      <c r="N379" t="s">
        <v>28</v>
      </c>
      <c r="O379">
        <v>1</v>
      </c>
      <c r="P379">
        <v>28557</v>
      </c>
      <c r="Q379">
        <f t="shared" si="6"/>
        <v>2.8556999999999999E-2</v>
      </c>
      <c r="R379">
        <v>43252</v>
      </c>
      <c r="S379" t="s">
        <v>122</v>
      </c>
    </row>
    <row r="380" spans="1:19">
      <c r="A380">
        <v>60000379</v>
      </c>
      <c r="B380">
        <v>38</v>
      </c>
      <c r="C380" t="s">
        <v>33</v>
      </c>
      <c r="D380" t="s">
        <v>19</v>
      </c>
      <c r="E380" t="s">
        <v>20</v>
      </c>
      <c r="F380" t="s">
        <v>21</v>
      </c>
      <c r="G380" s="23">
        <v>0.35</v>
      </c>
      <c r="H380" t="s">
        <v>42</v>
      </c>
      <c r="I380" t="s">
        <v>65</v>
      </c>
      <c r="J380" t="s">
        <v>91</v>
      </c>
      <c r="K380" t="s">
        <v>43</v>
      </c>
      <c r="L380" t="s">
        <v>121</v>
      </c>
      <c r="M380" t="s">
        <v>27</v>
      </c>
      <c r="N380" t="s">
        <v>51</v>
      </c>
      <c r="O380">
        <v>5</v>
      </c>
      <c r="P380">
        <v>79614</v>
      </c>
      <c r="Q380">
        <f t="shared" si="6"/>
        <v>7.9614000000000004E-2</v>
      </c>
      <c r="R380">
        <v>43252</v>
      </c>
      <c r="S380" t="s">
        <v>122</v>
      </c>
    </row>
    <row r="381" spans="1:19">
      <c r="A381">
        <v>60000380</v>
      </c>
      <c r="B381">
        <v>34</v>
      </c>
      <c r="C381" t="s">
        <v>18</v>
      </c>
      <c r="D381" t="s">
        <v>19</v>
      </c>
      <c r="E381" t="s">
        <v>52</v>
      </c>
      <c r="F381" t="s">
        <v>21</v>
      </c>
      <c r="G381" s="23">
        <v>0.3</v>
      </c>
      <c r="H381" t="s">
        <v>53</v>
      </c>
      <c r="I381" t="s">
        <v>70</v>
      </c>
      <c r="J381" t="s">
        <v>61</v>
      </c>
      <c r="K381" t="s">
        <v>96</v>
      </c>
      <c r="L381" t="s">
        <v>119</v>
      </c>
      <c r="M381" t="s">
        <v>27</v>
      </c>
      <c r="N381" t="s">
        <v>28</v>
      </c>
      <c r="O381">
        <v>0</v>
      </c>
      <c r="P381">
        <v>54684</v>
      </c>
      <c r="Q381">
        <f t="shared" si="6"/>
        <v>5.4684000000000003E-2</v>
      </c>
      <c r="R381">
        <v>43252</v>
      </c>
      <c r="S381" t="s">
        <v>122</v>
      </c>
    </row>
    <row r="382" spans="1:19">
      <c r="A382">
        <v>60000381</v>
      </c>
      <c r="B382">
        <v>57</v>
      </c>
      <c r="C382" t="s">
        <v>33</v>
      </c>
      <c r="D382" t="s">
        <v>19</v>
      </c>
      <c r="E382" t="s">
        <v>52</v>
      </c>
      <c r="F382" t="s">
        <v>21</v>
      </c>
      <c r="G382" s="23">
        <v>0.31</v>
      </c>
      <c r="H382" t="s">
        <v>53</v>
      </c>
      <c r="I382" t="s">
        <v>70</v>
      </c>
      <c r="J382" t="s">
        <v>31</v>
      </c>
      <c r="K382" t="s">
        <v>100</v>
      </c>
      <c r="L382" t="s">
        <v>121</v>
      </c>
      <c r="M382" t="s">
        <v>27</v>
      </c>
      <c r="N382" t="s">
        <v>51</v>
      </c>
      <c r="O382">
        <v>7</v>
      </c>
      <c r="P382">
        <v>27227</v>
      </c>
      <c r="Q382">
        <f t="shared" si="6"/>
        <v>2.7227000000000001E-2</v>
      </c>
      <c r="R382">
        <v>43252</v>
      </c>
      <c r="S382" t="s">
        <v>122</v>
      </c>
    </row>
    <row r="383" spans="1:19">
      <c r="A383">
        <v>60000382</v>
      </c>
      <c r="B383">
        <v>47</v>
      </c>
      <c r="C383" t="s">
        <v>33</v>
      </c>
      <c r="D383" t="s">
        <v>19</v>
      </c>
      <c r="E383" t="s">
        <v>67</v>
      </c>
      <c r="F383" t="s">
        <v>21</v>
      </c>
      <c r="G383" s="23">
        <v>0.13</v>
      </c>
      <c r="H383" t="s">
        <v>22</v>
      </c>
      <c r="I383" t="s">
        <v>68</v>
      </c>
      <c r="J383" t="s">
        <v>54</v>
      </c>
      <c r="K383" t="s">
        <v>62</v>
      </c>
      <c r="L383" t="s">
        <v>119</v>
      </c>
      <c r="M383" t="s">
        <v>27</v>
      </c>
      <c r="N383" t="s">
        <v>51</v>
      </c>
      <c r="O383">
        <v>0</v>
      </c>
      <c r="P383">
        <v>32045</v>
      </c>
      <c r="Q383">
        <f t="shared" si="6"/>
        <v>3.2044999999999997E-2</v>
      </c>
      <c r="R383">
        <v>43252</v>
      </c>
      <c r="S383" t="s">
        <v>122</v>
      </c>
    </row>
    <row r="384" spans="1:19">
      <c r="A384">
        <v>60000383</v>
      </c>
      <c r="B384">
        <v>36</v>
      </c>
      <c r="C384" t="s">
        <v>18</v>
      </c>
      <c r="D384" t="s">
        <v>40</v>
      </c>
      <c r="E384" t="s">
        <v>85</v>
      </c>
      <c r="F384" t="s">
        <v>21</v>
      </c>
      <c r="G384" s="23">
        <v>0.28000000000000003</v>
      </c>
      <c r="H384" t="s">
        <v>53</v>
      </c>
      <c r="I384" t="s">
        <v>37</v>
      </c>
      <c r="J384" t="s">
        <v>88</v>
      </c>
      <c r="K384" t="s">
        <v>107</v>
      </c>
      <c r="L384" t="s">
        <v>121</v>
      </c>
      <c r="M384" t="s">
        <v>27</v>
      </c>
      <c r="N384" t="s">
        <v>51</v>
      </c>
      <c r="O384">
        <v>0</v>
      </c>
      <c r="P384">
        <v>25551</v>
      </c>
      <c r="Q384">
        <f t="shared" si="6"/>
        <v>2.5551000000000001E-2</v>
      </c>
      <c r="R384">
        <v>43252</v>
      </c>
      <c r="S384" t="s">
        <v>122</v>
      </c>
    </row>
    <row r="385" spans="1:19">
      <c r="A385">
        <v>60000384</v>
      </c>
      <c r="B385">
        <v>21</v>
      </c>
      <c r="C385" t="s">
        <v>18</v>
      </c>
      <c r="D385" t="s">
        <v>40</v>
      </c>
      <c r="E385" t="s">
        <v>52</v>
      </c>
      <c r="F385" t="s">
        <v>21</v>
      </c>
      <c r="G385" s="23">
        <v>0.2</v>
      </c>
      <c r="H385" t="s">
        <v>29</v>
      </c>
      <c r="I385" t="s">
        <v>60</v>
      </c>
      <c r="J385" t="s">
        <v>54</v>
      </c>
      <c r="K385" t="s">
        <v>90</v>
      </c>
      <c r="L385" t="s">
        <v>26</v>
      </c>
      <c r="M385" t="s">
        <v>27</v>
      </c>
      <c r="N385" t="s">
        <v>51</v>
      </c>
      <c r="O385">
        <v>0</v>
      </c>
      <c r="P385">
        <v>43464</v>
      </c>
      <c r="Q385">
        <f t="shared" si="6"/>
        <v>4.3464000000000003E-2</v>
      </c>
      <c r="R385">
        <v>43252</v>
      </c>
      <c r="S385" t="s">
        <v>122</v>
      </c>
    </row>
    <row r="386" spans="1:19">
      <c r="A386">
        <v>60000385</v>
      </c>
      <c r="B386">
        <v>21</v>
      </c>
      <c r="C386" t="s">
        <v>33</v>
      </c>
      <c r="D386" t="s">
        <v>40</v>
      </c>
      <c r="E386" t="s">
        <v>85</v>
      </c>
      <c r="F386" t="s">
        <v>21</v>
      </c>
      <c r="G386" s="23">
        <v>0.3</v>
      </c>
      <c r="H386" t="s">
        <v>53</v>
      </c>
      <c r="I386" t="s">
        <v>57</v>
      </c>
      <c r="J386" t="s">
        <v>46</v>
      </c>
      <c r="K386" t="s">
        <v>62</v>
      </c>
      <c r="L386" t="s">
        <v>121</v>
      </c>
      <c r="M386" t="s">
        <v>27</v>
      </c>
      <c r="N386" t="s">
        <v>28</v>
      </c>
      <c r="O386">
        <v>5</v>
      </c>
      <c r="P386">
        <v>41890</v>
      </c>
      <c r="Q386">
        <f t="shared" si="6"/>
        <v>4.1889999999999997E-2</v>
      </c>
      <c r="R386">
        <v>43252</v>
      </c>
      <c r="S386" t="s">
        <v>122</v>
      </c>
    </row>
    <row r="387" spans="1:19">
      <c r="A387">
        <v>60000386</v>
      </c>
      <c r="B387">
        <v>36</v>
      </c>
      <c r="C387" t="s">
        <v>33</v>
      </c>
      <c r="D387" t="s">
        <v>19</v>
      </c>
      <c r="E387" t="s">
        <v>52</v>
      </c>
      <c r="F387" t="s">
        <v>21</v>
      </c>
      <c r="G387" s="23">
        <v>0.17</v>
      </c>
      <c r="H387" t="s">
        <v>22</v>
      </c>
      <c r="I387" t="s">
        <v>65</v>
      </c>
      <c r="J387" t="s">
        <v>24</v>
      </c>
      <c r="K387" t="s">
        <v>111</v>
      </c>
      <c r="L387" t="s">
        <v>119</v>
      </c>
      <c r="M387" t="s">
        <v>27</v>
      </c>
      <c r="N387" t="s">
        <v>51</v>
      </c>
      <c r="O387">
        <v>7</v>
      </c>
      <c r="P387">
        <v>36063</v>
      </c>
      <c r="Q387">
        <f t="shared" si="6"/>
        <v>3.6062999999999998E-2</v>
      </c>
      <c r="R387">
        <v>43252</v>
      </c>
      <c r="S387" t="s">
        <v>122</v>
      </c>
    </row>
    <row r="388" spans="1:19">
      <c r="A388">
        <v>60000387</v>
      </c>
      <c r="B388">
        <v>52</v>
      </c>
      <c r="C388" t="s">
        <v>18</v>
      </c>
      <c r="D388" t="s">
        <v>19</v>
      </c>
      <c r="E388" t="s">
        <v>85</v>
      </c>
      <c r="F388" t="s">
        <v>21</v>
      </c>
      <c r="G388" s="23">
        <v>0.24</v>
      </c>
      <c r="H388" t="s">
        <v>29</v>
      </c>
      <c r="I388" t="s">
        <v>70</v>
      </c>
      <c r="J388" t="s">
        <v>78</v>
      </c>
      <c r="K388" t="s">
        <v>60</v>
      </c>
      <c r="L388" t="s">
        <v>26</v>
      </c>
      <c r="M388" t="s">
        <v>27</v>
      </c>
      <c r="N388" t="s">
        <v>51</v>
      </c>
      <c r="O388">
        <v>0</v>
      </c>
      <c r="P388">
        <v>80040</v>
      </c>
      <c r="Q388">
        <f t="shared" si="6"/>
        <v>8.004E-2</v>
      </c>
      <c r="R388">
        <v>43252</v>
      </c>
      <c r="S388" t="s">
        <v>122</v>
      </c>
    </row>
    <row r="389" spans="1:19">
      <c r="A389">
        <v>60000388</v>
      </c>
      <c r="B389">
        <v>47</v>
      </c>
      <c r="C389" t="s">
        <v>33</v>
      </c>
      <c r="D389" t="s">
        <v>40</v>
      </c>
      <c r="E389" t="s">
        <v>41</v>
      </c>
      <c r="F389" t="s">
        <v>21</v>
      </c>
      <c r="G389" s="23">
        <v>0.32</v>
      </c>
      <c r="H389" t="s">
        <v>42</v>
      </c>
      <c r="I389" t="s">
        <v>80</v>
      </c>
      <c r="J389" t="s">
        <v>66</v>
      </c>
      <c r="K389" t="s">
        <v>82</v>
      </c>
      <c r="L389" t="s">
        <v>121</v>
      </c>
      <c r="M389" t="s">
        <v>27</v>
      </c>
      <c r="N389" t="s">
        <v>51</v>
      </c>
      <c r="O389">
        <v>1</v>
      </c>
      <c r="P389">
        <v>72998</v>
      </c>
      <c r="Q389">
        <f t="shared" si="6"/>
        <v>7.2997999999999993E-2</v>
      </c>
      <c r="R389">
        <v>43252</v>
      </c>
      <c r="S389" t="s">
        <v>122</v>
      </c>
    </row>
    <row r="390" spans="1:19">
      <c r="A390">
        <v>60000389</v>
      </c>
      <c r="B390">
        <v>44</v>
      </c>
      <c r="C390" t="s">
        <v>33</v>
      </c>
      <c r="D390" t="s">
        <v>19</v>
      </c>
      <c r="E390" t="s">
        <v>64</v>
      </c>
      <c r="F390" t="s">
        <v>21</v>
      </c>
      <c r="G390" s="23">
        <v>0.12</v>
      </c>
      <c r="H390" t="s">
        <v>22</v>
      </c>
      <c r="I390" t="s">
        <v>86</v>
      </c>
      <c r="J390" t="s">
        <v>61</v>
      </c>
      <c r="K390" t="s">
        <v>111</v>
      </c>
      <c r="L390" t="s">
        <v>121</v>
      </c>
      <c r="M390" t="s">
        <v>27</v>
      </c>
      <c r="N390" t="s">
        <v>28</v>
      </c>
      <c r="O390">
        <v>0</v>
      </c>
      <c r="P390">
        <v>66477</v>
      </c>
      <c r="Q390">
        <f t="shared" si="6"/>
        <v>6.6476999999999994E-2</v>
      </c>
      <c r="R390">
        <v>43252</v>
      </c>
      <c r="S390" t="s">
        <v>122</v>
      </c>
    </row>
    <row r="391" spans="1:19">
      <c r="A391">
        <v>60000390</v>
      </c>
      <c r="B391">
        <v>23</v>
      </c>
      <c r="C391" t="s">
        <v>33</v>
      </c>
      <c r="D391" t="s">
        <v>40</v>
      </c>
      <c r="E391" t="s">
        <v>52</v>
      </c>
      <c r="F391" t="s">
        <v>21</v>
      </c>
      <c r="G391" s="23">
        <v>0.13</v>
      </c>
      <c r="H391" t="s">
        <v>22</v>
      </c>
      <c r="I391" t="s">
        <v>65</v>
      </c>
      <c r="J391" t="s">
        <v>88</v>
      </c>
      <c r="K391" t="s">
        <v>49</v>
      </c>
      <c r="L391" t="s">
        <v>121</v>
      </c>
      <c r="M391" t="s">
        <v>27</v>
      </c>
      <c r="N391" t="s">
        <v>51</v>
      </c>
      <c r="O391">
        <v>7</v>
      </c>
      <c r="P391">
        <v>48518</v>
      </c>
      <c r="Q391">
        <f t="shared" si="6"/>
        <v>4.8517999999999999E-2</v>
      </c>
      <c r="R391">
        <v>43252</v>
      </c>
      <c r="S391" t="s">
        <v>122</v>
      </c>
    </row>
    <row r="392" spans="1:19">
      <c r="A392">
        <v>60000391</v>
      </c>
      <c r="B392">
        <v>37</v>
      </c>
      <c r="C392" t="s">
        <v>18</v>
      </c>
      <c r="D392" t="s">
        <v>19</v>
      </c>
      <c r="E392" t="s">
        <v>56</v>
      </c>
      <c r="F392" t="s">
        <v>21</v>
      </c>
      <c r="G392" s="23">
        <v>0.14000000000000001</v>
      </c>
      <c r="H392" t="s">
        <v>22</v>
      </c>
      <c r="I392" t="s">
        <v>60</v>
      </c>
      <c r="J392" t="s">
        <v>58</v>
      </c>
      <c r="K392" t="s">
        <v>77</v>
      </c>
      <c r="L392" t="s">
        <v>119</v>
      </c>
      <c r="M392" t="s">
        <v>27</v>
      </c>
      <c r="N392" t="s">
        <v>51</v>
      </c>
      <c r="O392">
        <v>4</v>
      </c>
      <c r="P392">
        <v>34127</v>
      </c>
      <c r="Q392">
        <f t="shared" si="6"/>
        <v>3.4126999999999998E-2</v>
      </c>
      <c r="R392">
        <v>43252</v>
      </c>
      <c r="S392" t="s">
        <v>122</v>
      </c>
    </row>
    <row r="393" spans="1:19">
      <c r="A393">
        <v>60000392</v>
      </c>
      <c r="B393">
        <v>47</v>
      </c>
      <c r="C393" t="s">
        <v>18</v>
      </c>
      <c r="D393" t="s">
        <v>19</v>
      </c>
      <c r="E393" t="s">
        <v>20</v>
      </c>
      <c r="F393" t="s">
        <v>21</v>
      </c>
      <c r="G393" s="23">
        <v>0.21</v>
      </c>
      <c r="H393" t="s">
        <v>29</v>
      </c>
      <c r="I393" t="s">
        <v>37</v>
      </c>
      <c r="J393" t="s">
        <v>88</v>
      </c>
      <c r="K393" t="s">
        <v>117</v>
      </c>
      <c r="L393" t="s">
        <v>26</v>
      </c>
      <c r="M393" t="s">
        <v>27</v>
      </c>
      <c r="N393" t="s">
        <v>51</v>
      </c>
      <c r="O393">
        <v>0</v>
      </c>
      <c r="P393">
        <v>64482</v>
      </c>
      <c r="Q393">
        <f t="shared" si="6"/>
        <v>6.4481999999999998E-2</v>
      </c>
      <c r="R393">
        <v>43252</v>
      </c>
      <c r="S393" t="s">
        <v>122</v>
      </c>
    </row>
    <row r="394" spans="1:19">
      <c r="A394">
        <v>60000393</v>
      </c>
      <c r="B394">
        <v>44</v>
      </c>
      <c r="C394" t="s">
        <v>33</v>
      </c>
      <c r="D394" t="s">
        <v>40</v>
      </c>
      <c r="E394" t="s">
        <v>34</v>
      </c>
      <c r="F394" t="s">
        <v>21</v>
      </c>
      <c r="G394" s="23">
        <v>0.21</v>
      </c>
      <c r="H394" t="s">
        <v>29</v>
      </c>
      <c r="I394" t="s">
        <v>86</v>
      </c>
      <c r="J394" t="s">
        <v>78</v>
      </c>
      <c r="K394" t="s">
        <v>39</v>
      </c>
      <c r="L394" t="s">
        <v>119</v>
      </c>
      <c r="M394" t="s">
        <v>27</v>
      </c>
      <c r="N394" t="s">
        <v>51</v>
      </c>
      <c r="O394">
        <v>6</v>
      </c>
      <c r="P394">
        <v>54672</v>
      </c>
      <c r="Q394">
        <f t="shared" si="6"/>
        <v>5.4671999999999998E-2</v>
      </c>
      <c r="R394">
        <v>43252</v>
      </c>
      <c r="S394" t="s">
        <v>122</v>
      </c>
    </row>
    <row r="395" spans="1:19">
      <c r="A395">
        <v>60000394</v>
      </c>
      <c r="B395">
        <v>45</v>
      </c>
      <c r="C395" t="s">
        <v>33</v>
      </c>
      <c r="D395" t="s">
        <v>40</v>
      </c>
      <c r="E395" t="s">
        <v>85</v>
      </c>
      <c r="F395" t="s">
        <v>21</v>
      </c>
      <c r="G395" s="23">
        <v>0.17</v>
      </c>
      <c r="H395" t="s">
        <v>22</v>
      </c>
      <c r="I395" t="s">
        <v>68</v>
      </c>
      <c r="J395" t="s">
        <v>88</v>
      </c>
      <c r="K395" t="s">
        <v>82</v>
      </c>
      <c r="L395" t="s">
        <v>121</v>
      </c>
      <c r="M395" t="s">
        <v>27</v>
      </c>
      <c r="N395" t="s">
        <v>28</v>
      </c>
      <c r="O395">
        <v>4</v>
      </c>
      <c r="P395">
        <v>51554</v>
      </c>
      <c r="Q395">
        <f t="shared" si="6"/>
        <v>5.1554000000000003E-2</v>
      </c>
      <c r="R395">
        <v>43252</v>
      </c>
      <c r="S395" t="s">
        <v>122</v>
      </c>
    </row>
    <row r="396" spans="1:19">
      <c r="A396">
        <v>60000395</v>
      </c>
      <c r="B396">
        <v>25</v>
      </c>
      <c r="C396" t="s">
        <v>33</v>
      </c>
      <c r="D396" t="s">
        <v>19</v>
      </c>
      <c r="E396" t="s">
        <v>64</v>
      </c>
      <c r="F396" t="s">
        <v>21</v>
      </c>
      <c r="G396" s="23">
        <v>0.37</v>
      </c>
      <c r="H396" t="s">
        <v>42</v>
      </c>
      <c r="I396" t="s">
        <v>73</v>
      </c>
      <c r="J396" t="s">
        <v>38</v>
      </c>
      <c r="K396" t="s">
        <v>101</v>
      </c>
      <c r="L396" t="s">
        <v>26</v>
      </c>
      <c r="M396" t="s">
        <v>27</v>
      </c>
      <c r="N396" t="s">
        <v>51</v>
      </c>
      <c r="O396">
        <v>0</v>
      </c>
      <c r="P396">
        <v>44090</v>
      </c>
      <c r="Q396">
        <f t="shared" si="6"/>
        <v>4.4089999999999997E-2</v>
      </c>
      <c r="R396">
        <v>43252</v>
      </c>
      <c r="S396" t="s">
        <v>122</v>
      </c>
    </row>
    <row r="397" spans="1:19">
      <c r="A397">
        <v>60000396</v>
      </c>
      <c r="B397">
        <v>31</v>
      </c>
      <c r="C397" t="s">
        <v>18</v>
      </c>
      <c r="D397" t="s">
        <v>40</v>
      </c>
      <c r="E397" t="s">
        <v>52</v>
      </c>
      <c r="F397" t="s">
        <v>21</v>
      </c>
      <c r="G397" s="23">
        <v>0.23</v>
      </c>
      <c r="H397" t="s">
        <v>29</v>
      </c>
      <c r="I397" t="s">
        <v>73</v>
      </c>
      <c r="J397" t="s">
        <v>24</v>
      </c>
      <c r="K397" t="s">
        <v>101</v>
      </c>
      <c r="L397" t="s">
        <v>26</v>
      </c>
      <c r="M397" t="s">
        <v>27</v>
      </c>
      <c r="N397" t="s">
        <v>51</v>
      </c>
      <c r="O397">
        <v>0</v>
      </c>
      <c r="P397">
        <v>81393</v>
      </c>
      <c r="Q397">
        <f t="shared" si="6"/>
        <v>8.1392999999999993E-2</v>
      </c>
      <c r="R397">
        <v>43252</v>
      </c>
      <c r="S397" t="s">
        <v>122</v>
      </c>
    </row>
    <row r="398" spans="1:19">
      <c r="A398">
        <v>60000397</v>
      </c>
      <c r="B398">
        <v>44</v>
      </c>
      <c r="C398" t="s">
        <v>33</v>
      </c>
      <c r="D398" t="s">
        <v>40</v>
      </c>
      <c r="E398" t="s">
        <v>75</v>
      </c>
      <c r="F398" t="s">
        <v>21</v>
      </c>
      <c r="G398" s="23">
        <v>0.33</v>
      </c>
      <c r="H398" t="s">
        <v>42</v>
      </c>
      <c r="I398" t="s">
        <v>80</v>
      </c>
      <c r="J398" t="s">
        <v>24</v>
      </c>
      <c r="K398" t="s">
        <v>112</v>
      </c>
      <c r="L398" t="s">
        <v>26</v>
      </c>
      <c r="M398" t="s">
        <v>27</v>
      </c>
      <c r="N398" t="s">
        <v>51</v>
      </c>
      <c r="O398">
        <v>1</v>
      </c>
      <c r="P398">
        <v>35847</v>
      </c>
      <c r="Q398">
        <f t="shared" si="6"/>
        <v>3.5846999999999997E-2</v>
      </c>
      <c r="R398">
        <v>43252</v>
      </c>
      <c r="S398" t="s">
        <v>122</v>
      </c>
    </row>
    <row r="399" spans="1:19">
      <c r="A399">
        <v>60000398</v>
      </c>
      <c r="B399">
        <v>31</v>
      </c>
      <c r="C399" t="s">
        <v>33</v>
      </c>
      <c r="D399" t="s">
        <v>40</v>
      </c>
      <c r="E399" t="s">
        <v>56</v>
      </c>
      <c r="F399" t="s">
        <v>21</v>
      </c>
      <c r="G399" s="23">
        <v>0.27</v>
      </c>
      <c r="H399" t="s">
        <v>53</v>
      </c>
      <c r="I399" t="s">
        <v>80</v>
      </c>
      <c r="J399" t="s">
        <v>66</v>
      </c>
      <c r="K399" t="s">
        <v>113</v>
      </c>
      <c r="L399" t="s">
        <v>26</v>
      </c>
      <c r="M399" t="s">
        <v>27</v>
      </c>
      <c r="N399" t="s">
        <v>28</v>
      </c>
      <c r="O399">
        <v>3</v>
      </c>
      <c r="P399">
        <v>73014</v>
      </c>
      <c r="Q399">
        <f t="shared" si="6"/>
        <v>7.3013999999999996E-2</v>
      </c>
      <c r="R399">
        <v>43252</v>
      </c>
      <c r="S399" t="s">
        <v>122</v>
      </c>
    </row>
    <row r="400" spans="1:19">
      <c r="A400">
        <v>60000399</v>
      </c>
      <c r="B400">
        <v>40</v>
      </c>
      <c r="C400" t="s">
        <v>18</v>
      </c>
      <c r="D400" t="s">
        <v>19</v>
      </c>
      <c r="E400" t="s">
        <v>48</v>
      </c>
      <c r="F400" t="s">
        <v>21</v>
      </c>
      <c r="G400" s="23">
        <v>0.16</v>
      </c>
      <c r="H400" t="s">
        <v>22</v>
      </c>
      <c r="I400" t="s">
        <v>83</v>
      </c>
      <c r="J400" t="s">
        <v>31</v>
      </c>
      <c r="K400" t="s">
        <v>111</v>
      </c>
      <c r="L400" t="s">
        <v>26</v>
      </c>
      <c r="M400" t="s">
        <v>27</v>
      </c>
      <c r="N400" t="s">
        <v>51</v>
      </c>
      <c r="O400">
        <v>2</v>
      </c>
      <c r="P400">
        <v>48965</v>
      </c>
      <c r="Q400">
        <f t="shared" si="6"/>
        <v>4.8965000000000002E-2</v>
      </c>
      <c r="R400">
        <v>43252</v>
      </c>
      <c r="S400" t="s">
        <v>122</v>
      </c>
    </row>
    <row r="401" spans="1:19">
      <c r="A401">
        <v>60000400</v>
      </c>
      <c r="B401">
        <v>20</v>
      </c>
      <c r="C401" t="s">
        <v>18</v>
      </c>
      <c r="D401" t="s">
        <v>19</v>
      </c>
      <c r="E401" t="s">
        <v>44</v>
      </c>
      <c r="F401" t="s">
        <v>21</v>
      </c>
      <c r="G401" s="23">
        <v>0.15</v>
      </c>
      <c r="H401" t="s">
        <v>22</v>
      </c>
      <c r="I401" t="s">
        <v>83</v>
      </c>
      <c r="J401" t="s">
        <v>88</v>
      </c>
      <c r="K401" t="s">
        <v>62</v>
      </c>
      <c r="L401" t="s">
        <v>119</v>
      </c>
      <c r="M401" t="s">
        <v>27</v>
      </c>
      <c r="N401" t="s">
        <v>51</v>
      </c>
      <c r="O401">
        <v>0</v>
      </c>
      <c r="P401">
        <v>23504</v>
      </c>
      <c r="Q401">
        <f t="shared" si="6"/>
        <v>2.3504000000000001E-2</v>
      </c>
      <c r="R401">
        <v>43252</v>
      </c>
      <c r="S401" t="s">
        <v>122</v>
      </c>
    </row>
    <row r="402" spans="1:19">
      <c r="A402">
        <v>60000401</v>
      </c>
      <c r="B402">
        <v>27</v>
      </c>
      <c r="C402" t="s">
        <v>18</v>
      </c>
      <c r="D402" t="s">
        <v>19</v>
      </c>
      <c r="E402" t="s">
        <v>85</v>
      </c>
      <c r="F402" t="s">
        <v>21</v>
      </c>
      <c r="G402" s="23">
        <v>0.12</v>
      </c>
      <c r="H402" t="s">
        <v>22</v>
      </c>
      <c r="I402" t="s">
        <v>76</v>
      </c>
      <c r="J402" t="s">
        <v>74</v>
      </c>
      <c r="K402" t="s">
        <v>99</v>
      </c>
      <c r="L402" t="s">
        <v>26</v>
      </c>
      <c r="M402" t="s">
        <v>27</v>
      </c>
      <c r="N402" t="s">
        <v>51</v>
      </c>
      <c r="O402">
        <v>0</v>
      </c>
      <c r="P402">
        <v>28997</v>
      </c>
      <c r="Q402">
        <f t="shared" si="6"/>
        <v>2.8996999999999998E-2</v>
      </c>
      <c r="R402">
        <v>43252</v>
      </c>
      <c r="S402" t="s">
        <v>122</v>
      </c>
    </row>
    <row r="403" spans="1:19">
      <c r="A403">
        <v>60000402</v>
      </c>
      <c r="B403">
        <v>20</v>
      </c>
      <c r="C403" t="s">
        <v>33</v>
      </c>
      <c r="D403" t="s">
        <v>40</v>
      </c>
      <c r="E403" t="s">
        <v>52</v>
      </c>
      <c r="F403" t="s">
        <v>21</v>
      </c>
      <c r="G403" s="23">
        <v>0.37</v>
      </c>
      <c r="H403" t="s">
        <v>42</v>
      </c>
      <c r="I403" t="s">
        <v>70</v>
      </c>
      <c r="J403" t="s">
        <v>78</v>
      </c>
      <c r="K403" t="s">
        <v>84</v>
      </c>
      <c r="L403" t="s">
        <v>26</v>
      </c>
      <c r="M403" t="s">
        <v>27</v>
      </c>
      <c r="N403" t="s">
        <v>51</v>
      </c>
      <c r="O403">
        <v>0</v>
      </c>
      <c r="P403">
        <v>29285</v>
      </c>
      <c r="Q403">
        <f t="shared" si="6"/>
        <v>2.9284999999999999E-2</v>
      </c>
      <c r="R403">
        <v>43252</v>
      </c>
      <c r="S403" t="s">
        <v>122</v>
      </c>
    </row>
    <row r="404" spans="1:19">
      <c r="A404">
        <v>60000403</v>
      </c>
      <c r="B404">
        <v>58</v>
      </c>
      <c r="C404" t="s">
        <v>18</v>
      </c>
      <c r="D404" t="s">
        <v>19</v>
      </c>
      <c r="E404" t="s">
        <v>48</v>
      </c>
      <c r="F404" t="s">
        <v>21</v>
      </c>
      <c r="G404" s="23">
        <v>0.14000000000000001</v>
      </c>
      <c r="H404" t="s">
        <v>22</v>
      </c>
      <c r="I404" t="s">
        <v>70</v>
      </c>
      <c r="J404" t="s">
        <v>78</v>
      </c>
      <c r="K404" t="s">
        <v>103</v>
      </c>
      <c r="L404" t="s">
        <v>121</v>
      </c>
      <c r="M404" t="s">
        <v>27</v>
      </c>
      <c r="N404" t="s">
        <v>28</v>
      </c>
      <c r="O404">
        <v>0</v>
      </c>
      <c r="P404">
        <v>47552</v>
      </c>
      <c r="Q404">
        <f t="shared" si="6"/>
        <v>4.7551999999999997E-2</v>
      </c>
      <c r="R404">
        <v>43252</v>
      </c>
      <c r="S404" t="s">
        <v>122</v>
      </c>
    </row>
    <row r="405" spans="1:19">
      <c r="A405">
        <v>60000404</v>
      </c>
      <c r="B405">
        <v>49</v>
      </c>
      <c r="C405" t="s">
        <v>33</v>
      </c>
      <c r="D405" t="s">
        <v>19</v>
      </c>
      <c r="E405" t="s">
        <v>34</v>
      </c>
      <c r="F405" t="s">
        <v>21</v>
      </c>
      <c r="G405" s="23">
        <v>0.36</v>
      </c>
      <c r="H405" t="s">
        <v>42</v>
      </c>
      <c r="I405" t="s">
        <v>80</v>
      </c>
      <c r="J405" t="s">
        <v>66</v>
      </c>
      <c r="K405" t="s">
        <v>104</v>
      </c>
      <c r="L405" t="s">
        <v>121</v>
      </c>
      <c r="M405" t="s">
        <v>27</v>
      </c>
      <c r="N405" t="s">
        <v>51</v>
      </c>
      <c r="O405">
        <v>7</v>
      </c>
      <c r="P405">
        <v>69505</v>
      </c>
      <c r="Q405">
        <f t="shared" si="6"/>
        <v>6.9504999999999997E-2</v>
      </c>
      <c r="R405">
        <v>43252</v>
      </c>
      <c r="S405" t="s">
        <v>122</v>
      </c>
    </row>
    <row r="406" spans="1:19">
      <c r="A406">
        <v>60000405</v>
      </c>
      <c r="B406">
        <v>59</v>
      </c>
      <c r="C406" t="s">
        <v>18</v>
      </c>
      <c r="D406" t="s">
        <v>40</v>
      </c>
      <c r="E406" t="s">
        <v>52</v>
      </c>
      <c r="F406" t="s">
        <v>21</v>
      </c>
      <c r="G406" s="23">
        <v>0.12</v>
      </c>
      <c r="H406" t="s">
        <v>22</v>
      </c>
      <c r="I406" t="s">
        <v>80</v>
      </c>
      <c r="J406" t="s">
        <v>24</v>
      </c>
      <c r="K406" t="s">
        <v>49</v>
      </c>
      <c r="L406" t="s">
        <v>121</v>
      </c>
      <c r="M406" t="s">
        <v>27</v>
      </c>
      <c r="N406" t="s">
        <v>51</v>
      </c>
      <c r="O406">
        <v>0</v>
      </c>
      <c r="P406">
        <v>67632</v>
      </c>
      <c r="Q406">
        <f t="shared" si="6"/>
        <v>6.7631999999999998E-2</v>
      </c>
      <c r="R406">
        <v>43252</v>
      </c>
      <c r="S406" t="s">
        <v>122</v>
      </c>
    </row>
    <row r="407" spans="1:19">
      <c r="A407">
        <v>60000406</v>
      </c>
      <c r="B407">
        <v>20</v>
      </c>
      <c r="C407" t="s">
        <v>33</v>
      </c>
      <c r="D407" t="s">
        <v>19</v>
      </c>
      <c r="E407" t="s">
        <v>41</v>
      </c>
      <c r="F407" t="s">
        <v>21</v>
      </c>
      <c r="G407" s="23">
        <v>0.21</v>
      </c>
      <c r="H407" t="s">
        <v>29</v>
      </c>
      <c r="I407" t="s">
        <v>45</v>
      </c>
      <c r="J407" t="s">
        <v>91</v>
      </c>
      <c r="K407" t="s">
        <v>106</v>
      </c>
      <c r="L407" t="s">
        <v>119</v>
      </c>
      <c r="M407" t="s">
        <v>27</v>
      </c>
      <c r="N407" t="s">
        <v>28</v>
      </c>
      <c r="O407">
        <v>0</v>
      </c>
      <c r="P407">
        <v>60132</v>
      </c>
      <c r="Q407">
        <f t="shared" si="6"/>
        <v>6.0131999999999998E-2</v>
      </c>
      <c r="R407">
        <v>43252</v>
      </c>
      <c r="S407" t="s">
        <v>122</v>
      </c>
    </row>
    <row r="408" spans="1:19">
      <c r="A408">
        <v>60000407</v>
      </c>
      <c r="B408">
        <v>36</v>
      </c>
      <c r="C408" t="s">
        <v>33</v>
      </c>
      <c r="D408" t="s">
        <v>40</v>
      </c>
      <c r="E408" t="s">
        <v>64</v>
      </c>
      <c r="F408" t="s">
        <v>21</v>
      </c>
      <c r="G408" s="23">
        <v>0.38</v>
      </c>
      <c r="H408" t="s">
        <v>42</v>
      </c>
      <c r="I408" t="s">
        <v>37</v>
      </c>
      <c r="J408" t="s">
        <v>46</v>
      </c>
      <c r="K408" t="s">
        <v>107</v>
      </c>
      <c r="L408" t="s">
        <v>26</v>
      </c>
      <c r="M408" t="s">
        <v>27</v>
      </c>
      <c r="N408" t="s">
        <v>51</v>
      </c>
      <c r="O408">
        <v>6</v>
      </c>
      <c r="P408">
        <v>81351</v>
      </c>
      <c r="Q408">
        <f t="shared" si="6"/>
        <v>8.1351000000000007E-2</v>
      </c>
      <c r="R408">
        <v>43252</v>
      </c>
      <c r="S408" t="s">
        <v>122</v>
      </c>
    </row>
    <row r="409" spans="1:19">
      <c r="A409">
        <v>60000408</v>
      </c>
      <c r="B409">
        <v>62</v>
      </c>
      <c r="C409" t="s">
        <v>18</v>
      </c>
      <c r="D409" t="s">
        <v>19</v>
      </c>
      <c r="E409" t="s">
        <v>34</v>
      </c>
      <c r="F409" t="s">
        <v>21</v>
      </c>
      <c r="G409" s="23">
        <v>0.32</v>
      </c>
      <c r="H409" t="s">
        <v>42</v>
      </c>
      <c r="I409" t="s">
        <v>37</v>
      </c>
      <c r="J409" t="s">
        <v>58</v>
      </c>
      <c r="K409" t="s">
        <v>62</v>
      </c>
      <c r="L409" t="s">
        <v>26</v>
      </c>
      <c r="M409" t="s">
        <v>27</v>
      </c>
      <c r="N409" t="s">
        <v>51</v>
      </c>
      <c r="O409">
        <v>1</v>
      </c>
      <c r="P409">
        <v>56880</v>
      </c>
      <c r="Q409">
        <f t="shared" si="6"/>
        <v>5.688E-2</v>
      </c>
      <c r="R409">
        <v>43252</v>
      </c>
      <c r="S409" t="s">
        <v>122</v>
      </c>
    </row>
    <row r="410" spans="1:19">
      <c r="A410">
        <v>60000409</v>
      </c>
      <c r="B410">
        <v>37</v>
      </c>
      <c r="C410" t="s">
        <v>33</v>
      </c>
      <c r="D410" t="s">
        <v>40</v>
      </c>
      <c r="E410" t="s">
        <v>41</v>
      </c>
      <c r="F410" t="s">
        <v>21</v>
      </c>
      <c r="G410" s="23">
        <v>0.3</v>
      </c>
      <c r="H410" t="s">
        <v>53</v>
      </c>
      <c r="I410" t="s">
        <v>70</v>
      </c>
      <c r="J410" t="s">
        <v>54</v>
      </c>
      <c r="K410" t="s">
        <v>111</v>
      </c>
      <c r="L410" t="s">
        <v>119</v>
      </c>
      <c r="M410" t="s">
        <v>27</v>
      </c>
      <c r="N410" t="s">
        <v>28</v>
      </c>
      <c r="O410">
        <v>1</v>
      </c>
      <c r="P410">
        <v>58453</v>
      </c>
      <c r="Q410">
        <f t="shared" si="6"/>
        <v>5.8452999999999998E-2</v>
      </c>
      <c r="R410">
        <v>43252</v>
      </c>
      <c r="S410" t="s">
        <v>122</v>
      </c>
    </row>
    <row r="411" spans="1:19">
      <c r="A411">
        <v>60000410</v>
      </c>
      <c r="B411">
        <v>54</v>
      </c>
      <c r="C411" t="s">
        <v>33</v>
      </c>
      <c r="D411" t="s">
        <v>40</v>
      </c>
      <c r="E411" t="s">
        <v>20</v>
      </c>
      <c r="F411" t="s">
        <v>21</v>
      </c>
      <c r="G411" s="23">
        <v>0.2</v>
      </c>
      <c r="H411" t="s">
        <v>29</v>
      </c>
      <c r="I411" t="s">
        <v>65</v>
      </c>
      <c r="J411" t="s">
        <v>61</v>
      </c>
      <c r="K411" t="s">
        <v>92</v>
      </c>
      <c r="L411" t="s">
        <v>119</v>
      </c>
      <c r="M411" t="s">
        <v>27</v>
      </c>
      <c r="N411" t="s">
        <v>28</v>
      </c>
      <c r="O411">
        <v>5</v>
      </c>
      <c r="P411">
        <v>67984</v>
      </c>
      <c r="Q411">
        <f t="shared" si="6"/>
        <v>6.7984000000000003E-2</v>
      </c>
      <c r="R411">
        <v>43252</v>
      </c>
      <c r="S411" t="s">
        <v>122</v>
      </c>
    </row>
    <row r="412" spans="1:19">
      <c r="A412">
        <v>60000411</v>
      </c>
      <c r="B412">
        <v>55</v>
      </c>
      <c r="C412" t="s">
        <v>18</v>
      </c>
      <c r="D412" t="s">
        <v>19</v>
      </c>
      <c r="E412" t="s">
        <v>44</v>
      </c>
      <c r="F412" t="s">
        <v>21</v>
      </c>
      <c r="G412" s="23">
        <v>0.32</v>
      </c>
      <c r="H412" t="s">
        <v>42</v>
      </c>
      <c r="I412" t="s">
        <v>83</v>
      </c>
      <c r="J412" t="s">
        <v>61</v>
      </c>
      <c r="K412" t="s">
        <v>90</v>
      </c>
      <c r="L412" t="s">
        <v>26</v>
      </c>
      <c r="M412" t="s">
        <v>27</v>
      </c>
      <c r="N412" t="s">
        <v>51</v>
      </c>
      <c r="O412">
        <v>1</v>
      </c>
      <c r="P412">
        <v>72612</v>
      </c>
      <c r="Q412">
        <f t="shared" si="6"/>
        <v>7.2611999999999996E-2</v>
      </c>
      <c r="R412">
        <v>43252</v>
      </c>
      <c r="S412" t="s">
        <v>122</v>
      </c>
    </row>
    <row r="413" spans="1:19">
      <c r="A413">
        <v>60000412</v>
      </c>
      <c r="B413">
        <v>30</v>
      </c>
      <c r="C413" t="s">
        <v>33</v>
      </c>
      <c r="D413" t="s">
        <v>40</v>
      </c>
      <c r="E413" t="s">
        <v>72</v>
      </c>
      <c r="F413" t="s">
        <v>21</v>
      </c>
      <c r="G413" s="23">
        <v>0.33</v>
      </c>
      <c r="H413" t="s">
        <v>42</v>
      </c>
      <c r="I413" t="s">
        <v>86</v>
      </c>
      <c r="J413" t="s">
        <v>54</v>
      </c>
      <c r="K413" t="s">
        <v>102</v>
      </c>
      <c r="L413" t="s">
        <v>121</v>
      </c>
      <c r="M413" t="s">
        <v>27</v>
      </c>
      <c r="N413" t="s">
        <v>51</v>
      </c>
      <c r="O413">
        <v>0</v>
      </c>
      <c r="P413">
        <v>27132</v>
      </c>
      <c r="Q413">
        <f t="shared" si="6"/>
        <v>2.7132E-2</v>
      </c>
      <c r="R413">
        <v>43252</v>
      </c>
      <c r="S413" t="s">
        <v>122</v>
      </c>
    </row>
    <row r="414" spans="1:19">
      <c r="A414">
        <v>60000413</v>
      </c>
      <c r="B414">
        <v>48</v>
      </c>
      <c r="C414" t="s">
        <v>18</v>
      </c>
      <c r="D414" t="s">
        <v>40</v>
      </c>
      <c r="E414" t="s">
        <v>85</v>
      </c>
      <c r="F414" t="s">
        <v>21</v>
      </c>
      <c r="G414" s="23">
        <v>0.36</v>
      </c>
      <c r="H414" t="s">
        <v>42</v>
      </c>
      <c r="I414" t="s">
        <v>73</v>
      </c>
      <c r="J414" t="s">
        <v>58</v>
      </c>
      <c r="K414" t="s">
        <v>97</v>
      </c>
      <c r="L414" t="s">
        <v>26</v>
      </c>
      <c r="M414" t="s">
        <v>27</v>
      </c>
      <c r="N414" t="s">
        <v>51</v>
      </c>
      <c r="O414">
        <v>0</v>
      </c>
      <c r="P414">
        <v>42131</v>
      </c>
      <c r="Q414">
        <f t="shared" si="6"/>
        <v>4.2131000000000002E-2</v>
      </c>
      <c r="R414">
        <v>43252</v>
      </c>
      <c r="S414" t="s">
        <v>122</v>
      </c>
    </row>
    <row r="415" spans="1:19">
      <c r="A415">
        <v>60000414</v>
      </c>
      <c r="B415">
        <v>57</v>
      </c>
      <c r="C415" t="s">
        <v>33</v>
      </c>
      <c r="D415" t="s">
        <v>19</v>
      </c>
      <c r="E415" t="s">
        <v>67</v>
      </c>
      <c r="F415" t="s">
        <v>21</v>
      </c>
      <c r="G415" s="23">
        <v>0.21</v>
      </c>
      <c r="H415" t="s">
        <v>29</v>
      </c>
      <c r="I415" t="s">
        <v>70</v>
      </c>
      <c r="J415" t="s">
        <v>46</v>
      </c>
      <c r="K415" t="s">
        <v>79</v>
      </c>
      <c r="L415" t="s">
        <v>119</v>
      </c>
      <c r="M415" t="s">
        <v>27</v>
      </c>
      <c r="N415" t="s">
        <v>51</v>
      </c>
      <c r="O415">
        <v>4</v>
      </c>
      <c r="P415">
        <v>31293</v>
      </c>
      <c r="Q415">
        <f t="shared" si="6"/>
        <v>3.1293000000000001E-2</v>
      </c>
      <c r="R415">
        <v>43252</v>
      </c>
      <c r="S415" t="s">
        <v>122</v>
      </c>
    </row>
    <row r="416" spans="1:19">
      <c r="A416">
        <v>60000415</v>
      </c>
      <c r="B416">
        <v>36</v>
      </c>
      <c r="C416" t="s">
        <v>18</v>
      </c>
      <c r="D416" t="s">
        <v>19</v>
      </c>
      <c r="E416" t="s">
        <v>64</v>
      </c>
      <c r="F416" t="s">
        <v>21</v>
      </c>
      <c r="G416" s="23">
        <v>0.28000000000000003</v>
      </c>
      <c r="H416" t="s">
        <v>53</v>
      </c>
      <c r="I416" t="s">
        <v>57</v>
      </c>
      <c r="J416" t="s">
        <v>61</v>
      </c>
      <c r="K416" t="s">
        <v>102</v>
      </c>
      <c r="L416" t="s">
        <v>26</v>
      </c>
      <c r="M416" t="s">
        <v>27</v>
      </c>
      <c r="N416" t="s">
        <v>28</v>
      </c>
      <c r="O416">
        <v>4</v>
      </c>
      <c r="P416">
        <v>50744</v>
      </c>
      <c r="Q416">
        <f t="shared" si="6"/>
        <v>5.0743999999999997E-2</v>
      </c>
      <c r="R416">
        <v>43252</v>
      </c>
      <c r="S416" t="s">
        <v>122</v>
      </c>
    </row>
    <row r="417" spans="1:19">
      <c r="A417">
        <v>60000416</v>
      </c>
      <c r="B417">
        <v>54</v>
      </c>
      <c r="C417" t="s">
        <v>18</v>
      </c>
      <c r="D417" t="s">
        <v>40</v>
      </c>
      <c r="E417" t="s">
        <v>34</v>
      </c>
      <c r="F417" t="s">
        <v>21</v>
      </c>
      <c r="G417" s="23">
        <v>0.3</v>
      </c>
      <c r="H417" t="s">
        <v>53</v>
      </c>
      <c r="I417" t="s">
        <v>68</v>
      </c>
      <c r="J417" t="s">
        <v>61</v>
      </c>
      <c r="K417" t="s">
        <v>117</v>
      </c>
      <c r="L417" t="s">
        <v>121</v>
      </c>
      <c r="M417" t="s">
        <v>27</v>
      </c>
      <c r="N417" t="s">
        <v>28</v>
      </c>
      <c r="O417">
        <v>0</v>
      </c>
      <c r="P417">
        <v>27824</v>
      </c>
      <c r="Q417">
        <f t="shared" si="6"/>
        <v>2.7824000000000002E-2</v>
      </c>
      <c r="R417">
        <v>43252</v>
      </c>
      <c r="S417" t="s">
        <v>122</v>
      </c>
    </row>
    <row r="418" spans="1:19">
      <c r="A418">
        <v>60000417</v>
      </c>
      <c r="B418">
        <v>40</v>
      </c>
      <c r="C418" t="s">
        <v>18</v>
      </c>
      <c r="D418" t="s">
        <v>40</v>
      </c>
      <c r="E418" t="s">
        <v>85</v>
      </c>
      <c r="F418" t="s">
        <v>21</v>
      </c>
      <c r="G418" s="23">
        <v>0.19</v>
      </c>
      <c r="H418" t="s">
        <v>29</v>
      </c>
      <c r="I418" t="s">
        <v>45</v>
      </c>
      <c r="J418" t="s">
        <v>54</v>
      </c>
      <c r="K418" t="s">
        <v>107</v>
      </c>
      <c r="L418" t="s">
        <v>26</v>
      </c>
      <c r="M418" t="s">
        <v>27</v>
      </c>
      <c r="N418" t="s">
        <v>51</v>
      </c>
      <c r="O418">
        <v>3</v>
      </c>
      <c r="P418">
        <v>37576</v>
      </c>
      <c r="Q418">
        <f t="shared" si="6"/>
        <v>3.7575999999999998E-2</v>
      </c>
      <c r="R418">
        <v>43252</v>
      </c>
      <c r="S418" t="s">
        <v>122</v>
      </c>
    </row>
    <row r="419" spans="1:19">
      <c r="A419">
        <v>60000418</v>
      </c>
      <c r="B419">
        <v>34</v>
      </c>
      <c r="C419" t="s">
        <v>18</v>
      </c>
      <c r="D419" t="s">
        <v>19</v>
      </c>
      <c r="E419" t="s">
        <v>34</v>
      </c>
      <c r="F419" t="s">
        <v>21</v>
      </c>
      <c r="G419" s="23">
        <v>0.2</v>
      </c>
      <c r="H419" t="s">
        <v>29</v>
      </c>
      <c r="I419" t="s">
        <v>83</v>
      </c>
      <c r="J419" t="s">
        <v>91</v>
      </c>
      <c r="K419" t="s">
        <v>98</v>
      </c>
      <c r="L419" t="s">
        <v>26</v>
      </c>
      <c r="M419" t="s">
        <v>27</v>
      </c>
      <c r="N419" t="s">
        <v>28</v>
      </c>
      <c r="O419">
        <v>0</v>
      </c>
      <c r="P419">
        <v>28458</v>
      </c>
      <c r="Q419">
        <f t="shared" si="6"/>
        <v>2.8458000000000001E-2</v>
      </c>
      <c r="R419">
        <v>43252</v>
      </c>
      <c r="S419" t="s">
        <v>122</v>
      </c>
    </row>
    <row r="420" spans="1:19">
      <c r="A420">
        <v>60000419</v>
      </c>
      <c r="B420">
        <v>30</v>
      </c>
      <c r="C420" t="s">
        <v>18</v>
      </c>
      <c r="D420" t="s">
        <v>40</v>
      </c>
      <c r="E420" t="s">
        <v>44</v>
      </c>
      <c r="F420" t="s">
        <v>21</v>
      </c>
      <c r="G420" s="23">
        <v>0.18</v>
      </c>
      <c r="H420" t="s">
        <v>22</v>
      </c>
      <c r="I420" t="s">
        <v>65</v>
      </c>
      <c r="J420" t="s">
        <v>61</v>
      </c>
      <c r="K420" t="s">
        <v>101</v>
      </c>
      <c r="L420" t="s">
        <v>119</v>
      </c>
      <c r="M420" t="s">
        <v>27</v>
      </c>
      <c r="N420" t="s">
        <v>51</v>
      </c>
      <c r="O420">
        <v>0</v>
      </c>
      <c r="P420">
        <v>23995</v>
      </c>
      <c r="Q420">
        <f t="shared" si="6"/>
        <v>2.3994999999999999E-2</v>
      </c>
      <c r="R420">
        <v>43252</v>
      </c>
      <c r="S420" t="s">
        <v>122</v>
      </c>
    </row>
    <row r="421" spans="1:19">
      <c r="A421">
        <v>60000420</v>
      </c>
      <c r="B421">
        <v>50</v>
      </c>
      <c r="C421" t="s">
        <v>33</v>
      </c>
      <c r="D421" t="s">
        <v>19</v>
      </c>
      <c r="E421" t="s">
        <v>85</v>
      </c>
      <c r="F421" t="s">
        <v>21</v>
      </c>
      <c r="G421" s="23">
        <v>0.26</v>
      </c>
      <c r="H421" t="s">
        <v>53</v>
      </c>
      <c r="I421" t="s">
        <v>83</v>
      </c>
      <c r="J421" t="s">
        <v>46</v>
      </c>
      <c r="K421" t="s">
        <v>63</v>
      </c>
      <c r="L421" t="s">
        <v>119</v>
      </c>
      <c r="M421" t="s">
        <v>27</v>
      </c>
      <c r="N421" t="s">
        <v>51</v>
      </c>
      <c r="O421">
        <v>5</v>
      </c>
      <c r="P421">
        <v>23626</v>
      </c>
      <c r="Q421">
        <f t="shared" si="6"/>
        <v>2.3626000000000001E-2</v>
      </c>
      <c r="R421">
        <v>43252</v>
      </c>
      <c r="S421" t="s">
        <v>122</v>
      </c>
    </row>
    <row r="422" spans="1:19">
      <c r="A422">
        <v>60000421</v>
      </c>
      <c r="B422">
        <v>61</v>
      </c>
      <c r="C422" t="s">
        <v>33</v>
      </c>
      <c r="D422" t="s">
        <v>40</v>
      </c>
      <c r="E422" t="s">
        <v>20</v>
      </c>
      <c r="F422" t="s">
        <v>21</v>
      </c>
      <c r="G422" s="23">
        <v>0.1</v>
      </c>
      <c r="H422" t="s">
        <v>36</v>
      </c>
      <c r="I422" t="s">
        <v>68</v>
      </c>
      <c r="J422" t="s">
        <v>24</v>
      </c>
      <c r="K422" t="s">
        <v>104</v>
      </c>
      <c r="L422" t="s">
        <v>121</v>
      </c>
      <c r="M422" t="s">
        <v>27</v>
      </c>
      <c r="N422" t="s">
        <v>28</v>
      </c>
      <c r="O422">
        <v>5</v>
      </c>
      <c r="P422">
        <v>24556</v>
      </c>
      <c r="Q422">
        <f t="shared" si="6"/>
        <v>2.4556000000000001E-2</v>
      </c>
      <c r="R422">
        <v>43252</v>
      </c>
      <c r="S422" t="s">
        <v>122</v>
      </c>
    </row>
    <row r="423" spans="1:19">
      <c r="A423">
        <v>60000422</v>
      </c>
      <c r="B423">
        <v>23</v>
      </c>
      <c r="C423" t="s">
        <v>18</v>
      </c>
      <c r="D423" t="s">
        <v>19</v>
      </c>
      <c r="E423" t="s">
        <v>64</v>
      </c>
      <c r="F423" t="s">
        <v>21</v>
      </c>
      <c r="G423" s="23">
        <v>0.12</v>
      </c>
      <c r="H423" t="s">
        <v>22</v>
      </c>
      <c r="I423" t="s">
        <v>60</v>
      </c>
      <c r="J423" t="s">
        <v>38</v>
      </c>
      <c r="K423" t="s">
        <v>71</v>
      </c>
      <c r="L423" t="s">
        <v>121</v>
      </c>
      <c r="M423" t="s">
        <v>27</v>
      </c>
      <c r="N423" t="s">
        <v>51</v>
      </c>
      <c r="O423">
        <v>7</v>
      </c>
      <c r="P423">
        <v>36555</v>
      </c>
      <c r="Q423">
        <f t="shared" si="6"/>
        <v>3.6554999999999997E-2</v>
      </c>
      <c r="R423">
        <v>43252</v>
      </c>
      <c r="S423" t="s">
        <v>122</v>
      </c>
    </row>
    <row r="424" spans="1:19">
      <c r="A424">
        <v>60000423</v>
      </c>
      <c r="B424">
        <v>33</v>
      </c>
      <c r="C424" t="s">
        <v>33</v>
      </c>
      <c r="D424" t="s">
        <v>19</v>
      </c>
      <c r="E424" t="s">
        <v>44</v>
      </c>
      <c r="F424" t="s">
        <v>21</v>
      </c>
      <c r="G424" s="23">
        <v>0.3</v>
      </c>
      <c r="H424" t="s">
        <v>53</v>
      </c>
      <c r="I424" t="s">
        <v>83</v>
      </c>
      <c r="J424" t="s">
        <v>31</v>
      </c>
      <c r="K424" t="s">
        <v>115</v>
      </c>
      <c r="L424" t="s">
        <v>119</v>
      </c>
      <c r="M424" t="s">
        <v>27</v>
      </c>
      <c r="N424" t="s">
        <v>28</v>
      </c>
      <c r="O424">
        <v>0</v>
      </c>
      <c r="P424">
        <v>61440</v>
      </c>
      <c r="Q424">
        <f t="shared" si="6"/>
        <v>6.1440000000000002E-2</v>
      </c>
      <c r="R424">
        <v>43252</v>
      </c>
      <c r="S424" t="s">
        <v>122</v>
      </c>
    </row>
    <row r="425" spans="1:19">
      <c r="A425">
        <v>60000424</v>
      </c>
      <c r="B425">
        <v>22</v>
      </c>
      <c r="C425" t="s">
        <v>33</v>
      </c>
      <c r="D425" t="s">
        <v>40</v>
      </c>
      <c r="E425" t="s">
        <v>41</v>
      </c>
      <c r="F425" t="s">
        <v>21</v>
      </c>
      <c r="G425" s="23">
        <v>0.16</v>
      </c>
      <c r="H425" t="s">
        <v>22</v>
      </c>
      <c r="I425" t="s">
        <v>68</v>
      </c>
      <c r="J425" t="s">
        <v>58</v>
      </c>
      <c r="K425" t="s">
        <v>89</v>
      </c>
      <c r="L425" t="s">
        <v>119</v>
      </c>
      <c r="M425" t="s">
        <v>27</v>
      </c>
      <c r="N425" t="s">
        <v>51</v>
      </c>
      <c r="O425">
        <v>7</v>
      </c>
      <c r="P425">
        <v>38307</v>
      </c>
      <c r="Q425">
        <f t="shared" si="6"/>
        <v>3.8307000000000001E-2</v>
      </c>
      <c r="R425">
        <v>43252</v>
      </c>
      <c r="S425" t="s">
        <v>122</v>
      </c>
    </row>
    <row r="426" spans="1:19">
      <c r="A426">
        <v>60000425</v>
      </c>
      <c r="B426">
        <v>55</v>
      </c>
      <c r="C426" t="s">
        <v>33</v>
      </c>
      <c r="D426" t="s">
        <v>19</v>
      </c>
      <c r="E426" t="s">
        <v>34</v>
      </c>
      <c r="F426" t="s">
        <v>21</v>
      </c>
      <c r="G426" s="23">
        <v>0.24</v>
      </c>
      <c r="H426" t="s">
        <v>29</v>
      </c>
      <c r="I426" t="s">
        <v>86</v>
      </c>
      <c r="J426" t="s">
        <v>46</v>
      </c>
      <c r="K426" t="s">
        <v>62</v>
      </c>
      <c r="L426" t="s">
        <v>26</v>
      </c>
      <c r="M426" t="s">
        <v>27</v>
      </c>
      <c r="N426" t="s">
        <v>28</v>
      </c>
      <c r="O426">
        <v>0</v>
      </c>
      <c r="P426">
        <v>49359</v>
      </c>
      <c r="Q426">
        <f t="shared" si="6"/>
        <v>4.9359E-2</v>
      </c>
      <c r="R426">
        <v>43252</v>
      </c>
      <c r="S426" t="s">
        <v>122</v>
      </c>
    </row>
    <row r="427" spans="1:19">
      <c r="A427">
        <v>60000426</v>
      </c>
      <c r="B427">
        <v>34</v>
      </c>
      <c r="C427" t="s">
        <v>33</v>
      </c>
      <c r="D427" t="s">
        <v>40</v>
      </c>
      <c r="E427" t="s">
        <v>41</v>
      </c>
      <c r="F427" t="s">
        <v>21</v>
      </c>
      <c r="G427" s="23">
        <v>0.1</v>
      </c>
      <c r="H427" t="s">
        <v>36</v>
      </c>
      <c r="I427" t="s">
        <v>65</v>
      </c>
      <c r="J427" t="s">
        <v>61</v>
      </c>
      <c r="K427" t="s">
        <v>32</v>
      </c>
      <c r="L427" t="s">
        <v>121</v>
      </c>
      <c r="M427" t="s">
        <v>27</v>
      </c>
      <c r="N427" t="s">
        <v>51</v>
      </c>
      <c r="O427">
        <v>4</v>
      </c>
      <c r="P427">
        <v>73142</v>
      </c>
      <c r="Q427">
        <f t="shared" si="6"/>
        <v>7.3141999999999999E-2</v>
      </c>
      <c r="R427">
        <v>43252</v>
      </c>
      <c r="S427" t="s">
        <v>122</v>
      </c>
    </row>
    <row r="428" spans="1:19">
      <c r="A428">
        <v>60000427</v>
      </c>
      <c r="B428">
        <v>49</v>
      </c>
      <c r="C428" t="s">
        <v>33</v>
      </c>
      <c r="D428" t="s">
        <v>40</v>
      </c>
      <c r="E428" t="s">
        <v>48</v>
      </c>
      <c r="F428" t="s">
        <v>21</v>
      </c>
      <c r="G428" s="23">
        <v>0.22</v>
      </c>
      <c r="H428" t="s">
        <v>29</v>
      </c>
      <c r="I428" t="s">
        <v>30</v>
      </c>
      <c r="J428" t="s">
        <v>31</v>
      </c>
      <c r="K428" t="s">
        <v>63</v>
      </c>
      <c r="L428" t="s">
        <v>26</v>
      </c>
      <c r="M428" t="s">
        <v>27</v>
      </c>
      <c r="N428" t="s">
        <v>51</v>
      </c>
      <c r="O428">
        <v>4</v>
      </c>
      <c r="P428">
        <v>36101</v>
      </c>
      <c r="Q428">
        <f t="shared" si="6"/>
        <v>3.6101000000000001E-2</v>
      </c>
      <c r="R428">
        <v>43252</v>
      </c>
      <c r="S428" t="s">
        <v>122</v>
      </c>
    </row>
    <row r="429" spans="1:19">
      <c r="A429">
        <v>60000428</v>
      </c>
      <c r="B429">
        <v>47</v>
      </c>
      <c r="C429" t="s">
        <v>33</v>
      </c>
      <c r="D429" t="s">
        <v>40</v>
      </c>
      <c r="E429" t="s">
        <v>72</v>
      </c>
      <c r="F429" t="s">
        <v>21</v>
      </c>
      <c r="G429" s="23">
        <v>0.35</v>
      </c>
      <c r="H429" t="s">
        <v>42</v>
      </c>
      <c r="I429" t="s">
        <v>62</v>
      </c>
      <c r="J429" t="s">
        <v>91</v>
      </c>
      <c r="K429" t="s">
        <v>55</v>
      </c>
      <c r="L429" t="s">
        <v>119</v>
      </c>
      <c r="M429" t="s">
        <v>27</v>
      </c>
      <c r="N429" t="s">
        <v>51</v>
      </c>
      <c r="O429">
        <v>5</v>
      </c>
      <c r="P429">
        <v>25090</v>
      </c>
      <c r="Q429">
        <f t="shared" si="6"/>
        <v>2.5090000000000001E-2</v>
      </c>
      <c r="R429">
        <v>43252</v>
      </c>
      <c r="S429" t="s">
        <v>122</v>
      </c>
    </row>
    <row r="430" spans="1:19">
      <c r="A430">
        <v>60000429</v>
      </c>
      <c r="B430">
        <v>36</v>
      </c>
      <c r="C430" t="s">
        <v>18</v>
      </c>
      <c r="D430" t="s">
        <v>40</v>
      </c>
      <c r="E430" t="s">
        <v>34</v>
      </c>
      <c r="F430" t="s">
        <v>21</v>
      </c>
      <c r="G430" s="23">
        <v>0.33</v>
      </c>
      <c r="H430" t="s">
        <v>42</v>
      </c>
      <c r="I430" t="s">
        <v>49</v>
      </c>
      <c r="J430" t="s">
        <v>66</v>
      </c>
      <c r="K430" t="s">
        <v>117</v>
      </c>
      <c r="L430" t="s">
        <v>119</v>
      </c>
      <c r="M430" t="s">
        <v>27</v>
      </c>
      <c r="N430" t="s">
        <v>51</v>
      </c>
      <c r="O430">
        <v>0</v>
      </c>
      <c r="P430">
        <v>41042</v>
      </c>
      <c r="Q430">
        <f t="shared" ref="Q430:Q493" si="7">+P430/1000000</f>
        <v>4.1042000000000002E-2</v>
      </c>
      <c r="R430">
        <v>43252</v>
      </c>
      <c r="S430" t="s">
        <v>122</v>
      </c>
    </row>
    <row r="431" spans="1:19">
      <c r="A431">
        <v>60000430</v>
      </c>
      <c r="B431">
        <v>29</v>
      </c>
      <c r="C431" t="s">
        <v>18</v>
      </c>
      <c r="D431" t="s">
        <v>40</v>
      </c>
      <c r="E431" t="s">
        <v>48</v>
      </c>
      <c r="F431" t="s">
        <v>21</v>
      </c>
      <c r="G431" s="23">
        <v>0.21</v>
      </c>
      <c r="H431" t="s">
        <v>29</v>
      </c>
      <c r="I431" t="s">
        <v>49</v>
      </c>
      <c r="J431" t="s">
        <v>38</v>
      </c>
      <c r="K431" t="s">
        <v>110</v>
      </c>
      <c r="L431" t="s">
        <v>26</v>
      </c>
      <c r="M431" t="s">
        <v>27</v>
      </c>
      <c r="N431" t="s">
        <v>51</v>
      </c>
      <c r="O431">
        <v>0</v>
      </c>
      <c r="P431">
        <v>60451</v>
      </c>
      <c r="Q431">
        <f t="shared" si="7"/>
        <v>6.0450999999999998E-2</v>
      </c>
      <c r="R431">
        <v>43252</v>
      </c>
      <c r="S431" t="s">
        <v>122</v>
      </c>
    </row>
    <row r="432" spans="1:19">
      <c r="A432">
        <v>60000431</v>
      </c>
      <c r="B432">
        <v>54</v>
      </c>
      <c r="C432" t="s">
        <v>18</v>
      </c>
      <c r="D432" t="s">
        <v>40</v>
      </c>
      <c r="E432" t="s">
        <v>41</v>
      </c>
      <c r="F432" t="s">
        <v>21</v>
      </c>
      <c r="G432" s="23">
        <v>0.12</v>
      </c>
      <c r="H432" t="s">
        <v>22</v>
      </c>
      <c r="I432" t="s">
        <v>86</v>
      </c>
      <c r="J432" t="s">
        <v>69</v>
      </c>
      <c r="K432" t="s">
        <v>83</v>
      </c>
      <c r="L432" t="s">
        <v>26</v>
      </c>
      <c r="M432" t="s">
        <v>27</v>
      </c>
      <c r="N432" t="s">
        <v>51</v>
      </c>
      <c r="O432">
        <v>6</v>
      </c>
      <c r="P432">
        <v>26178</v>
      </c>
      <c r="Q432">
        <f t="shared" si="7"/>
        <v>2.6178E-2</v>
      </c>
      <c r="R432">
        <v>43252</v>
      </c>
      <c r="S432" t="s">
        <v>122</v>
      </c>
    </row>
    <row r="433" spans="1:19">
      <c r="A433">
        <v>60000432</v>
      </c>
      <c r="B433">
        <v>31</v>
      </c>
      <c r="C433" t="s">
        <v>33</v>
      </c>
      <c r="D433" t="s">
        <v>19</v>
      </c>
      <c r="E433" t="s">
        <v>75</v>
      </c>
      <c r="F433" t="s">
        <v>21</v>
      </c>
      <c r="G433" s="23">
        <v>0.22</v>
      </c>
      <c r="H433" t="s">
        <v>29</v>
      </c>
      <c r="I433" t="s">
        <v>60</v>
      </c>
      <c r="J433" t="s">
        <v>66</v>
      </c>
      <c r="K433" t="s">
        <v>55</v>
      </c>
      <c r="L433" t="s">
        <v>26</v>
      </c>
      <c r="M433" t="s">
        <v>27</v>
      </c>
      <c r="N433" t="s">
        <v>51</v>
      </c>
      <c r="O433">
        <v>1</v>
      </c>
      <c r="P433">
        <v>57367</v>
      </c>
      <c r="Q433">
        <f t="shared" si="7"/>
        <v>5.7367000000000001E-2</v>
      </c>
      <c r="R433">
        <v>43252</v>
      </c>
      <c r="S433" t="s">
        <v>122</v>
      </c>
    </row>
    <row r="434" spans="1:19">
      <c r="A434">
        <v>60000433</v>
      </c>
      <c r="B434">
        <v>29</v>
      </c>
      <c r="C434" t="s">
        <v>18</v>
      </c>
      <c r="D434" t="s">
        <v>40</v>
      </c>
      <c r="E434" t="s">
        <v>44</v>
      </c>
      <c r="F434" t="s">
        <v>21</v>
      </c>
      <c r="G434" s="23">
        <v>0.33</v>
      </c>
      <c r="H434" t="s">
        <v>42</v>
      </c>
      <c r="I434" t="s">
        <v>70</v>
      </c>
      <c r="J434" t="s">
        <v>91</v>
      </c>
      <c r="K434" t="s">
        <v>47</v>
      </c>
      <c r="L434" t="s">
        <v>121</v>
      </c>
      <c r="M434" t="s">
        <v>27</v>
      </c>
      <c r="N434" t="s">
        <v>51</v>
      </c>
      <c r="O434">
        <v>0</v>
      </c>
      <c r="P434">
        <v>70761</v>
      </c>
      <c r="Q434">
        <f t="shared" si="7"/>
        <v>7.0761000000000004E-2</v>
      </c>
      <c r="R434">
        <v>43252</v>
      </c>
      <c r="S434" t="s">
        <v>122</v>
      </c>
    </row>
    <row r="435" spans="1:19">
      <c r="A435">
        <v>60000434</v>
      </c>
      <c r="B435">
        <v>51</v>
      </c>
      <c r="C435" t="s">
        <v>18</v>
      </c>
      <c r="D435" t="s">
        <v>19</v>
      </c>
      <c r="E435" t="s">
        <v>56</v>
      </c>
      <c r="F435" t="s">
        <v>21</v>
      </c>
      <c r="G435" s="23">
        <v>0.13</v>
      </c>
      <c r="H435" t="s">
        <v>22</v>
      </c>
      <c r="I435" t="s">
        <v>65</v>
      </c>
      <c r="J435" t="s">
        <v>88</v>
      </c>
      <c r="K435" t="s">
        <v>118</v>
      </c>
      <c r="L435" t="s">
        <v>26</v>
      </c>
      <c r="M435" t="s">
        <v>27</v>
      </c>
      <c r="N435" t="s">
        <v>28</v>
      </c>
      <c r="O435">
        <v>2</v>
      </c>
      <c r="P435">
        <v>26855</v>
      </c>
      <c r="Q435">
        <f t="shared" si="7"/>
        <v>2.6855E-2</v>
      </c>
      <c r="R435">
        <v>43252</v>
      </c>
      <c r="S435" t="s">
        <v>122</v>
      </c>
    </row>
    <row r="436" spans="1:19">
      <c r="A436">
        <v>60000435</v>
      </c>
      <c r="B436">
        <v>50</v>
      </c>
      <c r="C436" t="s">
        <v>33</v>
      </c>
      <c r="D436" t="s">
        <v>19</v>
      </c>
      <c r="E436" t="s">
        <v>34</v>
      </c>
      <c r="F436" t="s">
        <v>21</v>
      </c>
      <c r="G436" s="23">
        <v>0.33</v>
      </c>
      <c r="H436" t="s">
        <v>42</v>
      </c>
      <c r="I436" t="s">
        <v>62</v>
      </c>
      <c r="J436" t="s">
        <v>31</v>
      </c>
      <c r="K436" t="s">
        <v>55</v>
      </c>
      <c r="L436" t="s">
        <v>121</v>
      </c>
      <c r="M436" t="s">
        <v>27</v>
      </c>
      <c r="N436" t="s">
        <v>28</v>
      </c>
      <c r="O436">
        <v>0</v>
      </c>
      <c r="P436">
        <v>78889</v>
      </c>
      <c r="Q436">
        <f t="shared" si="7"/>
        <v>7.8889000000000001E-2</v>
      </c>
      <c r="R436">
        <v>43252</v>
      </c>
      <c r="S436" t="s">
        <v>122</v>
      </c>
    </row>
    <row r="437" spans="1:19">
      <c r="A437">
        <v>60000436</v>
      </c>
      <c r="B437">
        <v>65</v>
      </c>
      <c r="C437" t="s">
        <v>33</v>
      </c>
      <c r="D437" t="s">
        <v>19</v>
      </c>
      <c r="E437" t="s">
        <v>41</v>
      </c>
      <c r="F437" t="s">
        <v>21</v>
      </c>
      <c r="G437" s="23">
        <v>0.38</v>
      </c>
      <c r="H437" t="s">
        <v>42</v>
      </c>
      <c r="I437" t="s">
        <v>68</v>
      </c>
      <c r="J437" t="s">
        <v>91</v>
      </c>
      <c r="K437" t="s">
        <v>49</v>
      </c>
      <c r="L437" t="s">
        <v>119</v>
      </c>
      <c r="M437" t="s">
        <v>27</v>
      </c>
      <c r="N437" t="s">
        <v>28</v>
      </c>
      <c r="O437">
        <v>3</v>
      </c>
      <c r="P437">
        <v>34581</v>
      </c>
      <c r="Q437">
        <f t="shared" si="7"/>
        <v>3.4581000000000001E-2</v>
      </c>
      <c r="R437">
        <v>43252</v>
      </c>
      <c r="S437" t="s">
        <v>122</v>
      </c>
    </row>
    <row r="438" spans="1:19">
      <c r="A438">
        <v>60000437</v>
      </c>
      <c r="B438">
        <v>55</v>
      </c>
      <c r="C438" t="s">
        <v>18</v>
      </c>
      <c r="D438" t="s">
        <v>40</v>
      </c>
      <c r="E438" t="s">
        <v>44</v>
      </c>
      <c r="F438" t="s">
        <v>21</v>
      </c>
      <c r="G438" s="23">
        <v>0.37</v>
      </c>
      <c r="H438" t="s">
        <v>42</v>
      </c>
      <c r="I438" t="s">
        <v>73</v>
      </c>
      <c r="J438" t="s">
        <v>69</v>
      </c>
      <c r="K438" t="s">
        <v>87</v>
      </c>
      <c r="L438" t="s">
        <v>26</v>
      </c>
      <c r="M438" t="s">
        <v>27</v>
      </c>
      <c r="N438" t="s">
        <v>28</v>
      </c>
      <c r="O438">
        <v>0</v>
      </c>
      <c r="P438">
        <v>38750</v>
      </c>
      <c r="Q438">
        <f t="shared" si="7"/>
        <v>3.875E-2</v>
      </c>
      <c r="R438">
        <v>43252</v>
      </c>
      <c r="S438" t="s">
        <v>122</v>
      </c>
    </row>
    <row r="439" spans="1:19">
      <c r="A439">
        <v>60000438</v>
      </c>
      <c r="B439">
        <v>26</v>
      </c>
      <c r="C439" t="s">
        <v>18</v>
      </c>
      <c r="D439" t="s">
        <v>40</v>
      </c>
      <c r="E439" t="s">
        <v>52</v>
      </c>
      <c r="F439" t="s">
        <v>21</v>
      </c>
      <c r="G439" s="23">
        <v>0.15</v>
      </c>
      <c r="H439" t="s">
        <v>22</v>
      </c>
      <c r="I439" t="s">
        <v>37</v>
      </c>
      <c r="J439" t="s">
        <v>88</v>
      </c>
      <c r="K439" t="s">
        <v>97</v>
      </c>
      <c r="L439" t="s">
        <v>26</v>
      </c>
      <c r="M439" t="s">
        <v>27</v>
      </c>
      <c r="N439" t="s">
        <v>51</v>
      </c>
      <c r="O439">
        <v>3</v>
      </c>
      <c r="P439">
        <v>27003</v>
      </c>
      <c r="Q439">
        <f t="shared" si="7"/>
        <v>2.7002999999999999E-2</v>
      </c>
      <c r="R439">
        <v>43252</v>
      </c>
      <c r="S439" t="s">
        <v>122</v>
      </c>
    </row>
    <row r="440" spans="1:19">
      <c r="A440">
        <v>60000439</v>
      </c>
      <c r="B440">
        <v>21</v>
      </c>
      <c r="C440" t="s">
        <v>33</v>
      </c>
      <c r="D440" t="s">
        <v>19</v>
      </c>
      <c r="E440" t="s">
        <v>20</v>
      </c>
      <c r="F440" t="s">
        <v>21</v>
      </c>
      <c r="G440" s="23">
        <v>0.1</v>
      </c>
      <c r="H440" t="s">
        <v>36</v>
      </c>
      <c r="I440" t="s">
        <v>37</v>
      </c>
      <c r="J440" t="s">
        <v>31</v>
      </c>
      <c r="K440" t="s">
        <v>79</v>
      </c>
      <c r="L440" t="s">
        <v>119</v>
      </c>
      <c r="M440" t="s">
        <v>27</v>
      </c>
      <c r="N440" t="s">
        <v>28</v>
      </c>
      <c r="O440">
        <v>7</v>
      </c>
      <c r="P440">
        <v>35593</v>
      </c>
      <c r="Q440">
        <f t="shared" si="7"/>
        <v>3.5593E-2</v>
      </c>
      <c r="R440">
        <v>43252</v>
      </c>
      <c r="S440" t="s">
        <v>122</v>
      </c>
    </row>
    <row r="441" spans="1:19">
      <c r="A441">
        <v>60000440</v>
      </c>
      <c r="B441">
        <v>49</v>
      </c>
      <c r="C441" t="s">
        <v>18</v>
      </c>
      <c r="D441" t="s">
        <v>19</v>
      </c>
      <c r="E441" t="s">
        <v>44</v>
      </c>
      <c r="F441" t="s">
        <v>120</v>
      </c>
      <c r="G441" s="23">
        <v>0.18</v>
      </c>
      <c r="H441" t="s">
        <v>22</v>
      </c>
      <c r="I441" t="s">
        <v>65</v>
      </c>
      <c r="J441" t="s">
        <v>24</v>
      </c>
      <c r="K441" t="s">
        <v>111</v>
      </c>
      <c r="L441" t="s">
        <v>121</v>
      </c>
      <c r="M441" t="s">
        <v>27</v>
      </c>
      <c r="N441" t="s">
        <v>28</v>
      </c>
      <c r="O441">
        <v>4</v>
      </c>
      <c r="P441">
        <v>54011</v>
      </c>
      <c r="Q441">
        <f t="shared" si="7"/>
        <v>5.4011000000000003E-2</v>
      </c>
      <c r="R441">
        <v>43252</v>
      </c>
      <c r="S441" t="s">
        <v>122</v>
      </c>
    </row>
    <row r="442" spans="1:19">
      <c r="A442">
        <v>60000441</v>
      </c>
      <c r="B442">
        <v>21</v>
      </c>
      <c r="C442" t="s">
        <v>18</v>
      </c>
      <c r="D442" t="s">
        <v>19</v>
      </c>
      <c r="E442" t="s">
        <v>48</v>
      </c>
      <c r="F442" t="s">
        <v>120</v>
      </c>
      <c r="G442" s="23">
        <v>0.1</v>
      </c>
      <c r="H442" t="s">
        <v>36</v>
      </c>
      <c r="I442" t="s">
        <v>68</v>
      </c>
      <c r="J442" t="s">
        <v>88</v>
      </c>
      <c r="K442" t="s">
        <v>43</v>
      </c>
      <c r="L442" t="s">
        <v>121</v>
      </c>
      <c r="M442" t="s">
        <v>27</v>
      </c>
      <c r="N442" t="s">
        <v>51</v>
      </c>
      <c r="O442">
        <v>0</v>
      </c>
      <c r="P442">
        <v>39860</v>
      </c>
      <c r="Q442">
        <f t="shared" si="7"/>
        <v>3.986E-2</v>
      </c>
      <c r="R442">
        <v>43252</v>
      </c>
      <c r="S442" t="s">
        <v>122</v>
      </c>
    </row>
    <row r="443" spans="1:19">
      <c r="A443">
        <v>60000442</v>
      </c>
      <c r="B443">
        <v>20</v>
      </c>
      <c r="C443" t="s">
        <v>33</v>
      </c>
      <c r="D443" t="s">
        <v>40</v>
      </c>
      <c r="E443" t="s">
        <v>48</v>
      </c>
      <c r="F443" t="s">
        <v>21</v>
      </c>
      <c r="G443" s="23">
        <v>0.35</v>
      </c>
      <c r="H443" t="s">
        <v>42</v>
      </c>
      <c r="I443" t="s">
        <v>73</v>
      </c>
      <c r="J443" t="s">
        <v>38</v>
      </c>
      <c r="K443" t="s">
        <v>96</v>
      </c>
      <c r="L443" t="s">
        <v>26</v>
      </c>
      <c r="M443" t="s">
        <v>27</v>
      </c>
      <c r="N443" t="s">
        <v>28</v>
      </c>
      <c r="O443">
        <v>0</v>
      </c>
      <c r="P443">
        <v>78921</v>
      </c>
      <c r="Q443">
        <f t="shared" si="7"/>
        <v>7.8921000000000005E-2</v>
      </c>
      <c r="R443">
        <v>43252</v>
      </c>
      <c r="S443" t="s">
        <v>122</v>
      </c>
    </row>
    <row r="444" spans="1:19">
      <c r="A444">
        <v>60000443</v>
      </c>
      <c r="B444">
        <v>63</v>
      </c>
      <c r="C444" t="s">
        <v>33</v>
      </c>
      <c r="D444" t="s">
        <v>40</v>
      </c>
      <c r="E444" t="s">
        <v>41</v>
      </c>
      <c r="F444" t="s">
        <v>21</v>
      </c>
      <c r="G444" s="23">
        <v>0.37</v>
      </c>
      <c r="H444" t="s">
        <v>42</v>
      </c>
      <c r="I444" t="s">
        <v>57</v>
      </c>
      <c r="J444" t="s">
        <v>46</v>
      </c>
      <c r="K444" t="s">
        <v>118</v>
      </c>
      <c r="L444" t="s">
        <v>26</v>
      </c>
      <c r="M444" t="s">
        <v>27</v>
      </c>
      <c r="N444" t="s">
        <v>51</v>
      </c>
      <c r="O444">
        <v>3</v>
      </c>
      <c r="P444">
        <v>49834</v>
      </c>
      <c r="Q444">
        <f t="shared" si="7"/>
        <v>4.9834000000000003E-2</v>
      </c>
      <c r="R444">
        <v>43252</v>
      </c>
      <c r="S444" t="s">
        <v>122</v>
      </c>
    </row>
    <row r="445" spans="1:19">
      <c r="A445">
        <v>60000444</v>
      </c>
      <c r="B445">
        <v>37</v>
      </c>
      <c r="C445" t="s">
        <v>33</v>
      </c>
      <c r="D445" t="s">
        <v>19</v>
      </c>
      <c r="E445" t="s">
        <v>34</v>
      </c>
      <c r="F445" t="s">
        <v>35</v>
      </c>
      <c r="G445" s="23">
        <v>0.19</v>
      </c>
      <c r="H445" t="s">
        <v>29</v>
      </c>
      <c r="I445" t="s">
        <v>45</v>
      </c>
      <c r="J445" t="s">
        <v>61</v>
      </c>
      <c r="K445" t="s">
        <v>96</v>
      </c>
      <c r="L445" t="s">
        <v>121</v>
      </c>
      <c r="M445" t="s">
        <v>27</v>
      </c>
      <c r="N445" t="s">
        <v>51</v>
      </c>
      <c r="O445">
        <v>0</v>
      </c>
      <c r="P445">
        <v>37822</v>
      </c>
      <c r="Q445">
        <f t="shared" si="7"/>
        <v>3.7822000000000001E-2</v>
      </c>
      <c r="R445">
        <v>43252</v>
      </c>
      <c r="S445" t="s">
        <v>122</v>
      </c>
    </row>
    <row r="446" spans="1:19">
      <c r="A446">
        <v>60000445</v>
      </c>
      <c r="B446">
        <v>56</v>
      </c>
      <c r="C446" t="s">
        <v>18</v>
      </c>
      <c r="D446" t="s">
        <v>40</v>
      </c>
      <c r="E446" t="s">
        <v>20</v>
      </c>
      <c r="F446" t="s">
        <v>21</v>
      </c>
      <c r="G446" s="23">
        <v>0.3</v>
      </c>
      <c r="H446" t="s">
        <v>53</v>
      </c>
      <c r="I446" t="s">
        <v>73</v>
      </c>
      <c r="J446" t="s">
        <v>74</v>
      </c>
      <c r="K446" t="s">
        <v>81</v>
      </c>
      <c r="L446" t="s">
        <v>121</v>
      </c>
      <c r="M446" t="s">
        <v>27</v>
      </c>
      <c r="N446" t="s">
        <v>51</v>
      </c>
      <c r="O446">
        <v>0</v>
      </c>
      <c r="P446">
        <v>38296</v>
      </c>
      <c r="Q446">
        <f t="shared" si="7"/>
        <v>3.8295999999999997E-2</v>
      </c>
      <c r="R446">
        <v>43252</v>
      </c>
      <c r="S446" t="s">
        <v>122</v>
      </c>
    </row>
    <row r="447" spans="1:19">
      <c r="A447">
        <v>60000446</v>
      </c>
      <c r="B447">
        <v>44</v>
      </c>
      <c r="C447" t="s">
        <v>33</v>
      </c>
      <c r="D447" t="s">
        <v>40</v>
      </c>
      <c r="E447" t="s">
        <v>85</v>
      </c>
      <c r="F447" t="s">
        <v>21</v>
      </c>
      <c r="G447" s="23">
        <v>0.14000000000000001</v>
      </c>
      <c r="H447" t="s">
        <v>22</v>
      </c>
      <c r="I447" t="s">
        <v>23</v>
      </c>
      <c r="J447" t="s">
        <v>46</v>
      </c>
      <c r="K447" t="s">
        <v>96</v>
      </c>
      <c r="L447" t="s">
        <v>119</v>
      </c>
      <c r="M447" t="s">
        <v>27</v>
      </c>
      <c r="N447" t="s">
        <v>51</v>
      </c>
      <c r="O447">
        <v>0</v>
      </c>
      <c r="P447">
        <v>78541</v>
      </c>
      <c r="Q447">
        <f t="shared" si="7"/>
        <v>7.8541E-2</v>
      </c>
      <c r="R447">
        <v>43252</v>
      </c>
      <c r="S447" t="s">
        <v>122</v>
      </c>
    </row>
    <row r="448" spans="1:19">
      <c r="A448">
        <v>60000447</v>
      </c>
      <c r="B448">
        <v>29</v>
      </c>
      <c r="C448" t="s">
        <v>18</v>
      </c>
      <c r="D448" t="s">
        <v>40</v>
      </c>
      <c r="E448" t="s">
        <v>52</v>
      </c>
      <c r="F448" t="s">
        <v>35</v>
      </c>
      <c r="G448" s="23">
        <v>0.3</v>
      </c>
      <c r="H448" t="s">
        <v>53</v>
      </c>
      <c r="I448" t="s">
        <v>37</v>
      </c>
      <c r="J448" t="s">
        <v>61</v>
      </c>
      <c r="K448" t="s">
        <v>60</v>
      </c>
      <c r="L448" t="s">
        <v>26</v>
      </c>
      <c r="M448" t="s">
        <v>27</v>
      </c>
      <c r="N448" t="s">
        <v>51</v>
      </c>
      <c r="O448">
        <v>0</v>
      </c>
      <c r="P448">
        <v>79092</v>
      </c>
      <c r="Q448">
        <f t="shared" si="7"/>
        <v>7.9091999999999996E-2</v>
      </c>
      <c r="R448">
        <v>43252</v>
      </c>
      <c r="S448" t="s">
        <v>122</v>
      </c>
    </row>
    <row r="449" spans="1:19">
      <c r="A449">
        <v>60000448</v>
      </c>
      <c r="B449">
        <v>64</v>
      </c>
      <c r="C449" t="s">
        <v>18</v>
      </c>
      <c r="D449" t="s">
        <v>40</v>
      </c>
      <c r="E449" t="s">
        <v>75</v>
      </c>
      <c r="F449" t="s">
        <v>120</v>
      </c>
      <c r="G449" s="23">
        <v>0.18</v>
      </c>
      <c r="H449" t="s">
        <v>22</v>
      </c>
      <c r="I449" t="s">
        <v>68</v>
      </c>
      <c r="J449" t="s">
        <v>69</v>
      </c>
      <c r="K449" t="s">
        <v>97</v>
      </c>
      <c r="L449" t="s">
        <v>26</v>
      </c>
      <c r="M449" t="s">
        <v>27</v>
      </c>
      <c r="N449" t="s">
        <v>51</v>
      </c>
      <c r="O449">
        <v>7</v>
      </c>
      <c r="P449">
        <v>76003</v>
      </c>
      <c r="Q449">
        <f t="shared" si="7"/>
        <v>7.6003000000000001E-2</v>
      </c>
      <c r="R449">
        <v>43252</v>
      </c>
      <c r="S449" t="s">
        <v>122</v>
      </c>
    </row>
    <row r="450" spans="1:19">
      <c r="A450">
        <v>60000449</v>
      </c>
      <c r="B450">
        <v>44</v>
      </c>
      <c r="C450" t="s">
        <v>33</v>
      </c>
      <c r="D450" t="s">
        <v>19</v>
      </c>
      <c r="E450" t="s">
        <v>44</v>
      </c>
      <c r="F450" t="s">
        <v>21</v>
      </c>
      <c r="G450" s="23">
        <v>0.34</v>
      </c>
      <c r="H450" t="s">
        <v>42</v>
      </c>
      <c r="I450" t="s">
        <v>49</v>
      </c>
      <c r="J450" t="s">
        <v>31</v>
      </c>
      <c r="K450" t="s">
        <v>84</v>
      </c>
      <c r="L450" t="s">
        <v>121</v>
      </c>
      <c r="M450" t="s">
        <v>27</v>
      </c>
      <c r="N450" t="s">
        <v>51</v>
      </c>
      <c r="O450">
        <v>6</v>
      </c>
      <c r="P450">
        <v>46543</v>
      </c>
      <c r="Q450">
        <f t="shared" si="7"/>
        <v>4.6543000000000001E-2</v>
      </c>
      <c r="R450">
        <v>43252</v>
      </c>
      <c r="S450" t="s">
        <v>122</v>
      </c>
    </row>
    <row r="451" spans="1:19">
      <c r="A451">
        <v>60000450</v>
      </c>
      <c r="B451">
        <v>29</v>
      </c>
      <c r="C451" t="s">
        <v>33</v>
      </c>
      <c r="D451" t="s">
        <v>40</v>
      </c>
      <c r="E451" t="s">
        <v>44</v>
      </c>
      <c r="F451" t="s">
        <v>21</v>
      </c>
      <c r="G451" s="23">
        <v>0.18</v>
      </c>
      <c r="H451" t="s">
        <v>22</v>
      </c>
      <c r="I451" t="s">
        <v>62</v>
      </c>
      <c r="J451" t="s">
        <v>54</v>
      </c>
      <c r="K451" t="s">
        <v>99</v>
      </c>
      <c r="L451" t="s">
        <v>119</v>
      </c>
      <c r="M451" t="s">
        <v>27</v>
      </c>
      <c r="N451" t="s">
        <v>51</v>
      </c>
      <c r="O451">
        <v>0</v>
      </c>
      <c r="P451">
        <v>81088</v>
      </c>
      <c r="Q451">
        <f t="shared" si="7"/>
        <v>8.1087999999999993E-2</v>
      </c>
      <c r="R451">
        <v>43252</v>
      </c>
      <c r="S451" t="s">
        <v>122</v>
      </c>
    </row>
    <row r="452" spans="1:19">
      <c r="A452">
        <v>60000451</v>
      </c>
      <c r="B452">
        <v>48</v>
      </c>
      <c r="C452" t="s">
        <v>33</v>
      </c>
      <c r="D452" t="s">
        <v>40</v>
      </c>
      <c r="E452" t="s">
        <v>67</v>
      </c>
      <c r="F452" t="s">
        <v>21</v>
      </c>
      <c r="G452" s="23">
        <v>0.32</v>
      </c>
      <c r="H452" t="s">
        <v>42</v>
      </c>
      <c r="I452" t="s">
        <v>83</v>
      </c>
      <c r="J452" t="s">
        <v>38</v>
      </c>
      <c r="K452" t="s">
        <v>96</v>
      </c>
      <c r="L452" t="s">
        <v>119</v>
      </c>
      <c r="M452" t="s">
        <v>27</v>
      </c>
      <c r="N452" t="s">
        <v>51</v>
      </c>
      <c r="O452">
        <v>1</v>
      </c>
      <c r="P452">
        <v>69209</v>
      </c>
      <c r="Q452">
        <f t="shared" si="7"/>
        <v>6.9209000000000007E-2</v>
      </c>
      <c r="R452">
        <v>43252</v>
      </c>
      <c r="S452" t="s">
        <v>122</v>
      </c>
    </row>
    <row r="453" spans="1:19">
      <c r="A453">
        <v>60000452</v>
      </c>
      <c r="B453">
        <v>23</v>
      </c>
      <c r="C453" t="s">
        <v>18</v>
      </c>
      <c r="D453" t="s">
        <v>40</v>
      </c>
      <c r="E453" t="s">
        <v>67</v>
      </c>
      <c r="F453" t="s">
        <v>35</v>
      </c>
      <c r="G453" s="23">
        <v>0.31</v>
      </c>
      <c r="H453" t="s">
        <v>53</v>
      </c>
      <c r="I453" t="s">
        <v>76</v>
      </c>
      <c r="J453" t="s">
        <v>24</v>
      </c>
      <c r="K453" t="s">
        <v>116</v>
      </c>
      <c r="L453" t="s">
        <v>121</v>
      </c>
      <c r="M453" t="s">
        <v>27</v>
      </c>
      <c r="N453" t="s">
        <v>28</v>
      </c>
      <c r="O453">
        <v>2</v>
      </c>
      <c r="P453">
        <v>33431</v>
      </c>
      <c r="Q453">
        <f t="shared" si="7"/>
        <v>3.3431000000000002E-2</v>
      </c>
      <c r="R453">
        <v>43252</v>
      </c>
      <c r="S453" t="s">
        <v>122</v>
      </c>
    </row>
    <row r="454" spans="1:19">
      <c r="A454">
        <v>60000453</v>
      </c>
      <c r="B454">
        <v>38</v>
      </c>
      <c r="C454" t="s">
        <v>18</v>
      </c>
      <c r="D454" t="s">
        <v>19</v>
      </c>
      <c r="E454" t="s">
        <v>56</v>
      </c>
      <c r="F454" t="s">
        <v>35</v>
      </c>
      <c r="G454" s="23">
        <v>0.17</v>
      </c>
      <c r="H454" t="s">
        <v>22</v>
      </c>
      <c r="I454" t="s">
        <v>80</v>
      </c>
      <c r="J454" t="s">
        <v>58</v>
      </c>
      <c r="K454" t="s">
        <v>96</v>
      </c>
      <c r="L454" t="s">
        <v>119</v>
      </c>
      <c r="M454" t="s">
        <v>27</v>
      </c>
      <c r="N454" t="s">
        <v>51</v>
      </c>
      <c r="O454">
        <v>0</v>
      </c>
      <c r="P454">
        <v>59716</v>
      </c>
      <c r="Q454">
        <f t="shared" si="7"/>
        <v>5.9715999999999998E-2</v>
      </c>
      <c r="R454">
        <v>43252</v>
      </c>
      <c r="S454" t="s">
        <v>122</v>
      </c>
    </row>
    <row r="455" spans="1:19">
      <c r="A455">
        <v>60000454</v>
      </c>
      <c r="B455">
        <v>27</v>
      </c>
      <c r="C455" t="s">
        <v>18</v>
      </c>
      <c r="D455" t="s">
        <v>19</v>
      </c>
      <c r="E455" t="s">
        <v>56</v>
      </c>
      <c r="F455" t="s">
        <v>35</v>
      </c>
      <c r="G455" s="23">
        <v>0.32</v>
      </c>
      <c r="H455" t="s">
        <v>42</v>
      </c>
      <c r="I455" t="s">
        <v>23</v>
      </c>
      <c r="J455" t="s">
        <v>66</v>
      </c>
      <c r="K455" t="s">
        <v>49</v>
      </c>
      <c r="L455" t="s">
        <v>119</v>
      </c>
      <c r="M455" t="s">
        <v>27</v>
      </c>
      <c r="N455" t="s">
        <v>28</v>
      </c>
      <c r="O455">
        <v>4</v>
      </c>
      <c r="P455">
        <v>84839</v>
      </c>
      <c r="Q455">
        <f t="shared" si="7"/>
        <v>8.4838999999999998E-2</v>
      </c>
      <c r="R455">
        <v>43252</v>
      </c>
      <c r="S455" t="s">
        <v>122</v>
      </c>
    </row>
    <row r="456" spans="1:19">
      <c r="A456">
        <v>60000455</v>
      </c>
      <c r="B456">
        <v>57</v>
      </c>
      <c r="C456" t="s">
        <v>33</v>
      </c>
      <c r="D456" t="s">
        <v>40</v>
      </c>
      <c r="E456" t="s">
        <v>72</v>
      </c>
      <c r="F456" t="s">
        <v>120</v>
      </c>
      <c r="G456" s="23">
        <v>0.35</v>
      </c>
      <c r="H456" t="s">
        <v>42</v>
      </c>
      <c r="I456" t="s">
        <v>73</v>
      </c>
      <c r="J456" t="s">
        <v>24</v>
      </c>
      <c r="K456" t="s">
        <v>47</v>
      </c>
      <c r="L456" t="s">
        <v>26</v>
      </c>
      <c r="M456" t="s">
        <v>27</v>
      </c>
      <c r="N456" t="s">
        <v>51</v>
      </c>
      <c r="O456">
        <v>0</v>
      </c>
      <c r="P456">
        <v>52981</v>
      </c>
      <c r="Q456">
        <f t="shared" si="7"/>
        <v>5.2981E-2</v>
      </c>
      <c r="R456">
        <v>43252</v>
      </c>
      <c r="S456" t="s">
        <v>122</v>
      </c>
    </row>
    <row r="457" spans="1:19">
      <c r="A457">
        <v>60000456</v>
      </c>
      <c r="B457">
        <v>27</v>
      </c>
      <c r="C457" t="s">
        <v>18</v>
      </c>
      <c r="D457" t="s">
        <v>19</v>
      </c>
      <c r="E457" t="s">
        <v>56</v>
      </c>
      <c r="F457" t="s">
        <v>21</v>
      </c>
      <c r="G457" s="23">
        <v>0.25</v>
      </c>
      <c r="H457" t="s">
        <v>53</v>
      </c>
      <c r="I457" t="s">
        <v>68</v>
      </c>
      <c r="J457" t="s">
        <v>54</v>
      </c>
      <c r="K457" t="s">
        <v>65</v>
      </c>
      <c r="L457" t="s">
        <v>26</v>
      </c>
      <c r="M457" t="s">
        <v>27</v>
      </c>
      <c r="N457" t="s">
        <v>28</v>
      </c>
      <c r="O457">
        <v>0</v>
      </c>
      <c r="P457">
        <v>75264</v>
      </c>
      <c r="Q457">
        <f t="shared" si="7"/>
        <v>7.5263999999999998E-2</v>
      </c>
      <c r="R457">
        <v>43252</v>
      </c>
      <c r="S457" t="s">
        <v>122</v>
      </c>
    </row>
    <row r="458" spans="1:19">
      <c r="A458">
        <v>60000457</v>
      </c>
      <c r="B458">
        <v>54</v>
      </c>
      <c r="C458" t="s">
        <v>18</v>
      </c>
      <c r="D458" t="s">
        <v>40</v>
      </c>
      <c r="E458" t="s">
        <v>56</v>
      </c>
      <c r="F458" t="s">
        <v>35</v>
      </c>
      <c r="G458" s="23">
        <v>0.17</v>
      </c>
      <c r="H458" t="s">
        <v>22</v>
      </c>
      <c r="I458" t="s">
        <v>80</v>
      </c>
      <c r="J458" t="s">
        <v>54</v>
      </c>
      <c r="K458" t="s">
        <v>114</v>
      </c>
      <c r="L458" t="s">
        <v>121</v>
      </c>
      <c r="M458" t="s">
        <v>27</v>
      </c>
      <c r="N458" t="s">
        <v>28</v>
      </c>
      <c r="O458">
        <v>0</v>
      </c>
      <c r="P458">
        <v>40112</v>
      </c>
      <c r="Q458">
        <f t="shared" si="7"/>
        <v>4.0112000000000002E-2</v>
      </c>
      <c r="R458">
        <v>43252</v>
      </c>
      <c r="S458" t="s">
        <v>122</v>
      </c>
    </row>
    <row r="459" spans="1:19">
      <c r="A459">
        <v>60000458</v>
      </c>
      <c r="B459">
        <v>31</v>
      </c>
      <c r="C459" t="s">
        <v>18</v>
      </c>
      <c r="D459" t="s">
        <v>40</v>
      </c>
      <c r="E459" t="s">
        <v>72</v>
      </c>
      <c r="F459" t="s">
        <v>120</v>
      </c>
      <c r="G459" s="23">
        <v>0.32</v>
      </c>
      <c r="H459" t="s">
        <v>42</v>
      </c>
      <c r="I459" t="s">
        <v>76</v>
      </c>
      <c r="J459" t="s">
        <v>74</v>
      </c>
      <c r="K459" t="s">
        <v>25</v>
      </c>
      <c r="L459" t="s">
        <v>121</v>
      </c>
      <c r="M459" t="s">
        <v>27</v>
      </c>
      <c r="N459" t="s">
        <v>51</v>
      </c>
      <c r="O459">
        <v>1</v>
      </c>
      <c r="P459">
        <v>35550</v>
      </c>
      <c r="Q459">
        <f t="shared" si="7"/>
        <v>3.5549999999999998E-2</v>
      </c>
      <c r="R459">
        <v>43252</v>
      </c>
      <c r="S459" t="s">
        <v>122</v>
      </c>
    </row>
    <row r="460" spans="1:19">
      <c r="A460">
        <v>60000459</v>
      </c>
      <c r="B460">
        <v>21</v>
      </c>
      <c r="C460" t="s">
        <v>33</v>
      </c>
      <c r="D460" t="s">
        <v>40</v>
      </c>
      <c r="E460" t="s">
        <v>48</v>
      </c>
      <c r="F460" t="s">
        <v>120</v>
      </c>
      <c r="G460" s="23">
        <v>0.13</v>
      </c>
      <c r="H460" t="s">
        <v>22</v>
      </c>
      <c r="I460" t="s">
        <v>70</v>
      </c>
      <c r="J460" t="s">
        <v>66</v>
      </c>
      <c r="K460" t="s">
        <v>79</v>
      </c>
      <c r="L460" t="s">
        <v>26</v>
      </c>
      <c r="M460" t="s">
        <v>27</v>
      </c>
      <c r="N460" t="s">
        <v>28</v>
      </c>
      <c r="O460">
        <v>0</v>
      </c>
      <c r="P460">
        <v>31234</v>
      </c>
      <c r="Q460">
        <f t="shared" si="7"/>
        <v>3.1234000000000001E-2</v>
      </c>
      <c r="R460">
        <v>43252</v>
      </c>
      <c r="S460" t="s">
        <v>122</v>
      </c>
    </row>
    <row r="461" spans="1:19">
      <c r="A461">
        <v>60000460</v>
      </c>
      <c r="B461">
        <v>24</v>
      </c>
      <c r="C461" t="s">
        <v>18</v>
      </c>
      <c r="D461" t="s">
        <v>19</v>
      </c>
      <c r="E461" t="s">
        <v>48</v>
      </c>
      <c r="F461" t="s">
        <v>21</v>
      </c>
      <c r="G461" s="23">
        <v>0.15</v>
      </c>
      <c r="H461" t="s">
        <v>22</v>
      </c>
      <c r="I461" t="s">
        <v>83</v>
      </c>
      <c r="J461" t="s">
        <v>46</v>
      </c>
      <c r="K461" t="s">
        <v>47</v>
      </c>
      <c r="L461" t="s">
        <v>26</v>
      </c>
      <c r="M461" t="s">
        <v>27</v>
      </c>
      <c r="N461" t="s">
        <v>28</v>
      </c>
      <c r="O461">
        <v>5</v>
      </c>
      <c r="P461">
        <v>47650</v>
      </c>
      <c r="Q461">
        <f t="shared" si="7"/>
        <v>4.7649999999999998E-2</v>
      </c>
      <c r="R461">
        <v>43252</v>
      </c>
      <c r="S461" t="s">
        <v>122</v>
      </c>
    </row>
    <row r="462" spans="1:19">
      <c r="A462">
        <v>60000461</v>
      </c>
      <c r="B462">
        <v>61</v>
      </c>
      <c r="C462" t="s">
        <v>18</v>
      </c>
      <c r="D462" t="s">
        <v>19</v>
      </c>
      <c r="E462" t="s">
        <v>64</v>
      </c>
      <c r="F462" t="s">
        <v>120</v>
      </c>
      <c r="G462" s="23">
        <v>0.28999999999999998</v>
      </c>
      <c r="H462" t="s">
        <v>53</v>
      </c>
      <c r="I462" t="s">
        <v>68</v>
      </c>
      <c r="J462" t="s">
        <v>24</v>
      </c>
      <c r="K462" t="s">
        <v>25</v>
      </c>
      <c r="L462" t="s">
        <v>119</v>
      </c>
      <c r="M462" t="s">
        <v>27</v>
      </c>
      <c r="N462" t="s">
        <v>51</v>
      </c>
      <c r="O462">
        <v>0</v>
      </c>
      <c r="P462">
        <v>74390</v>
      </c>
      <c r="Q462">
        <f t="shared" si="7"/>
        <v>7.4389999999999998E-2</v>
      </c>
      <c r="R462">
        <v>43252</v>
      </c>
      <c r="S462" t="s">
        <v>122</v>
      </c>
    </row>
    <row r="463" spans="1:19">
      <c r="A463">
        <v>60000462</v>
      </c>
      <c r="B463">
        <v>52</v>
      </c>
      <c r="C463" t="s">
        <v>33</v>
      </c>
      <c r="D463" t="s">
        <v>40</v>
      </c>
      <c r="E463" t="s">
        <v>67</v>
      </c>
      <c r="F463" t="s">
        <v>35</v>
      </c>
      <c r="G463" s="23">
        <v>0.27</v>
      </c>
      <c r="H463" t="s">
        <v>53</v>
      </c>
      <c r="I463" t="s">
        <v>86</v>
      </c>
      <c r="J463" t="s">
        <v>54</v>
      </c>
      <c r="K463" t="s">
        <v>98</v>
      </c>
      <c r="L463" t="s">
        <v>121</v>
      </c>
      <c r="M463" t="s">
        <v>27</v>
      </c>
      <c r="N463" t="s">
        <v>51</v>
      </c>
      <c r="O463">
        <v>1</v>
      </c>
      <c r="P463">
        <v>31964</v>
      </c>
      <c r="Q463">
        <f t="shared" si="7"/>
        <v>3.1963999999999999E-2</v>
      </c>
      <c r="R463">
        <v>43252</v>
      </c>
      <c r="S463" t="s">
        <v>122</v>
      </c>
    </row>
    <row r="464" spans="1:19">
      <c r="A464">
        <v>60000463</v>
      </c>
      <c r="B464">
        <v>62</v>
      </c>
      <c r="C464" t="s">
        <v>33</v>
      </c>
      <c r="D464" t="s">
        <v>40</v>
      </c>
      <c r="E464" t="s">
        <v>20</v>
      </c>
      <c r="F464" t="s">
        <v>35</v>
      </c>
      <c r="G464" s="23">
        <v>0.18</v>
      </c>
      <c r="H464" t="s">
        <v>22</v>
      </c>
      <c r="I464" t="s">
        <v>70</v>
      </c>
      <c r="J464" t="s">
        <v>91</v>
      </c>
      <c r="K464" t="s">
        <v>39</v>
      </c>
      <c r="L464" t="s">
        <v>121</v>
      </c>
      <c r="M464" t="s">
        <v>27</v>
      </c>
      <c r="N464" t="s">
        <v>28</v>
      </c>
      <c r="O464">
        <v>0</v>
      </c>
      <c r="P464">
        <v>36758</v>
      </c>
      <c r="Q464">
        <f t="shared" si="7"/>
        <v>3.6757999999999999E-2</v>
      </c>
      <c r="R464">
        <v>43252</v>
      </c>
      <c r="S464" t="s">
        <v>122</v>
      </c>
    </row>
    <row r="465" spans="1:19">
      <c r="A465">
        <v>60000464</v>
      </c>
      <c r="B465">
        <v>29</v>
      </c>
      <c r="C465" t="s">
        <v>18</v>
      </c>
      <c r="D465" t="s">
        <v>40</v>
      </c>
      <c r="E465" t="s">
        <v>44</v>
      </c>
      <c r="F465" t="s">
        <v>21</v>
      </c>
      <c r="G465" s="23">
        <v>0.2</v>
      </c>
      <c r="H465" t="s">
        <v>29</v>
      </c>
      <c r="I465" t="s">
        <v>70</v>
      </c>
      <c r="J465" t="s">
        <v>88</v>
      </c>
      <c r="K465" t="s">
        <v>101</v>
      </c>
      <c r="L465" t="s">
        <v>119</v>
      </c>
      <c r="M465" t="s">
        <v>27</v>
      </c>
      <c r="N465" t="s">
        <v>28</v>
      </c>
      <c r="O465">
        <v>3</v>
      </c>
      <c r="P465">
        <v>74360</v>
      </c>
      <c r="Q465">
        <f t="shared" si="7"/>
        <v>7.4359999999999996E-2</v>
      </c>
      <c r="R465">
        <v>43252</v>
      </c>
      <c r="S465" t="s">
        <v>122</v>
      </c>
    </row>
    <row r="466" spans="1:19">
      <c r="A466">
        <v>60000465</v>
      </c>
      <c r="B466">
        <v>53</v>
      </c>
      <c r="C466" t="s">
        <v>33</v>
      </c>
      <c r="D466" t="s">
        <v>40</v>
      </c>
      <c r="E466" t="s">
        <v>52</v>
      </c>
      <c r="F466" t="s">
        <v>35</v>
      </c>
      <c r="G466" s="23">
        <v>0.15</v>
      </c>
      <c r="H466" t="s">
        <v>22</v>
      </c>
      <c r="I466" t="s">
        <v>23</v>
      </c>
      <c r="J466" t="s">
        <v>54</v>
      </c>
      <c r="K466" t="s">
        <v>115</v>
      </c>
      <c r="L466" t="s">
        <v>121</v>
      </c>
      <c r="M466" t="s">
        <v>27</v>
      </c>
      <c r="N466" t="s">
        <v>28</v>
      </c>
      <c r="O466">
        <v>6</v>
      </c>
      <c r="P466">
        <v>38342</v>
      </c>
      <c r="Q466">
        <f t="shared" si="7"/>
        <v>3.8342000000000001E-2</v>
      </c>
      <c r="R466">
        <v>43252</v>
      </c>
      <c r="S466" t="s">
        <v>122</v>
      </c>
    </row>
    <row r="467" spans="1:19">
      <c r="A467">
        <v>60000466</v>
      </c>
      <c r="B467">
        <v>34</v>
      </c>
      <c r="C467" t="s">
        <v>33</v>
      </c>
      <c r="D467" t="s">
        <v>19</v>
      </c>
      <c r="E467" t="s">
        <v>20</v>
      </c>
      <c r="F467" t="s">
        <v>35</v>
      </c>
      <c r="G467" s="23">
        <v>0.25</v>
      </c>
      <c r="H467" t="s">
        <v>53</v>
      </c>
      <c r="I467" t="s">
        <v>68</v>
      </c>
      <c r="J467" t="s">
        <v>74</v>
      </c>
      <c r="K467" t="s">
        <v>84</v>
      </c>
      <c r="L467" t="s">
        <v>121</v>
      </c>
      <c r="M467" t="s">
        <v>27</v>
      </c>
      <c r="N467" t="s">
        <v>28</v>
      </c>
      <c r="O467">
        <v>0</v>
      </c>
      <c r="P467">
        <v>23348</v>
      </c>
      <c r="Q467">
        <f t="shared" si="7"/>
        <v>2.3348000000000001E-2</v>
      </c>
      <c r="R467">
        <v>43252</v>
      </c>
      <c r="S467" t="s">
        <v>122</v>
      </c>
    </row>
    <row r="468" spans="1:19">
      <c r="A468">
        <v>60000467</v>
      </c>
      <c r="B468">
        <v>23</v>
      </c>
      <c r="C468" t="s">
        <v>33</v>
      </c>
      <c r="D468" t="s">
        <v>19</v>
      </c>
      <c r="E468" t="s">
        <v>67</v>
      </c>
      <c r="F468" t="s">
        <v>35</v>
      </c>
      <c r="G468" s="23">
        <v>0.1</v>
      </c>
      <c r="H468" t="s">
        <v>36</v>
      </c>
      <c r="I468" t="s">
        <v>37</v>
      </c>
      <c r="J468" t="s">
        <v>69</v>
      </c>
      <c r="K468" t="s">
        <v>94</v>
      </c>
      <c r="L468" t="s">
        <v>121</v>
      </c>
      <c r="M468" t="s">
        <v>27</v>
      </c>
      <c r="N468" t="s">
        <v>51</v>
      </c>
      <c r="O468">
        <v>0</v>
      </c>
      <c r="P468">
        <v>59192</v>
      </c>
      <c r="Q468">
        <f t="shared" si="7"/>
        <v>5.9192000000000002E-2</v>
      </c>
      <c r="R468">
        <v>43252</v>
      </c>
      <c r="S468" t="s">
        <v>122</v>
      </c>
    </row>
    <row r="469" spans="1:19">
      <c r="A469">
        <v>60000468</v>
      </c>
      <c r="B469">
        <v>46</v>
      </c>
      <c r="C469" t="s">
        <v>18</v>
      </c>
      <c r="D469" t="s">
        <v>19</v>
      </c>
      <c r="E469" t="s">
        <v>56</v>
      </c>
      <c r="F469" t="s">
        <v>21</v>
      </c>
      <c r="G469" s="23">
        <v>0.13</v>
      </c>
      <c r="H469" t="s">
        <v>22</v>
      </c>
      <c r="I469" t="s">
        <v>65</v>
      </c>
      <c r="J469" t="s">
        <v>38</v>
      </c>
      <c r="K469" t="s">
        <v>25</v>
      </c>
      <c r="L469" t="s">
        <v>119</v>
      </c>
      <c r="M469" t="s">
        <v>27</v>
      </c>
      <c r="N469" t="s">
        <v>28</v>
      </c>
      <c r="O469">
        <v>6</v>
      </c>
      <c r="P469">
        <v>84233</v>
      </c>
      <c r="Q469">
        <f t="shared" si="7"/>
        <v>8.4233000000000002E-2</v>
      </c>
      <c r="R469">
        <v>43252</v>
      </c>
      <c r="S469" t="s">
        <v>122</v>
      </c>
    </row>
    <row r="470" spans="1:19">
      <c r="A470">
        <v>60000469</v>
      </c>
      <c r="B470">
        <v>53</v>
      </c>
      <c r="C470" t="s">
        <v>18</v>
      </c>
      <c r="D470" t="s">
        <v>40</v>
      </c>
      <c r="E470" t="s">
        <v>85</v>
      </c>
      <c r="F470" t="s">
        <v>21</v>
      </c>
      <c r="G470" s="23">
        <v>0.28000000000000003</v>
      </c>
      <c r="H470" t="s">
        <v>53</v>
      </c>
      <c r="I470" t="s">
        <v>23</v>
      </c>
      <c r="J470" t="s">
        <v>78</v>
      </c>
      <c r="K470" t="s">
        <v>49</v>
      </c>
      <c r="L470" t="s">
        <v>26</v>
      </c>
      <c r="M470" t="s">
        <v>27</v>
      </c>
      <c r="N470" t="s">
        <v>28</v>
      </c>
      <c r="O470">
        <v>6</v>
      </c>
      <c r="P470">
        <v>68066</v>
      </c>
      <c r="Q470">
        <f t="shared" si="7"/>
        <v>6.8066000000000002E-2</v>
      </c>
      <c r="R470">
        <v>43252</v>
      </c>
      <c r="S470" t="s">
        <v>122</v>
      </c>
    </row>
    <row r="471" spans="1:19">
      <c r="A471">
        <v>60000470</v>
      </c>
      <c r="B471">
        <v>58</v>
      </c>
      <c r="C471" t="s">
        <v>33</v>
      </c>
      <c r="D471" t="s">
        <v>19</v>
      </c>
      <c r="E471" t="s">
        <v>41</v>
      </c>
      <c r="F471" t="s">
        <v>21</v>
      </c>
      <c r="G471" s="23">
        <v>0.23</v>
      </c>
      <c r="H471" t="s">
        <v>29</v>
      </c>
      <c r="I471" t="s">
        <v>49</v>
      </c>
      <c r="J471" t="s">
        <v>78</v>
      </c>
      <c r="K471" t="s">
        <v>111</v>
      </c>
      <c r="L471" t="s">
        <v>121</v>
      </c>
      <c r="M471" t="s">
        <v>27</v>
      </c>
      <c r="N471" t="s">
        <v>51</v>
      </c>
      <c r="O471">
        <v>6</v>
      </c>
      <c r="P471">
        <v>76494</v>
      </c>
      <c r="Q471">
        <f t="shared" si="7"/>
        <v>7.6494000000000006E-2</v>
      </c>
      <c r="R471">
        <v>43252</v>
      </c>
      <c r="S471" t="s">
        <v>122</v>
      </c>
    </row>
    <row r="472" spans="1:19">
      <c r="A472">
        <v>60000471</v>
      </c>
      <c r="B472">
        <v>49</v>
      </c>
      <c r="C472" t="s">
        <v>33</v>
      </c>
      <c r="D472" t="s">
        <v>19</v>
      </c>
      <c r="E472" t="s">
        <v>52</v>
      </c>
      <c r="F472" t="s">
        <v>120</v>
      </c>
      <c r="G472" s="23">
        <v>0.13</v>
      </c>
      <c r="H472" t="s">
        <v>22</v>
      </c>
      <c r="I472" t="s">
        <v>68</v>
      </c>
      <c r="J472" t="s">
        <v>58</v>
      </c>
      <c r="K472" t="s">
        <v>97</v>
      </c>
      <c r="L472" t="s">
        <v>121</v>
      </c>
      <c r="M472" t="s">
        <v>27</v>
      </c>
      <c r="N472" t="s">
        <v>51</v>
      </c>
      <c r="O472">
        <v>6</v>
      </c>
      <c r="P472">
        <v>34053</v>
      </c>
      <c r="Q472">
        <f t="shared" si="7"/>
        <v>3.4053E-2</v>
      </c>
      <c r="R472">
        <v>43252</v>
      </c>
      <c r="S472" t="s">
        <v>122</v>
      </c>
    </row>
    <row r="473" spans="1:19">
      <c r="A473">
        <v>60000472</v>
      </c>
      <c r="B473">
        <v>45</v>
      </c>
      <c r="C473" t="s">
        <v>33</v>
      </c>
      <c r="D473" t="s">
        <v>19</v>
      </c>
      <c r="E473" t="s">
        <v>85</v>
      </c>
      <c r="F473" t="s">
        <v>35</v>
      </c>
      <c r="G473" s="23">
        <v>0.32</v>
      </c>
      <c r="H473" t="s">
        <v>42</v>
      </c>
      <c r="I473" t="s">
        <v>23</v>
      </c>
      <c r="J473" t="s">
        <v>38</v>
      </c>
      <c r="K473" t="s">
        <v>106</v>
      </c>
      <c r="L473" t="s">
        <v>121</v>
      </c>
      <c r="M473" t="s">
        <v>27</v>
      </c>
      <c r="N473" t="s">
        <v>28</v>
      </c>
      <c r="O473">
        <v>0</v>
      </c>
      <c r="P473">
        <v>79293</v>
      </c>
      <c r="Q473">
        <f t="shared" si="7"/>
        <v>7.9293000000000002E-2</v>
      </c>
      <c r="R473">
        <v>43252</v>
      </c>
      <c r="S473" t="s">
        <v>122</v>
      </c>
    </row>
    <row r="474" spans="1:19">
      <c r="A474">
        <v>60000473</v>
      </c>
      <c r="B474">
        <v>37</v>
      </c>
      <c r="C474" t="s">
        <v>33</v>
      </c>
      <c r="D474" t="s">
        <v>40</v>
      </c>
      <c r="E474" t="s">
        <v>85</v>
      </c>
      <c r="F474" t="s">
        <v>35</v>
      </c>
      <c r="G474" s="23">
        <v>0.23</v>
      </c>
      <c r="H474" t="s">
        <v>29</v>
      </c>
      <c r="I474" t="s">
        <v>80</v>
      </c>
      <c r="J474" t="s">
        <v>38</v>
      </c>
      <c r="K474" t="s">
        <v>107</v>
      </c>
      <c r="L474" t="s">
        <v>119</v>
      </c>
      <c r="M474" t="s">
        <v>27</v>
      </c>
      <c r="N474" t="s">
        <v>51</v>
      </c>
      <c r="O474">
        <v>0</v>
      </c>
      <c r="P474">
        <v>25683</v>
      </c>
      <c r="Q474">
        <f t="shared" si="7"/>
        <v>2.5683000000000001E-2</v>
      </c>
      <c r="R474">
        <v>43252</v>
      </c>
      <c r="S474" t="s">
        <v>122</v>
      </c>
    </row>
    <row r="475" spans="1:19">
      <c r="A475">
        <v>60000474</v>
      </c>
      <c r="B475">
        <v>28</v>
      </c>
      <c r="C475" t="s">
        <v>33</v>
      </c>
      <c r="D475" t="s">
        <v>19</v>
      </c>
      <c r="E475" t="s">
        <v>85</v>
      </c>
      <c r="F475" t="s">
        <v>21</v>
      </c>
      <c r="G475" s="23">
        <v>0.15</v>
      </c>
      <c r="H475" t="s">
        <v>22</v>
      </c>
      <c r="I475" t="s">
        <v>30</v>
      </c>
      <c r="J475" t="s">
        <v>58</v>
      </c>
      <c r="K475" t="s">
        <v>105</v>
      </c>
      <c r="L475" t="s">
        <v>121</v>
      </c>
      <c r="M475" t="s">
        <v>27</v>
      </c>
      <c r="N475" t="s">
        <v>51</v>
      </c>
      <c r="O475">
        <v>0</v>
      </c>
      <c r="P475">
        <v>57179</v>
      </c>
      <c r="Q475">
        <f t="shared" si="7"/>
        <v>5.7179000000000001E-2</v>
      </c>
      <c r="R475">
        <v>43252</v>
      </c>
      <c r="S475" t="s">
        <v>122</v>
      </c>
    </row>
    <row r="476" spans="1:19">
      <c r="A476">
        <v>60000475</v>
      </c>
      <c r="B476">
        <v>45</v>
      </c>
      <c r="C476" t="s">
        <v>33</v>
      </c>
      <c r="D476" t="s">
        <v>40</v>
      </c>
      <c r="E476" t="s">
        <v>44</v>
      </c>
      <c r="F476" t="s">
        <v>35</v>
      </c>
      <c r="G476" s="23">
        <v>0.2</v>
      </c>
      <c r="H476" t="s">
        <v>29</v>
      </c>
      <c r="I476" t="s">
        <v>73</v>
      </c>
      <c r="J476" t="s">
        <v>78</v>
      </c>
      <c r="K476" t="s">
        <v>59</v>
      </c>
      <c r="L476" t="s">
        <v>121</v>
      </c>
      <c r="M476" t="s">
        <v>27</v>
      </c>
      <c r="N476" t="s">
        <v>28</v>
      </c>
      <c r="O476">
        <v>3</v>
      </c>
      <c r="P476">
        <v>75455</v>
      </c>
      <c r="Q476">
        <f t="shared" si="7"/>
        <v>7.5454999999999994E-2</v>
      </c>
      <c r="R476">
        <v>43252</v>
      </c>
      <c r="S476" t="s">
        <v>122</v>
      </c>
    </row>
    <row r="477" spans="1:19">
      <c r="A477">
        <v>60000476</v>
      </c>
      <c r="B477">
        <v>46</v>
      </c>
      <c r="C477" t="s">
        <v>33</v>
      </c>
      <c r="D477" t="s">
        <v>19</v>
      </c>
      <c r="E477" t="s">
        <v>64</v>
      </c>
      <c r="F477" t="s">
        <v>120</v>
      </c>
      <c r="G477" s="23">
        <v>0.31</v>
      </c>
      <c r="H477" t="s">
        <v>53</v>
      </c>
      <c r="I477" t="s">
        <v>73</v>
      </c>
      <c r="J477" t="s">
        <v>24</v>
      </c>
      <c r="K477" t="s">
        <v>105</v>
      </c>
      <c r="L477" t="s">
        <v>119</v>
      </c>
      <c r="M477" t="s">
        <v>27</v>
      </c>
      <c r="N477" t="s">
        <v>51</v>
      </c>
      <c r="O477">
        <v>3</v>
      </c>
      <c r="P477">
        <v>84609</v>
      </c>
      <c r="Q477">
        <f t="shared" si="7"/>
        <v>8.4609000000000004E-2</v>
      </c>
      <c r="R477">
        <v>43252</v>
      </c>
      <c r="S477" t="s">
        <v>122</v>
      </c>
    </row>
    <row r="478" spans="1:19">
      <c r="A478">
        <v>60000477</v>
      </c>
      <c r="B478">
        <v>50</v>
      </c>
      <c r="C478" t="s">
        <v>18</v>
      </c>
      <c r="D478" t="s">
        <v>40</v>
      </c>
      <c r="E478" t="s">
        <v>72</v>
      </c>
      <c r="F478" t="s">
        <v>35</v>
      </c>
      <c r="G478" s="23">
        <v>0.11</v>
      </c>
      <c r="H478" t="s">
        <v>36</v>
      </c>
      <c r="I478" t="s">
        <v>68</v>
      </c>
      <c r="J478" t="s">
        <v>78</v>
      </c>
      <c r="K478" t="s">
        <v>104</v>
      </c>
      <c r="L478" t="s">
        <v>26</v>
      </c>
      <c r="M478" t="s">
        <v>27</v>
      </c>
      <c r="N478" t="s">
        <v>51</v>
      </c>
      <c r="O478">
        <v>5</v>
      </c>
      <c r="P478">
        <v>55080</v>
      </c>
      <c r="Q478">
        <f t="shared" si="7"/>
        <v>5.5079999999999997E-2</v>
      </c>
      <c r="R478">
        <v>43252</v>
      </c>
      <c r="S478" t="s">
        <v>122</v>
      </c>
    </row>
    <row r="479" spans="1:19">
      <c r="A479">
        <v>60000478</v>
      </c>
      <c r="B479">
        <v>25</v>
      </c>
      <c r="C479" t="s">
        <v>33</v>
      </c>
      <c r="D479" t="s">
        <v>19</v>
      </c>
      <c r="E479" t="s">
        <v>52</v>
      </c>
      <c r="F479" t="s">
        <v>21</v>
      </c>
      <c r="G479" s="23">
        <v>0.35</v>
      </c>
      <c r="H479" t="s">
        <v>42</v>
      </c>
      <c r="I479" t="s">
        <v>57</v>
      </c>
      <c r="J479" t="s">
        <v>74</v>
      </c>
      <c r="K479" t="s">
        <v>49</v>
      </c>
      <c r="L479" t="s">
        <v>26</v>
      </c>
      <c r="M479" t="s">
        <v>27</v>
      </c>
      <c r="N479" t="s">
        <v>51</v>
      </c>
      <c r="O479">
        <v>3</v>
      </c>
      <c r="P479">
        <v>56686</v>
      </c>
      <c r="Q479">
        <f t="shared" si="7"/>
        <v>5.6686E-2</v>
      </c>
      <c r="R479">
        <v>43252</v>
      </c>
      <c r="S479" t="s">
        <v>122</v>
      </c>
    </row>
    <row r="480" spans="1:19">
      <c r="A480">
        <v>60000479</v>
      </c>
      <c r="B480">
        <v>38</v>
      </c>
      <c r="C480" t="s">
        <v>33</v>
      </c>
      <c r="D480" t="s">
        <v>19</v>
      </c>
      <c r="E480" t="s">
        <v>20</v>
      </c>
      <c r="F480" t="s">
        <v>21</v>
      </c>
      <c r="G480" s="23">
        <v>0.35</v>
      </c>
      <c r="H480" t="s">
        <v>42</v>
      </c>
      <c r="I480" t="s">
        <v>86</v>
      </c>
      <c r="J480" t="s">
        <v>78</v>
      </c>
      <c r="K480" t="s">
        <v>49</v>
      </c>
      <c r="L480" t="s">
        <v>26</v>
      </c>
      <c r="M480" t="s">
        <v>27</v>
      </c>
      <c r="N480" t="s">
        <v>28</v>
      </c>
      <c r="O480">
        <v>5</v>
      </c>
      <c r="P480">
        <v>61577</v>
      </c>
      <c r="Q480">
        <f t="shared" si="7"/>
        <v>6.1577E-2</v>
      </c>
      <c r="R480">
        <v>43252</v>
      </c>
      <c r="S480" t="s">
        <v>122</v>
      </c>
    </row>
    <row r="481" spans="1:19">
      <c r="A481">
        <v>60000480</v>
      </c>
      <c r="B481">
        <v>38</v>
      </c>
      <c r="C481" t="s">
        <v>33</v>
      </c>
      <c r="D481" t="s">
        <v>19</v>
      </c>
      <c r="E481" t="s">
        <v>85</v>
      </c>
      <c r="F481" t="s">
        <v>35</v>
      </c>
      <c r="G481" s="23">
        <v>0.2</v>
      </c>
      <c r="H481" t="s">
        <v>29</v>
      </c>
      <c r="I481" t="s">
        <v>80</v>
      </c>
      <c r="J481" t="s">
        <v>38</v>
      </c>
      <c r="K481" t="s">
        <v>97</v>
      </c>
      <c r="L481" t="s">
        <v>26</v>
      </c>
      <c r="M481" t="s">
        <v>27</v>
      </c>
      <c r="N481" t="s">
        <v>51</v>
      </c>
      <c r="O481">
        <v>0</v>
      </c>
      <c r="P481">
        <v>56751</v>
      </c>
      <c r="Q481">
        <f t="shared" si="7"/>
        <v>5.6751000000000003E-2</v>
      </c>
      <c r="R481">
        <v>43252</v>
      </c>
      <c r="S481" t="s">
        <v>122</v>
      </c>
    </row>
    <row r="482" spans="1:19">
      <c r="A482">
        <v>60000481</v>
      </c>
      <c r="B482">
        <v>45</v>
      </c>
      <c r="C482" t="s">
        <v>18</v>
      </c>
      <c r="D482" t="s">
        <v>19</v>
      </c>
      <c r="E482" t="s">
        <v>34</v>
      </c>
      <c r="F482" t="s">
        <v>21</v>
      </c>
      <c r="G482" s="23">
        <v>0.32</v>
      </c>
      <c r="H482" t="s">
        <v>42</v>
      </c>
      <c r="I482" t="s">
        <v>76</v>
      </c>
      <c r="J482" t="s">
        <v>31</v>
      </c>
      <c r="K482" t="s">
        <v>108</v>
      </c>
      <c r="L482" t="s">
        <v>119</v>
      </c>
      <c r="M482" t="s">
        <v>27</v>
      </c>
      <c r="N482" t="s">
        <v>51</v>
      </c>
      <c r="O482">
        <v>3</v>
      </c>
      <c r="P482">
        <v>68563</v>
      </c>
      <c r="Q482">
        <f t="shared" si="7"/>
        <v>6.8562999999999999E-2</v>
      </c>
      <c r="R482">
        <v>43252</v>
      </c>
      <c r="S482" t="s">
        <v>122</v>
      </c>
    </row>
    <row r="483" spans="1:19">
      <c r="A483">
        <v>60000482</v>
      </c>
      <c r="B483">
        <v>48</v>
      </c>
      <c r="C483" t="s">
        <v>18</v>
      </c>
      <c r="D483" t="s">
        <v>19</v>
      </c>
      <c r="E483" t="s">
        <v>20</v>
      </c>
      <c r="F483" t="s">
        <v>21</v>
      </c>
      <c r="G483" s="23">
        <v>0.31</v>
      </c>
      <c r="H483" t="s">
        <v>53</v>
      </c>
      <c r="I483" t="s">
        <v>73</v>
      </c>
      <c r="J483" t="s">
        <v>38</v>
      </c>
      <c r="K483" t="s">
        <v>114</v>
      </c>
      <c r="L483" t="s">
        <v>26</v>
      </c>
      <c r="M483" t="s">
        <v>27</v>
      </c>
      <c r="N483" t="s">
        <v>28</v>
      </c>
      <c r="O483">
        <v>3</v>
      </c>
      <c r="P483">
        <v>71105</v>
      </c>
      <c r="Q483">
        <f t="shared" si="7"/>
        <v>7.1105000000000002E-2</v>
      </c>
      <c r="R483">
        <v>43252</v>
      </c>
      <c r="S483" t="s">
        <v>122</v>
      </c>
    </row>
    <row r="484" spans="1:19">
      <c r="A484">
        <v>60000483</v>
      </c>
      <c r="B484">
        <v>57</v>
      </c>
      <c r="C484" t="s">
        <v>33</v>
      </c>
      <c r="D484" t="s">
        <v>40</v>
      </c>
      <c r="E484" t="s">
        <v>64</v>
      </c>
      <c r="F484" t="s">
        <v>35</v>
      </c>
      <c r="G484" s="23">
        <v>0.35</v>
      </c>
      <c r="H484" t="s">
        <v>42</v>
      </c>
      <c r="I484" t="s">
        <v>57</v>
      </c>
      <c r="J484" t="s">
        <v>38</v>
      </c>
      <c r="K484" t="s">
        <v>89</v>
      </c>
      <c r="L484" t="s">
        <v>119</v>
      </c>
      <c r="M484" t="s">
        <v>27</v>
      </c>
      <c r="N484" t="s">
        <v>51</v>
      </c>
      <c r="O484">
        <v>1</v>
      </c>
      <c r="P484">
        <v>60253</v>
      </c>
      <c r="Q484">
        <f t="shared" si="7"/>
        <v>6.0253000000000001E-2</v>
      </c>
      <c r="R484">
        <v>43252</v>
      </c>
      <c r="S484" t="s">
        <v>122</v>
      </c>
    </row>
    <row r="485" spans="1:19">
      <c r="A485">
        <v>60000484</v>
      </c>
      <c r="B485">
        <v>60</v>
      </c>
      <c r="C485" t="s">
        <v>33</v>
      </c>
      <c r="D485" t="s">
        <v>19</v>
      </c>
      <c r="E485" t="s">
        <v>85</v>
      </c>
      <c r="F485" t="s">
        <v>21</v>
      </c>
      <c r="G485" s="23">
        <v>0.3</v>
      </c>
      <c r="H485" t="s">
        <v>53</v>
      </c>
      <c r="I485" t="s">
        <v>37</v>
      </c>
      <c r="J485" t="s">
        <v>58</v>
      </c>
      <c r="K485" t="s">
        <v>99</v>
      </c>
      <c r="L485" t="s">
        <v>119</v>
      </c>
      <c r="M485" t="s">
        <v>27</v>
      </c>
      <c r="N485" t="s">
        <v>51</v>
      </c>
      <c r="O485">
        <v>1</v>
      </c>
      <c r="P485">
        <v>80860</v>
      </c>
      <c r="Q485">
        <f t="shared" si="7"/>
        <v>8.0860000000000001E-2</v>
      </c>
      <c r="R485">
        <v>43252</v>
      </c>
      <c r="S485" t="s">
        <v>122</v>
      </c>
    </row>
    <row r="486" spans="1:19">
      <c r="A486">
        <v>60000485</v>
      </c>
      <c r="B486">
        <v>33</v>
      </c>
      <c r="C486" t="s">
        <v>18</v>
      </c>
      <c r="D486" t="s">
        <v>40</v>
      </c>
      <c r="E486" t="s">
        <v>48</v>
      </c>
      <c r="F486" t="s">
        <v>21</v>
      </c>
      <c r="G486" s="23">
        <v>0.11</v>
      </c>
      <c r="H486" t="s">
        <v>36</v>
      </c>
      <c r="I486" t="s">
        <v>62</v>
      </c>
      <c r="J486" t="s">
        <v>58</v>
      </c>
      <c r="K486" t="s">
        <v>107</v>
      </c>
      <c r="L486" t="s">
        <v>119</v>
      </c>
      <c r="M486" t="s">
        <v>27</v>
      </c>
      <c r="N486" t="s">
        <v>51</v>
      </c>
      <c r="O486">
        <v>0</v>
      </c>
      <c r="P486">
        <v>48374</v>
      </c>
      <c r="Q486">
        <f t="shared" si="7"/>
        <v>4.8374E-2</v>
      </c>
      <c r="R486">
        <v>43252</v>
      </c>
      <c r="S486" t="s">
        <v>122</v>
      </c>
    </row>
    <row r="487" spans="1:19">
      <c r="A487">
        <v>60000486</v>
      </c>
      <c r="B487">
        <v>61</v>
      </c>
      <c r="C487" t="s">
        <v>18</v>
      </c>
      <c r="D487" t="s">
        <v>19</v>
      </c>
      <c r="E487" t="s">
        <v>56</v>
      </c>
      <c r="F487" t="s">
        <v>21</v>
      </c>
      <c r="G487" s="23">
        <v>0.14000000000000001</v>
      </c>
      <c r="H487" t="s">
        <v>22</v>
      </c>
      <c r="I487" t="s">
        <v>80</v>
      </c>
      <c r="J487" t="s">
        <v>54</v>
      </c>
      <c r="K487" t="s">
        <v>50</v>
      </c>
      <c r="L487" t="s">
        <v>121</v>
      </c>
      <c r="M487" t="s">
        <v>27</v>
      </c>
      <c r="N487" t="s">
        <v>51</v>
      </c>
      <c r="O487">
        <v>0</v>
      </c>
      <c r="P487">
        <v>51538</v>
      </c>
      <c r="Q487">
        <f t="shared" si="7"/>
        <v>5.1538E-2</v>
      </c>
      <c r="R487">
        <v>43252</v>
      </c>
      <c r="S487" t="s">
        <v>122</v>
      </c>
    </row>
    <row r="488" spans="1:19">
      <c r="A488">
        <v>60000487</v>
      </c>
      <c r="B488">
        <v>40</v>
      </c>
      <c r="C488" t="s">
        <v>33</v>
      </c>
      <c r="D488" t="s">
        <v>40</v>
      </c>
      <c r="E488" t="s">
        <v>67</v>
      </c>
      <c r="F488" t="s">
        <v>35</v>
      </c>
      <c r="G488" s="23">
        <v>0.18</v>
      </c>
      <c r="H488" t="s">
        <v>22</v>
      </c>
      <c r="I488" t="s">
        <v>83</v>
      </c>
      <c r="J488" t="s">
        <v>88</v>
      </c>
      <c r="K488" t="s">
        <v>100</v>
      </c>
      <c r="L488" t="s">
        <v>119</v>
      </c>
      <c r="M488" t="s">
        <v>27</v>
      </c>
      <c r="N488" t="s">
        <v>28</v>
      </c>
      <c r="O488">
        <v>1</v>
      </c>
      <c r="P488">
        <v>39944</v>
      </c>
      <c r="Q488">
        <f t="shared" si="7"/>
        <v>3.9944E-2</v>
      </c>
      <c r="R488">
        <v>43252</v>
      </c>
      <c r="S488" t="s">
        <v>122</v>
      </c>
    </row>
    <row r="489" spans="1:19">
      <c r="A489">
        <v>60000488</v>
      </c>
      <c r="B489">
        <v>63</v>
      </c>
      <c r="C489" t="s">
        <v>18</v>
      </c>
      <c r="D489" t="s">
        <v>19</v>
      </c>
      <c r="E489" t="s">
        <v>56</v>
      </c>
      <c r="F489" t="s">
        <v>35</v>
      </c>
      <c r="G489" s="23">
        <v>0.11</v>
      </c>
      <c r="H489" t="s">
        <v>36</v>
      </c>
      <c r="I489" t="s">
        <v>30</v>
      </c>
      <c r="J489" t="s">
        <v>38</v>
      </c>
      <c r="K489" t="s">
        <v>97</v>
      </c>
      <c r="L489" t="s">
        <v>26</v>
      </c>
      <c r="M489" t="s">
        <v>27</v>
      </c>
      <c r="N489" t="s">
        <v>28</v>
      </c>
      <c r="O489">
        <v>2</v>
      </c>
      <c r="P489">
        <v>84587</v>
      </c>
      <c r="Q489">
        <f t="shared" si="7"/>
        <v>8.4586999999999996E-2</v>
      </c>
      <c r="R489">
        <v>43252</v>
      </c>
      <c r="S489" t="s">
        <v>122</v>
      </c>
    </row>
    <row r="490" spans="1:19">
      <c r="A490">
        <v>60000489</v>
      </c>
      <c r="B490">
        <v>42</v>
      </c>
      <c r="C490" t="s">
        <v>33</v>
      </c>
      <c r="D490" t="s">
        <v>40</v>
      </c>
      <c r="E490" t="s">
        <v>20</v>
      </c>
      <c r="F490" t="s">
        <v>120</v>
      </c>
      <c r="G490" s="23">
        <v>0.36</v>
      </c>
      <c r="H490" t="s">
        <v>42</v>
      </c>
      <c r="I490" t="s">
        <v>60</v>
      </c>
      <c r="J490" t="s">
        <v>31</v>
      </c>
      <c r="K490" t="s">
        <v>82</v>
      </c>
      <c r="L490" t="s">
        <v>119</v>
      </c>
      <c r="M490" t="s">
        <v>27</v>
      </c>
      <c r="N490" t="s">
        <v>28</v>
      </c>
      <c r="O490">
        <v>0</v>
      </c>
      <c r="P490">
        <v>30344</v>
      </c>
      <c r="Q490">
        <f t="shared" si="7"/>
        <v>3.0343999999999999E-2</v>
      </c>
      <c r="R490">
        <v>43252</v>
      </c>
      <c r="S490" t="s">
        <v>122</v>
      </c>
    </row>
    <row r="491" spans="1:19">
      <c r="A491">
        <v>60000490</v>
      </c>
      <c r="B491">
        <v>39</v>
      </c>
      <c r="C491" t="s">
        <v>18</v>
      </c>
      <c r="D491" t="s">
        <v>19</v>
      </c>
      <c r="E491" t="s">
        <v>56</v>
      </c>
      <c r="F491" t="s">
        <v>120</v>
      </c>
      <c r="G491" s="23">
        <v>0.24</v>
      </c>
      <c r="H491" t="s">
        <v>29</v>
      </c>
      <c r="I491" t="s">
        <v>70</v>
      </c>
      <c r="J491" t="s">
        <v>61</v>
      </c>
      <c r="K491" t="s">
        <v>118</v>
      </c>
      <c r="L491" t="s">
        <v>119</v>
      </c>
      <c r="M491" t="s">
        <v>27</v>
      </c>
      <c r="N491" t="s">
        <v>51</v>
      </c>
      <c r="O491">
        <v>2</v>
      </c>
      <c r="P491">
        <v>37773</v>
      </c>
      <c r="Q491">
        <f t="shared" si="7"/>
        <v>3.7773000000000001E-2</v>
      </c>
      <c r="R491">
        <v>43252</v>
      </c>
      <c r="S491" t="s">
        <v>122</v>
      </c>
    </row>
    <row r="492" spans="1:19">
      <c r="A492">
        <v>60000491</v>
      </c>
      <c r="B492">
        <v>50</v>
      </c>
      <c r="C492" t="s">
        <v>33</v>
      </c>
      <c r="D492" t="s">
        <v>19</v>
      </c>
      <c r="E492" t="s">
        <v>20</v>
      </c>
      <c r="F492" t="s">
        <v>21</v>
      </c>
      <c r="G492" s="23">
        <v>0.32</v>
      </c>
      <c r="H492" t="s">
        <v>42</v>
      </c>
      <c r="I492" t="s">
        <v>60</v>
      </c>
      <c r="J492" t="s">
        <v>74</v>
      </c>
      <c r="K492" t="s">
        <v>90</v>
      </c>
      <c r="L492" t="s">
        <v>119</v>
      </c>
      <c r="M492" t="s">
        <v>27</v>
      </c>
      <c r="N492" t="s">
        <v>51</v>
      </c>
      <c r="O492">
        <v>7</v>
      </c>
      <c r="P492">
        <v>54503</v>
      </c>
      <c r="Q492">
        <f t="shared" si="7"/>
        <v>5.4503000000000003E-2</v>
      </c>
      <c r="R492">
        <v>43252</v>
      </c>
      <c r="S492" t="s">
        <v>122</v>
      </c>
    </row>
    <row r="493" spans="1:19">
      <c r="A493">
        <v>60000492</v>
      </c>
      <c r="B493">
        <v>33</v>
      </c>
      <c r="C493" t="s">
        <v>18</v>
      </c>
      <c r="D493" t="s">
        <v>19</v>
      </c>
      <c r="E493" t="s">
        <v>52</v>
      </c>
      <c r="F493" t="s">
        <v>120</v>
      </c>
      <c r="G493" s="23">
        <v>0.17</v>
      </c>
      <c r="H493" t="s">
        <v>22</v>
      </c>
      <c r="I493" t="s">
        <v>73</v>
      </c>
      <c r="J493" t="s">
        <v>54</v>
      </c>
      <c r="K493" t="s">
        <v>43</v>
      </c>
      <c r="L493" t="s">
        <v>119</v>
      </c>
      <c r="M493" t="s">
        <v>27</v>
      </c>
      <c r="N493" t="s">
        <v>28</v>
      </c>
      <c r="O493">
        <v>2</v>
      </c>
      <c r="P493">
        <v>69843</v>
      </c>
      <c r="Q493">
        <f t="shared" si="7"/>
        <v>6.9843000000000002E-2</v>
      </c>
      <c r="R493">
        <v>43252</v>
      </c>
      <c r="S493" t="s">
        <v>122</v>
      </c>
    </row>
    <row r="494" spans="1:19">
      <c r="A494">
        <v>60000493</v>
      </c>
      <c r="B494">
        <v>58</v>
      </c>
      <c r="C494" t="s">
        <v>18</v>
      </c>
      <c r="D494" t="s">
        <v>40</v>
      </c>
      <c r="E494" t="s">
        <v>44</v>
      </c>
      <c r="F494" t="s">
        <v>35</v>
      </c>
      <c r="G494" s="23">
        <v>0.26</v>
      </c>
      <c r="H494" t="s">
        <v>53</v>
      </c>
      <c r="I494" t="s">
        <v>37</v>
      </c>
      <c r="J494" t="s">
        <v>74</v>
      </c>
      <c r="K494" t="s">
        <v>60</v>
      </c>
      <c r="L494" t="s">
        <v>119</v>
      </c>
      <c r="M494" t="s">
        <v>27</v>
      </c>
      <c r="N494" t="s">
        <v>28</v>
      </c>
      <c r="O494">
        <v>2</v>
      </c>
      <c r="P494">
        <v>52179</v>
      </c>
      <c r="Q494">
        <f t="shared" ref="Q494:Q557" si="8">+P494/1000000</f>
        <v>5.2179000000000003E-2</v>
      </c>
      <c r="R494">
        <v>43252</v>
      </c>
      <c r="S494" t="s">
        <v>122</v>
      </c>
    </row>
    <row r="495" spans="1:19">
      <c r="A495">
        <v>60000494</v>
      </c>
      <c r="B495">
        <v>51</v>
      </c>
      <c r="C495" t="s">
        <v>18</v>
      </c>
      <c r="D495" t="s">
        <v>19</v>
      </c>
      <c r="E495" t="s">
        <v>67</v>
      </c>
      <c r="F495" t="s">
        <v>120</v>
      </c>
      <c r="G495" s="23">
        <v>0.28999999999999998</v>
      </c>
      <c r="H495" t="s">
        <v>53</v>
      </c>
      <c r="I495" t="s">
        <v>45</v>
      </c>
      <c r="J495" t="s">
        <v>46</v>
      </c>
      <c r="K495" t="s">
        <v>83</v>
      </c>
      <c r="L495" t="s">
        <v>26</v>
      </c>
      <c r="M495" t="s">
        <v>27</v>
      </c>
      <c r="N495" t="s">
        <v>28</v>
      </c>
      <c r="O495">
        <v>0</v>
      </c>
      <c r="P495">
        <v>74828</v>
      </c>
      <c r="Q495">
        <f t="shared" si="8"/>
        <v>7.4828000000000006E-2</v>
      </c>
      <c r="R495">
        <v>43252</v>
      </c>
      <c r="S495" t="s">
        <v>122</v>
      </c>
    </row>
    <row r="496" spans="1:19">
      <c r="A496">
        <v>60000495</v>
      </c>
      <c r="B496">
        <v>55</v>
      </c>
      <c r="C496" t="s">
        <v>18</v>
      </c>
      <c r="D496" t="s">
        <v>40</v>
      </c>
      <c r="E496" t="s">
        <v>34</v>
      </c>
      <c r="F496" t="s">
        <v>35</v>
      </c>
      <c r="G496" s="23">
        <v>0.1</v>
      </c>
      <c r="H496" t="s">
        <v>36</v>
      </c>
      <c r="I496" t="s">
        <v>30</v>
      </c>
      <c r="J496" t="s">
        <v>69</v>
      </c>
      <c r="K496" t="s">
        <v>81</v>
      </c>
      <c r="L496" t="s">
        <v>119</v>
      </c>
      <c r="M496" t="s">
        <v>27</v>
      </c>
      <c r="N496" t="s">
        <v>51</v>
      </c>
      <c r="O496">
        <v>0</v>
      </c>
      <c r="P496">
        <v>33616</v>
      </c>
      <c r="Q496">
        <f t="shared" si="8"/>
        <v>3.3616E-2</v>
      </c>
      <c r="R496">
        <v>43252</v>
      </c>
      <c r="S496" t="s">
        <v>122</v>
      </c>
    </row>
    <row r="497" spans="1:19">
      <c r="A497">
        <v>60000496</v>
      </c>
      <c r="B497">
        <v>20</v>
      </c>
      <c r="C497" t="s">
        <v>18</v>
      </c>
      <c r="D497" t="s">
        <v>40</v>
      </c>
      <c r="E497" t="s">
        <v>44</v>
      </c>
      <c r="F497" t="s">
        <v>21</v>
      </c>
      <c r="G497" s="23">
        <v>0.18</v>
      </c>
      <c r="H497" t="s">
        <v>22</v>
      </c>
      <c r="I497" t="s">
        <v>76</v>
      </c>
      <c r="J497" t="s">
        <v>88</v>
      </c>
      <c r="K497" t="s">
        <v>110</v>
      </c>
      <c r="L497" t="s">
        <v>121</v>
      </c>
      <c r="M497" t="s">
        <v>27</v>
      </c>
      <c r="N497" t="s">
        <v>28</v>
      </c>
      <c r="O497">
        <v>0</v>
      </c>
      <c r="P497">
        <v>26557</v>
      </c>
      <c r="Q497">
        <f t="shared" si="8"/>
        <v>2.6557000000000001E-2</v>
      </c>
      <c r="R497">
        <v>43252</v>
      </c>
      <c r="S497" t="s">
        <v>122</v>
      </c>
    </row>
    <row r="498" spans="1:19">
      <c r="A498">
        <v>60000497</v>
      </c>
      <c r="B498">
        <v>31</v>
      </c>
      <c r="C498" t="s">
        <v>18</v>
      </c>
      <c r="D498" t="s">
        <v>40</v>
      </c>
      <c r="E498" t="s">
        <v>67</v>
      </c>
      <c r="F498" t="s">
        <v>21</v>
      </c>
      <c r="G498" s="23">
        <v>0.3</v>
      </c>
      <c r="H498" t="s">
        <v>53</v>
      </c>
      <c r="I498" t="s">
        <v>86</v>
      </c>
      <c r="J498" t="s">
        <v>58</v>
      </c>
      <c r="K498" t="s">
        <v>112</v>
      </c>
      <c r="L498" t="s">
        <v>26</v>
      </c>
      <c r="M498" t="s">
        <v>27</v>
      </c>
      <c r="N498" t="s">
        <v>28</v>
      </c>
      <c r="O498">
        <v>0</v>
      </c>
      <c r="P498">
        <v>62858</v>
      </c>
      <c r="Q498">
        <f t="shared" si="8"/>
        <v>6.2857999999999997E-2</v>
      </c>
      <c r="R498">
        <v>43252</v>
      </c>
      <c r="S498" t="s">
        <v>122</v>
      </c>
    </row>
    <row r="499" spans="1:19">
      <c r="A499">
        <v>60000498</v>
      </c>
      <c r="B499">
        <v>22</v>
      </c>
      <c r="C499" t="s">
        <v>33</v>
      </c>
      <c r="D499" t="s">
        <v>40</v>
      </c>
      <c r="E499" t="s">
        <v>41</v>
      </c>
      <c r="F499" t="s">
        <v>21</v>
      </c>
      <c r="G499" s="23">
        <v>0.33</v>
      </c>
      <c r="H499" t="s">
        <v>42</v>
      </c>
      <c r="I499" t="s">
        <v>68</v>
      </c>
      <c r="J499" t="s">
        <v>78</v>
      </c>
      <c r="K499" t="s">
        <v>111</v>
      </c>
      <c r="L499" t="s">
        <v>119</v>
      </c>
      <c r="M499" t="s">
        <v>27</v>
      </c>
      <c r="N499" t="s">
        <v>51</v>
      </c>
      <c r="O499">
        <v>1</v>
      </c>
      <c r="P499">
        <v>61560</v>
      </c>
      <c r="Q499">
        <f t="shared" si="8"/>
        <v>6.1559999999999997E-2</v>
      </c>
      <c r="R499">
        <v>43252</v>
      </c>
      <c r="S499" t="s">
        <v>122</v>
      </c>
    </row>
    <row r="500" spans="1:19">
      <c r="A500">
        <v>60000499</v>
      </c>
      <c r="B500">
        <v>49</v>
      </c>
      <c r="C500" t="s">
        <v>33</v>
      </c>
      <c r="D500" t="s">
        <v>19</v>
      </c>
      <c r="E500" t="s">
        <v>41</v>
      </c>
      <c r="F500" t="s">
        <v>21</v>
      </c>
      <c r="G500" s="23">
        <v>0.18</v>
      </c>
      <c r="H500" t="s">
        <v>22</v>
      </c>
      <c r="I500" t="s">
        <v>73</v>
      </c>
      <c r="J500" t="s">
        <v>58</v>
      </c>
      <c r="K500" t="s">
        <v>71</v>
      </c>
      <c r="L500" t="s">
        <v>121</v>
      </c>
      <c r="M500" t="s">
        <v>27</v>
      </c>
      <c r="N500" t="s">
        <v>51</v>
      </c>
      <c r="O500">
        <v>0</v>
      </c>
      <c r="P500">
        <v>79005</v>
      </c>
      <c r="Q500">
        <f t="shared" si="8"/>
        <v>7.9005000000000006E-2</v>
      </c>
      <c r="R500">
        <v>43252</v>
      </c>
      <c r="S500" t="s">
        <v>122</v>
      </c>
    </row>
    <row r="501" spans="1:19">
      <c r="A501">
        <v>60000500</v>
      </c>
      <c r="B501">
        <v>42</v>
      </c>
      <c r="C501" t="s">
        <v>33</v>
      </c>
      <c r="D501" t="s">
        <v>40</v>
      </c>
      <c r="E501" t="s">
        <v>41</v>
      </c>
      <c r="F501" t="s">
        <v>35</v>
      </c>
      <c r="G501" s="23">
        <v>0.28000000000000003</v>
      </c>
      <c r="H501" t="s">
        <v>53</v>
      </c>
      <c r="I501" t="s">
        <v>73</v>
      </c>
      <c r="J501" t="s">
        <v>46</v>
      </c>
      <c r="K501" t="s">
        <v>114</v>
      </c>
      <c r="L501" t="s">
        <v>119</v>
      </c>
      <c r="M501" t="s">
        <v>27</v>
      </c>
      <c r="N501" t="s">
        <v>51</v>
      </c>
      <c r="O501">
        <v>0</v>
      </c>
      <c r="P501">
        <v>28323</v>
      </c>
      <c r="Q501">
        <f t="shared" si="8"/>
        <v>2.8323000000000001E-2</v>
      </c>
      <c r="R501">
        <v>43252</v>
      </c>
      <c r="S501" t="s">
        <v>122</v>
      </c>
    </row>
    <row r="502" spans="1:19">
      <c r="A502">
        <v>60000501</v>
      </c>
      <c r="B502">
        <v>37</v>
      </c>
      <c r="C502" t="s">
        <v>33</v>
      </c>
      <c r="D502" t="s">
        <v>19</v>
      </c>
      <c r="E502" t="s">
        <v>67</v>
      </c>
      <c r="F502" t="s">
        <v>120</v>
      </c>
      <c r="G502" s="23">
        <v>0.18</v>
      </c>
      <c r="H502" t="s">
        <v>22</v>
      </c>
      <c r="I502" t="s">
        <v>57</v>
      </c>
      <c r="J502" t="s">
        <v>38</v>
      </c>
      <c r="K502" t="s">
        <v>59</v>
      </c>
      <c r="L502" t="s">
        <v>121</v>
      </c>
      <c r="M502" t="s">
        <v>27</v>
      </c>
      <c r="N502" t="s">
        <v>28</v>
      </c>
      <c r="O502">
        <v>4</v>
      </c>
      <c r="P502">
        <v>52056</v>
      </c>
      <c r="Q502">
        <f t="shared" si="8"/>
        <v>5.2055999999999998E-2</v>
      </c>
      <c r="R502">
        <v>43252</v>
      </c>
      <c r="S502" t="s">
        <v>122</v>
      </c>
    </row>
    <row r="503" spans="1:19">
      <c r="A503">
        <v>60000502</v>
      </c>
      <c r="B503">
        <v>62</v>
      </c>
      <c r="C503" t="s">
        <v>18</v>
      </c>
      <c r="D503" t="s">
        <v>40</v>
      </c>
      <c r="E503" t="s">
        <v>67</v>
      </c>
      <c r="F503" t="s">
        <v>35</v>
      </c>
      <c r="G503" s="23">
        <v>0.31</v>
      </c>
      <c r="H503" t="s">
        <v>53</v>
      </c>
      <c r="I503" t="s">
        <v>49</v>
      </c>
      <c r="J503" t="s">
        <v>74</v>
      </c>
      <c r="K503" t="s">
        <v>113</v>
      </c>
      <c r="L503" t="s">
        <v>119</v>
      </c>
      <c r="M503" t="s">
        <v>27</v>
      </c>
      <c r="N503" t="s">
        <v>51</v>
      </c>
      <c r="O503">
        <v>0</v>
      </c>
      <c r="P503">
        <v>39339</v>
      </c>
      <c r="Q503">
        <f t="shared" si="8"/>
        <v>3.9338999999999999E-2</v>
      </c>
      <c r="R503">
        <v>43252</v>
      </c>
      <c r="S503" t="s">
        <v>122</v>
      </c>
    </row>
    <row r="504" spans="1:19">
      <c r="A504">
        <v>60000503</v>
      </c>
      <c r="B504">
        <v>24</v>
      </c>
      <c r="C504" t="s">
        <v>33</v>
      </c>
      <c r="D504" t="s">
        <v>40</v>
      </c>
      <c r="E504" t="s">
        <v>44</v>
      </c>
      <c r="F504" t="s">
        <v>35</v>
      </c>
      <c r="G504" s="23">
        <v>0.27</v>
      </c>
      <c r="H504" t="s">
        <v>53</v>
      </c>
      <c r="I504" t="s">
        <v>86</v>
      </c>
      <c r="J504" t="s">
        <v>38</v>
      </c>
      <c r="K504" t="s">
        <v>50</v>
      </c>
      <c r="L504" t="s">
        <v>119</v>
      </c>
      <c r="M504" t="s">
        <v>27</v>
      </c>
      <c r="N504" t="s">
        <v>51</v>
      </c>
      <c r="O504">
        <v>0</v>
      </c>
      <c r="P504">
        <v>41199</v>
      </c>
      <c r="Q504">
        <f t="shared" si="8"/>
        <v>4.1199E-2</v>
      </c>
      <c r="R504">
        <v>43252</v>
      </c>
      <c r="S504" t="s">
        <v>122</v>
      </c>
    </row>
    <row r="505" spans="1:19">
      <c r="A505">
        <v>60000504</v>
      </c>
      <c r="B505">
        <v>24</v>
      </c>
      <c r="C505" t="s">
        <v>33</v>
      </c>
      <c r="D505" t="s">
        <v>40</v>
      </c>
      <c r="E505" t="s">
        <v>48</v>
      </c>
      <c r="F505" t="s">
        <v>120</v>
      </c>
      <c r="G505" s="23">
        <v>0.17</v>
      </c>
      <c r="H505" t="s">
        <v>22</v>
      </c>
      <c r="I505" t="s">
        <v>80</v>
      </c>
      <c r="J505" t="s">
        <v>61</v>
      </c>
      <c r="K505" t="s">
        <v>81</v>
      </c>
      <c r="L505" t="s">
        <v>26</v>
      </c>
      <c r="M505" t="s">
        <v>27</v>
      </c>
      <c r="N505" t="s">
        <v>51</v>
      </c>
      <c r="O505">
        <v>0</v>
      </c>
      <c r="P505">
        <v>49602</v>
      </c>
      <c r="Q505">
        <f t="shared" si="8"/>
        <v>4.9602E-2</v>
      </c>
      <c r="R505">
        <v>43252</v>
      </c>
      <c r="S505" t="s">
        <v>122</v>
      </c>
    </row>
    <row r="506" spans="1:19">
      <c r="A506">
        <v>60000505</v>
      </c>
      <c r="B506">
        <v>52</v>
      </c>
      <c r="C506" t="s">
        <v>18</v>
      </c>
      <c r="D506" t="s">
        <v>40</v>
      </c>
      <c r="E506" t="s">
        <v>85</v>
      </c>
      <c r="F506" t="s">
        <v>35</v>
      </c>
      <c r="G506" s="23">
        <v>0.2</v>
      </c>
      <c r="H506" t="s">
        <v>29</v>
      </c>
      <c r="I506" t="s">
        <v>30</v>
      </c>
      <c r="J506" t="s">
        <v>46</v>
      </c>
      <c r="K506" t="s">
        <v>25</v>
      </c>
      <c r="L506" t="s">
        <v>26</v>
      </c>
      <c r="M506" t="s">
        <v>27</v>
      </c>
      <c r="N506" t="s">
        <v>51</v>
      </c>
      <c r="O506">
        <v>0</v>
      </c>
      <c r="P506">
        <v>36760</v>
      </c>
      <c r="Q506">
        <f t="shared" si="8"/>
        <v>3.6760000000000001E-2</v>
      </c>
      <c r="R506">
        <v>43252</v>
      </c>
      <c r="S506" t="s">
        <v>122</v>
      </c>
    </row>
    <row r="507" spans="1:19">
      <c r="A507">
        <v>60000506</v>
      </c>
      <c r="B507">
        <v>54</v>
      </c>
      <c r="C507" t="s">
        <v>18</v>
      </c>
      <c r="D507" t="s">
        <v>19</v>
      </c>
      <c r="E507" t="s">
        <v>75</v>
      </c>
      <c r="F507" t="s">
        <v>35</v>
      </c>
      <c r="G507" s="23">
        <v>0.34</v>
      </c>
      <c r="H507" t="s">
        <v>42</v>
      </c>
      <c r="I507" t="s">
        <v>68</v>
      </c>
      <c r="J507" t="s">
        <v>69</v>
      </c>
      <c r="K507" t="s">
        <v>50</v>
      </c>
      <c r="L507" t="s">
        <v>119</v>
      </c>
      <c r="M507" t="s">
        <v>27</v>
      </c>
      <c r="N507" t="s">
        <v>51</v>
      </c>
      <c r="O507">
        <v>0</v>
      </c>
      <c r="P507">
        <v>79375</v>
      </c>
      <c r="Q507">
        <f t="shared" si="8"/>
        <v>7.9375000000000001E-2</v>
      </c>
      <c r="R507">
        <v>43252</v>
      </c>
      <c r="S507" t="s">
        <v>122</v>
      </c>
    </row>
    <row r="508" spans="1:19">
      <c r="A508">
        <v>60000507</v>
      </c>
      <c r="B508">
        <v>23</v>
      </c>
      <c r="C508" t="s">
        <v>18</v>
      </c>
      <c r="D508" t="s">
        <v>19</v>
      </c>
      <c r="E508" t="s">
        <v>20</v>
      </c>
      <c r="F508" t="s">
        <v>35</v>
      </c>
      <c r="G508" s="23">
        <v>0.28000000000000003</v>
      </c>
      <c r="H508" t="s">
        <v>53</v>
      </c>
      <c r="I508" t="s">
        <v>80</v>
      </c>
      <c r="J508" t="s">
        <v>66</v>
      </c>
      <c r="K508" t="s">
        <v>113</v>
      </c>
      <c r="L508" t="s">
        <v>121</v>
      </c>
      <c r="M508" t="s">
        <v>27</v>
      </c>
      <c r="N508" t="s">
        <v>28</v>
      </c>
      <c r="O508">
        <v>7</v>
      </c>
      <c r="P508">
        <v>77696</v>
      </c>
      <c r="Q508">
        <f t="shared" si="8"/>
        <v>7.7696000000000001E-2</v>
      </c>
      <c r="R508">
        <v>43252</v>
      </c>
      <c r="S508" t="s">
        <v>122</v>
      </c>
    </row>
    <row r="509" spans="1:19">
      <c r="A509">
        <v>60000508</v>
      </c>
      <c r="B509">
        <v>37</v>
      </c>
      <c r="C509" t="s">
        <v>33</v>
      </c>
      <c r="D509" t="s">
        <v>19</v>
      </c>
      <c r="E509" t="s">
        <v>52</v>
      </c>
      <c r="F509" t="s">
        <v>120</v>
      </c>
      <c r="G509" s="23">
        <v>0.35</v>
      </c>
      <c r="H509" t="s">
        <v>42</v>
      </c>
      <c r="I509" t="s">
        <v>70</v>
      </c>
      <c r="J509" t="s">
        <v>78</v>
      </c>
      <c r="K509" t="s">
        <v>99</v>
      </c>
      <c r="L509" t="s">
        <v>121</v>
      </c>
      <c r="M509" t="s">
        <v>27</v>
      </c>
      <c r="N509" t="s">
        <v>51</v>
      </c>
      <c r="O509">
        <v>0</v>
      </c>
      <c r="P509">
        <v>81384</v>
      </c>
      <c r="Q509">
        <f t="shared" si="8"/>
        <v>8.1383999999999998E-2</v>
      </c>
      <c r="R509">
        <v>43252</v>
      </c>
      <c r="S509" t="s">
        <v>122</v>
      </c>
    </row>
    <row r="510" spans="1:19">
      <c r="A510">
        <v>60000509</v>
      </c>
      <c r="B510">
        <v>22</v>
      </c>
      <c r="C510" t="s">
        <v>18</v>
      </c>
      <c r="D510" t="s">
        <v>19</v>
      </c>
      <c r="E510" t="s">
        <v>48</v>
      </c>
      <c r="F510" t="s">
        <v>120</v>
      </c>
      <c r="G510" s="23">
        <v>0.36</v>
      </c>
      <c r="H510" t="s">
        <v>42</v>
      </c>
      <c r="I510" t="s">
        <v>23</v>
      </c>
      <c r="J510" t="s">
        <v>46</v>
      </c>
      <c r="K510" t="s">
        <v>50</v>
      </c>
      <c r="L510" t="s">
        <v>26</v>
      </c>
      <c r="M510" t="s">
        <v>27</v>
      </c>
      <c r="N510" t="s">
        <v>51</v>
      </c>
      <c r="O510">
        <v>0</v>
      </c>
      <c r="P510">
        <v>64585</v>
      </c>
      <c r="Q510">
        <f t="shared" si="8"/>
        <v>6.4585000000000004E-2</v>
      </c>
      <c r="R510">
        <v>43252</v>
      </c>
      <c r="S510" t="s">
        <v>122</v>
      </c>
    </row>
    <row r="511" spans="1:19">
      <c r="A511">
        <v>60000510</v>
      </c>
      <c r="B511">
        <v>22</v>
      </c>
      <c r="C511" t="s">
        <v>33</v>
      </c>
      <c r="D511" t="s">
        <v>19</v>
      </c>
      <c r="E511" t="s">
        <v>64</v>
      </c>
      <c r="F511" t="s">
        <v>35</v>
      </c>
      <c r="G511" s="23">
        <v>0.38</v>
      </c>
      <c r="H511" t="s">
        <v>42</v>
      </c>
      <c r="I511" t="s">
        <v>65</v>
      </c>
      <c r="J511" t="s">
        <v>74</v>
      </c>
      <c r="K511" t="s">
        <v>65</v>
      </c>
      <c r="L511" t="s">
        <v>119</v>
      </c>
      <c r="M511" t="s">
        <v>27</v>
      </c>
      <c r="N511" t="s">
        <v>28</v>
      </c>
      <c r="O511">
        <v>6</v>
      </c>
      <c r="P511">
        <v>26416</v>
      </c>
      <c r="Q511">
        <f t="shared" si="8"/>
        <v>2.6415999999999999E-2</v>
      </c>
      <c r="R511">
        <v>43252</v>
      </c>
      <c r="S511" t="s">
        <v>122</v>
      </c>
    </row>
    <row r="512" spans="1:19">
      <c r="A512">
        <v>60000511</v>
      </c>
      <c r="B512">
        <v>29</v>
      </c>
      <c r="C512" t="s">
        <v>33</v>
      </c>
      <c r="D512" t="s">
        <v>40</v>
      </c>
      <c r="E512" t="s">
        <v>72</v>
      </c>
      <c r="F512" t="s">
        <v>120</v>
      </c>
      <c r="G512" s="23">
        <v>0.27</v>
      </c>
      <c r="H512" t="s">
        <v>53</v>
      </c>
      <c r="I512" t="s">
        <v>65</v>
      </c>
      <c r="J512" t="s">
        <v>66</v>
      </c>
      <c r="K512" t="s">
        <v>94</v>
      </c>
      <c r="L512" t="s">
        <v>119</v>
      </c>
      <c r="M512" t="s">
        <v>27</v>
      </c>
      <c r="N512" t="s">
        <v>28</v>
      </c>
      <c r="O512">
        <v>2</v>
      </c>
      <c r="P512">
        <v>64046</v>
      </c>
      <c r="Q512">
        <f t="shared" si="8"/>
        <v>6.4046000000000006E-2</v>
      </c>
      <c r="R512">
        <v>43252</v>
      </c>
      <c r="S512" t="s">
        <v>122</v>
      </c>
    </row>
    <row r="513" spans="1:19">
      <c r="A513">
        <v>60000512</v>
      </c>
      <c r="B513">
        <v>38</v>
      </c>
      <c r="C513" t="s">
        <v>18</v>
      </c>
      <c r="D513" t="s">
        <v>40</v>
      </c>
      <c r="E513" t="s">
        <v>44</v>
      </c>
      <c r="F513" t="s">
        <v>35</v>
      </c>
      <c r="G513" s="23">
        <v>0.35</v>
      </c>
      <c r="H513" t="s">
        <v>42</v>
      </c>
      <c r="I513" t="s">
        <v>23</v>
      </c>
      <c r="J513" t="s">
        <v>46</v>
      </c>
      <c r="K513" t="s">
        <v>112</v>
      </c>
      <c r="L513" t="s">
        <v>121</v>
      </c>
      <c r="M513" t="s">
        <v>27</v>
      </c>
      <c r="N513" t="s">
        <v>28</v>
      </c>
      <c r="O513">
        <v>7</v>
      </c>
      <c r="P513">
        <v>24939</v>
      </c>
      <c r="Q513">
        <f t="shared" si="8"/>
        <v>2.4938999999999999E-2</v>
      </c>
      <c r="R513">
        <v>43252</v>
      </c>
      <c r="S513" t="s">
        <v>122</v>
      </c>
    </row>
    <row r="514" spans="1:19">
      <c r="A514">
        <v>60000513</v>
      </c>
      <c r="B514">
        <v>64</v>
      </c>
      <c r="C514" t="s">
        <v>18</v>
      </c>
      <c r="D514" t="s">
        <v>19</v>
      </c>
      <c r="E514" t="s">
        <v>72</v>
      </c>
      <c r="F514" t="s">
        <v>35</v>
      </c>
      <c r="G514" s="23">
        <v>0.35</v>
      </c>
      <c r="H514" t="s">
        <v>42</v>
      </c>
      <c r="I514" t="s">
        <v>68</v>
      </c>
      <c r="J514" t="s">
        <v>38</v>
      </c>
      <c r="K514" t="s">
        <v>49</v>
      </c>
      <c r="L514" t="s">
        <v>26</v>
      </c>
      <c r="M514" t="s">
        <v>27</v>
      </c>
      <c r="N514" t="s">
        <v>51</v>
      </c>
      <c r="O514">
        <v>0</v>
      </c>
      <c r="P514">
        <v>79838</v>
      </c>
      <c r="Q514">
        <f t="shared" si="8"/>
        <v>7.9838000000000006E-2</v>
      </c>
      <c r="R514">
        <v>43252</v>
      </c>
      <c r="S514" t="s">
        <v>122</v>
      </c>
    </row>
    <row r="515" spans="1:19">
      <c r="A515">
        <v>60000514</v>
      </c>
      <c r="B515">
        <v>59</v>
      </c>
      <c r="C515" t="s">
        <v>18</v>
      </c>
      <c r="D515" t="s">
        <v>40</v>
      </c>
      <c r="E515" t="s">
        <v>67</v>
      </c>
      <c r="F515" t="s">
        <v>21</v>
      </c>
      <c r="G515" s="23">
        <v>0.19</v>
      </c>
      <c r="H515" t="s">
        <v>29</v>
      </c>
      <c r="I515" t="s">
        <v>30</v>
      </c>
      <c r="J515" t="s">
        <v>38</v>
      </c>
      <c r="K515" t="s">
        <v>108</v>
      </c>
      <c r="L515" t="s">
        <v>26</v>
      </c>
      <c r="M515" t="s">
        <v>27</v>
      </c>
      <c r="N515" t="s">
        <v>28</v>
      </c>
      <c r="O515">
        <v>7</v>
      </c>
      <c r="P515">
        <v>28883</v>
      </c>
      <c r="Q515">
        <f t="shared" si="8"/>
        <v>2.8882999999999999E-2</v>
      </c>
      <c r="R515">
        <v>43252</v>
      </c>
      <c r="S515" t="s">
        <v>122</v>
      </c>
    </row>
    <row r="516" spans="1:19">
      <c r="A516">
        <v>60000515</v>
      </c>
      <c r="B516">
        <v>58</v>
      </c>
      <c r="C516" t="s">
        <v>18</v>
      </c>
      <c r="D516" t="s">
        <v>40</v>
      </c>
      <c r="E516" t="s">
        <v>67</v>
      </c>
      <c r="F516" t="s">
        <v>35</v>
      </c>
      <c r="G516" s="23">
        <v>0.25</v>
      </c>
      <c r="H516" t="s">
        <v>53</v>
      </c>
      <c r="I516" t="s">
        <v>86</v>
      </c>
      <c r="J516" t="s">
        <v>31</v>
      </c>
      <c r="K516" t="s">
        <v>99</v>
      </c>
      <c r="L516" t="s">
        <v>119</v>
      </c>
      <c r="M516" t="s">
        <v>27</v>
      </c>
      <c r="N516" t="s">
        <v>28</v>
      </c>
      <c r="O516">
        <v>0</v>
      </c>
      <c r="P516">
        <v>82172</v>
      </c>
      <c r="Q516">
        <f t="shared" si="8"/>
        <v>8.2171999999999995E-2</v>
      </c>
      <c r="R516">
        <v>43252</v>
      </c>
      <c r="S516" t="s">
        <v>122</v>
      </c>
    </row>
    <row r="517" spans="1:19">
      <c r="A517">
        <v>60000516</v>
      </c>
      <c r="B517">
        <v>22</v>
      </c>
      <c r="C517" t="s">
        <v>18</v>
      </c>
      <c r="D517" t="s">
        <v>19</v>
      </c>
      <c r="E517" t="s">
        <v>64</v>
      </c>
      <c r="F517" t="s">
        <v>21</v>
      </c>
      <c r="G517" s="23">
        <v>0.18</v>
      </c>
      <c r="H517" t="s">
        <v>22</v>
      </c>
      <c r="I517" t="s">
        <v>60</v>
      </c>
      <c r="J517" t="s">
        <v>24</v>
      </c>
      <c r="K517" t="s">
        <v>84</v>
      </c>
      <c r="L517" t="s">
        <v>119</v>
      </c>
      <c r="M517" t="s">
        <v>27</v>
      </c>
      <c r="N517" t="s">
        <v>28</v>
      </c>
      <c r="O517">
        <v>0</v>
      </c>
      <c r="P517">
        <v>49849</v>
      </c>
      <c r="Q517">
        <f t="shared" si="8"/>
        <v>4.9848999999999997E-2</v>
      </c>
      <c r="R517">
        <v>43252</v>
      </c>
      <c r="S517" t="s">
        <v>122</v>
      </c>
    </row>
    <row r="518" spans="1:19">
      <c r="A518">
        <v>60000517</v>
      </c>
      <c r="B518">
        <v>22</v>
      </c>
      <c r="C518" t="s">
        <v>18</v>
      </c>
      <c r="D518" t="s">
        <v>40</v>
      </c>
      <c r="E518" t="s">
        <v>56</v>
      </c>
      <c r="F518" t="s">
        <v>120</v>
      </c>
      <c r="G518" s="23">
        <v>0.16</v>
      </c>
      <c r="H518" t="s">
        <v>22</v>
      </c>
      <c r="I518" t="s">
        <v>68</v>
      </c>
      <c r="J518" t="s">
        <v>74</v>
      </c>
      <c r="K518" t="s">
        <v>111</v>
      </c>
      <c r="L518" t="s">
        <v>119</v>
      </c>
      <c r="M518" t="s">
        <v>27</v>
      </c>
      <c r="N518" t="s">
        <v>51</v>
      </c>
      <c r="O518">
        <v>0</v>
      </c>
      <c r="P518">
        <v>55350</v>
      </c>
      <c r="Q518">
        <f t="shared" si="8"/>
        <v>5.5350000000000003E-2</v>
      </c>
      <c r="R518">
        <v>43252</v>
      </c>
      <c r="S518" t="s">
        <v>122</v>
      </c>
    </row>
    <row r="519" spans="1:19">
      <c r="A519">
        <v>60000518</v>
      </c>
      <c r="B519">
        <v>45</v>
      </c>
      <c r="C519" t="s">
        <v>18</v>
      </c>
      <c r="D519" t="s">
        <v>19</v>
      </c>
      <c r="E519" t="s">
        <v>75</v>
      </c>
      <c r="F519" t="s">
        <v>21</v>
      </c>
      <c r="G519" s="23">
        <v>0.28000000000000003</v>
      </c>
      <c r="H519" t="s">
        <v>53</v>
      </c>
      <c r="I519" t="s">
        <v>86</v>
      </c>
      <c r="J519" t="s">
        <v>61</v>
      </c>
      <c r="K519" t="s">
        <v>79</v>
      </c>
      <c r="L519" t="s">
        <v>121</v>
      </c>
      <c r="M519" t="s">
        <v>27</v>
      </c>
      <c r="N519" t="s">
        <v>28</v>
      </c>
      <c r="O519">
        <v>3</v>
      </c>
      <c r="P519">
        <v>78750</v>
      </c>
      <c r="Q519">
        <f t="shared" si="8"/>
        <v>7.8750000000000001E-2</v>
      </c>
      <c r="R519">
        <v>43252</v>
      </c>
      <c r="S519" t="s">
        <v>122</v>
      </c>
    </row>
    <row r="520" spans="1:19">
      <c r="A520">
        <v>60000519</v>
      </c>
      <c r="B520">
        <v>26</v>
      </c>
      <c r="C520" t="s">
        <v>33</v>
      </c>
      <c r="D520" t="s">
        <v>19</v>
      </c>
      <c r="E520" t="s">
        <v>44</v>
      </c>
      <c r="F520" t="s">
        <v>21</v>
      </c>
      <c r="G520" s="23">
        <v>0.17</v>
      </c>
      <c r="H520" t="s">
        <v>22</v>
      </c>
      <c r="I520" t="s">
        <v>73</v>
      </c>
      <c r="J520" t="s">
        <v>66</v>
      </c>
      <c r="K520" t="s">
        <v>65</v>
      </c>
      <c r="L520" t="s">
        <v>119</v>
      </c>
      <c r="M520" t="s">
        <v>27</v>
      </c>
      <c r="N520" t="s">
        <v>51</v>
      </c>
      <c r="O520">
        <v>3</v>
      </c>
      <c r="P520">
        <v>76139</v>
      </c>
      <c r="Q520">
        <f t="shared" si="8"/>
        <v>7.6138999999999998E-2</v>
      </c>
      <c r="R520">
        <v>43252</v>
      </c>
      <c r="S520" t="s">
        <v>122</v>
      </c>
    </row>
    <row r="521" spans="1:19">
      <c r="A521">
        <v>60000520</v>
      </c>
      <c r="B521">
        <v>54</v>
      </c>
      <c r="C521" t="s">
        <v>33</v>
      </c>
      <c r="D521" t="s">
        <v>19</v>
      </c>
      <c r="E521" t="s">
        <v>44</v>
      </c>
      <c r="F521" t="s">
        <v>120</v>
      </c>
      <c r="G521" s="23">
        <v>0.32</v>
      </c>
      <c r="H521" t="s">
        <v>42</v>
      </c>
      <c r="I521" t="s">
        <v>45</v>
      </c>
      <c r="J521" t="s">
        <v>38</v>
      </c>
      <c r="K521" t="s">
        <v>79</v>
      </c>
      <c r="L521" t="s">
        <v>26</v>
      </c>
      <c r="M521" t="s">
        <v>27</v>
      </c>
      <c r="N521" t="s">
        <v>28</v>
      </c>
      <c r="O521">
        <v>7</v>
      </c>
      <c r="P521">
        <v>44697</v>
      </c>
      <c r="Q521">
        <f t="shared" si="8"/>
        <v>4.4697000000000001E-2</v>
      </c>
      <c r="R521">
        <v>43252</v>
      </c>
      <c r="S521" t="s">
        <v>122</v>
      </c>
    </row>
    <row r="522" spans="1:19">
      <c r="A522">
        <v>60000521</v>
      </c>
      <c r="B522">
        <v>32</v>
      </c>
      <c r="C522" t="s">
        <v>33</v>
      </c>
      <c r="D522" t="s">
        <v>19</v>
      </c>
      <c r="E522" t="s">
        <v>34</v>
      </c>
      <c r="F522" t="s">
        <v>21</v>
      </c>
      <c r="G522" s="23">
        <v>0.32</v>
      </c>
      <c r="H522" t="s">
        <v>42</v>
      </c>
      <c r="I522" t="s">
        <v>57</v>
      </c>
      <c r="J522" t="s">
        <v>78</v>
      </c>
      <c r="K522" t="s">
        <v>118</v>
      </c>
      <c r="L522" t="s">
        <v>26</v>
      </c>
      <c r="M522" t="s">
        <v>27</v>
      </c>
      <c r="N522" t="s">
        <v>28</v>
      </c>
      <c r="O522">
        <v>3</v>
      </c>
      <c r="P522">
        <v>29148</v>
      </c>
      <c r="Q522">
        <f t="shared" si="8"/>
        <v>2.9148E-2</v>
      </c>
      <c r="R522">
        <v>43252</v>
      </c>
      <c r="S522" t="s">
        <v>122</v>
      </c>
    </row>
    <row r="523" spans="1:19">
      <c r="A523">
        <v>60000522</v>
      </c>
      <c r="B523">
        <v>26</v>
      </c>
      <c r="C523" t="s">
        <v>33</v>
      </c>
      <c r="D523" t="s">
        <v>40</v>
      </c>
      <c r="E523" t="s">
        <v>56</v>
      </c>
      <c r="F523" t="s">
        <v>35</v>
      </c>
      <c r="G523" s="23">
        <v>0.3</v>
      </c>
      <c r="H523" t="s">
        <v>53</v>
      </c>
      <c r="I523" t="s">
        <v>49</v>
      </c>
      <c r="J523" t="s">
        <v>66</v>
      </c>
      <c r="K523" t="s">
        <v>104</v>
      </c>
      <c r="L523" t="s">
        <v>119</v>
      </c>
      <c r="M523" t="s">
        <v>27</v>
      </c>
      <c r="N523" t="s">
        <v>28</v>
      </c>
      <c r="O523">
        <v>7</v>
      </c>
      <c r="P523">
        <v>46375</v>
      </c>
      <c r="Q523">
        <f t="shared" si="8"/>
        <v>4.6375E-2</v>
      </c>
      <c r="R523">
        <v>43252</v>
      </c>
      <c r="S523" t="s">
        <v>122</v>
      </c>
    </row>
    <row r="524" spans="1:19">
      <c r="A524">
        <v>60000523</v>
      </c>
      <c r="B524">
        <v>32</v>
      </c>
      <c r="C524" t="s">
        <v>18</v>
      </c>
      <c r="D524" t="s">
        <v>40</v>
      </c>
      <c r="E524" t="s">
        <v>85</v>
      </c>
      <c r="F524" t="s">
        <v>21</v>
      </c>
      <c r="G524" s="23">
        <v>0.1</v>
      </c>
      <c r="H524" t="s">
        <v>36</v>
      </c>
      <c r="I524" t="s">
        <v>60</v>
      </c>
      <c r="J524" t="s">
        <v>78</v>
      </c>
      <c r="K524" t="s">
        <v>94</v>
      </c>
      <c r="L524" t="s">
        <v>26</v>
      </c>
      <c r="M524" t="s">
        <v>27</v>
      </c>
      <c r="N524" t="s">
        <v>51</v>
      </c>
      <c r="O524">
        <v>6</v>
      </c>
      <c r="P524">
        <v>46883</v>
      </c>
      <c r="Q524">
        <f t="shared" si="8"/>
        <v>4.6883000000000001E-2</v>
      </c>
      <c r="R524">
        <v>43252</v>
      </c>
      <c r="S524" t="s">
        <v>122</v>
      </c>
    </row>
    <row r="525" spans="1:19">
      <c r="A525">
        <v>60000524</v>
      </c>
      <c r="B525">
        <v>47</v>
      </c>
      <c r="C525" t="s">
        <v>33</v>
      </c>
      <c r="D525" t="s">
        <v>19</v>
      </c>
      <c r="E525" t="s">
        <v>44</v>
      </c>
      <c r="F525" t="s">
        <v>35</v>
      </c>
      <c r="G525" s="23">
        <v>0.22</v>
      </c>
      <c r="H525" t="s">
        <v>29</v>
      </c>
      <c r="I525" t="s">
        <v>80</v>
      </c>
      <c r="J525" t="s">
        <v>54</v>
      </c>
      <c r="K525" t="s">
        <v>82</v>
      </c>
      <c r="L525" t="s">
        <v>121</v>
      </c>
      <c r="M525" t="s">
        <v>27</v>
      </c>
      <c r="N525" t="s">
        <v>28</v>
      </c>
      <c r="O525">
        <v>0</v>
      </c>
      <c r="P525">
        <v>35596</v>
      </c>
      <c r="Q525">
        <f t="shared" si="8"/>
        <v>3.5596000000000003E-2</v>
      </c>
      <c r="R525">
        <v>43252</v>
      </c>
      <c r="S525" t="s">
        <v>122</v>
      </c>
    </row>
    <row r="526" spans="1:19">
      <c r="A526">
        <v>60000525</v>
      </c>
      <c r="B526">
        <v>28</v>
      </c>
      <c r="C526" t="s">
        <v>33</v>
      </c>
      <c r="D526" t="s">
        <v>40</v>
      </c>
      <c r="E526" t="s">
        <v>75</v>
      </c>
      <c r="F526" t="s">
        <v>35</v>
      </c>
      <c r="G526" s="23">
        <v>0.37</v>
      </c>
      <c r="H526" t="s">
        <v>42</v>
      </c>
      <c r="I526" t="s">
        <v>45</v>
      </c>
      <c r="J526" t="s">
        <v>78</v>
      </c>
      <c r="K526" t="s">
        <v>99</v>
      </c>
      <c r="L526" t="s">
        <v>26</v>
      </c>
      <c r="M526" t="s">
        <v>27</v>
      </c>
      <c r="N526" t="s">
        <v>28</v>
      </c>
      <c r="O526">
        <v>4</v>
      </c>
      <c r="P526">
        <v>47797</v>
      </c>
      <c r="Q526">
        <f t="shared" si="8"/>
        <v>4.7796999999999999E-2</v>
      </c>
      <c r="R526">
        <v>43252</v>
      </c>
      <c r="S526" t="s">
        <v>122</v>
      </c>
    </row>
    <row r="527" spans="1:19">
      <c r="A527">
        <v>60000526</v>
      </c>
      <c r="B527">
        <v>49</v>
      </c>
      <c r="C527" t="s">
        <v>18</v>
      </c>
      <c r="D527" t="s">
        <v>40</v>
      </c>
      <c r="E527" t="s">
        <v>75</v>
      </c>
      <c r="F527" t="s">
        <v>35</v>
      </c>
      <c r="G527" s="23">
        <v>0.13</v>
      </c>
      <c r="H527" t="s">
        <v>22</v>
      </c>
      <c r="I527" t="s">
        <v>49</v>
      </c>
      <c r="J527" t="s">
        <v>46</v>
      </c>
      <c r="K527" t="s">
        <v>63</v>
      </c>
      <c r="L527" t="s">
        <v>119</v>
      </c>
      <c r="M527" t="s">
        <v>27</v>
      </c>
      <c r="N527" t="s">
        <v>28</v>
      </c>
      <c r="O527">
        <v>7</v>
      </c>
      <c r="P527">
        <v>84205</v>
      </c>
      <c r="Q527">
        <f t="shared" si="8"/>
        <v>8.4205000000000002E-2</v>
      </c>
      <c r="R527">
        <v>43252</v>
      </c>
      <c r="S527" t="s">
        <v>122</v>
      </c>
    </row>
    <row r="528" spans="1:19">
      <c r="A528">
        <v>60000527</v>
      </c>
      <c r="B528">
        <v>27</v>
      </c>
      <c r="C528" t="s">
        <v>33</v>
      </c>
      <c r="D528" t="s">
        <v>40</v>
      </c>
      <c r="E528" t="s">
        <v>72</v>
      </c>
      <c r="F528" t="s">
        <v>35</v>
      </c>
      <c r="G528" s="23">
        <v>0.31</v>
      </c>
      <c r="H528" t="s">
        <v>53</v>
      </c>
      <c r="I528" t="s">
        <v>65</v>
      </c>
      <c r="J528" t="s">
        <v>69</v>
      </c>
      <c r="K528" t="s">
        <v>55</v>
      </c>
      <c r="L528" t="s">
        <v>121</v>
      </c>
      <c r="M528" t="s">
        <v>27</v>
      </c>
      <c r="N528" t="s">
        <v>28</v>
      </c>
      <c r="O528">
        <v>0</v>
      </c>
      <c r="P528">
        <v>40117</v>
      </c>
      <c r="Q528">
        <f t="shared" si="8"/>
        <v>4.0117E-2</v>
      </c>
      <c r="R528">
        <v>43252</v>
      </c>
      <c r="S528" t="s">
        <v>122</v>
      </c>
    </row>
    <row r="529" spans="1:19">
      <c r="A529">
        <v>60000528</v>
      </c>
      <c r="B529">
        <v>55</v>
      </c>
      <c r="C529" t="s">
        <v>18</v>
      </c>
      <c r="D529" t="s">
        <v>19</v>
      </c>
      <c r="E529" t="s">
        <v>20</v>
      </c>
      <c r="F529" t="s">
        <v>35</v>
      </c>
      <c r="G529" s="23">
        <v>0.24</v>
      </c>
      <c r="H529" t="s">
        <v>29</v>
      </c>
      <c r="I529" t="s">
        <v>49</v>
      </c>
      <c r="J529" t="s">
        <v>46</v>
      </c>
      <c r="K529" t="s">
        <v>90</v>
      </c>
      <c r="L529" t="s">
        <v>119</v>
      </c>
      <c r="M529" t="s">
        <v>27</v>
      </c>
      <c r="N529" t="s">
        <v>51</v>
      </c>
      <c r="O529">
        <v>0</v>
      </c>
      <c r="P529">
        <v>41802</v>
      </c>
      <c r="Q529">
        <f t="shared" si="8"/>
        <v>4.1801999999999999E-2</v>
      </c>
      <c r="R529">
        <v>43252</v>
      </c>
      <c r="S529" t="s">
        <v>122</v>
      </c>
    </row>
    <row r="530" spans="1:19">
      <c r="A530">
        <v>60000529</v>
      </c>
      <c r="B530">
        <v>27</v>
      </c>
      <c r="C530" t="s">
        <v>18</v>
      </c>
      <c r="D530" t="s">
        <v>19</v>
      </c>
      <c r="E530" t="s">
        <v>67</v>
      </c>
      <c r="F530" t="s">
        <v>35</v>
      </c>
      <c r="G530" s="23">
        <v>0.34</v>
      </c>
      <c r="H530" t="s">
        <v>42</v>
      </c>
      <c r="I530" t="s">
        <v>86</v>
      </c>
      <c r="J530" t="s">
        <v>69</v>
      </c>
      <c r="K530" t="s">
        <v>39</v>
      </c>
      <c r="L530" t="s">
        <v>26</v>
      </c>
      <c r="M530" t="s">
        <v>27</v>
      </c>
      <c r="N530" t="s">
        <v>28</v>
      </c>
      <c r="O530">
        <v>0</v>
      </c>
      <c r="P530">
        <v>69085</v>
      </c>
      <c r="Q530">
        <f t="shared" si="8"/>
        <v>6.9084999999999994E-2</v>
      </c>
      <c r="R530">
        <v>43252</v>
      </c>
      <c r="S530" t="s">
        <v>122</v>
      </c>
    </row>
    <row r="531" spans="1:19">
      <c r="A531">
        <v>60000530</v>
      </c>
      <c r="B531">
        <v>27</v>
      </c>
      <c r="C531" t="s">
        <v>18</v>
      </c>
      <c r="D531" t="s">
        <v>40</v>
      </c>
      <c r="E531" t="s">
        <v>56</v>
      </c>
      <c r="F531" t="s">
        <v>35</v>
      </c>
      <c r="G531" s="23">
        <v>0.38</v>
      </c>
      <c r="H531" t="s">
        <v>42</v>
      </c>
      <c r="I531" t="s">
        <v>65</v>
      </c>
      <c r="J531" t="s">
        <v>54</v>
      </c>
      <c r="K531" t="s">
        <v>106</v>
      </c>
      <c r="L531" t="s">
        <v>119</v>
      </c>
      <c r="M531" t="s">
        <v>27</v>
      </c>
      <c r="N531" t="s">
        <v>51</v>
      </c>
      <c r="O531">
        <v>6</v>
      </c>
      <c r="P531">
        <v>51061</v>
      </c>
      <c r="Q531">
        <f t="shared" si="8"/>
        <v>5.1061000000000002E-2</v>
      </c>
      <c r="R531">
        <v>43252</v>
      </c>
      <c r="S531" t="s">
        <v>122</v>
      </c>
    </row>
    <row r="532" spans="1:19">
      <c r="A532">
        <v>60000531</v>
      </c>
      <c r="B532">
        <v>27</v>
      </c>
      <c r="C532" t="s">
        <v>18</v>
      </c>
      <c r="D532" t="s">
        <v>40</v>
      </c>
      <c r="E532" t="s">
        <v>67</v>
      </c>
      <c r="F532" t="s">
        <v>35</v>
      </c>
      <c r="G532" s="23">
        <v>0.14000000000000001</v>
      </c>
      <c r="H532" t="s">
        <v>22</v>
      </c>
      <c r="I532" t="s">
        <v>68</v>
      </c>
      <c r="J532" t="s">
        <v>46</v>
      </c>
      <c r="K532" t="s">
        <v>95</v>
      </c>
      <c r="L532" t="s">
        <v>26</v>
      </c>
      <c r="M532" t="s">
        <v>27</v>
      </c>
      <c r="N532" t="s">
        <v>51</v>
      </c>
      <c r="O532">
        <v>2</v>
      </c>
      <c r="P532">
        <v>83923</v>
      </c>
      <c r="Q532">
        <f t="shared" si="8"/>
        <v>8.3922999999999998E-2</v>
      </c>
      <c r="R532">
        <v>43252</v>
      </c>
      <c r="S532" t="s">
        <v>122</v>
      </c>
    </row>
    <row r="533" spans="1:19">
      <c r="A533">
        <v>60000532</v>
      </c>
      <c r="B533">
        <v>20</v>
      </c>
      <c r="C533" t="s">
        <v>33</v>
      </c>
      <c r="D533" t="s">
        <v>19</v>
      </c>
      <c r="E533" t="s">
        <v>20</v>
      </c>
      <c r="F533" t="s">
        <v>21</v>
      </c>
      <c r="G533" s="23">
        <v>0.35</v>
      </c>
      <c r="H533" t="s">
        <v>42</v>
      </c>
      <c r="I533" t="s">
        <v>30</v>
      </c>
      <c r="J533" t="s">
        <v>78</v>
      </c>
      <c r="K533" t="s">
        <v>55</v>
      </c>
      <c r="L533" t="s">
        <v>119</v>
      </c>
      <c r="M533" t="s">
        <v>27</v>
      </c>
      <c r="N533" t="s">
        <v>51</v>
      </c>
      <c r="O533">
        <v>0</v>
      </c>
      <c r="P533">
        <v>58922</v>
      </c>
      <c r="Q533">
        <f t="shared" si="8"/>
        <v>5.8922000000000002E-2</v>
      </c>
      <c r="R533">
        <v>43252</v>
      </c>
      <c r="S533" t="s">
        <v>122</v>
      </c>
    </row>
    <row r="534" spans="1:19">
      <c r="A534">
        <v>60000533</v>
      </c>
      <c r="B534">
        <v>26</v>
      </c>
      <c r="C534" t="s">
        <v>33</v>
      </c>
      <c r="D534" t="s">
        <v>40</v>
      </c>
      <c r="E534" t="s">
        <v>75</v>
      </c>
      <c r="F534" t="s">
        <v>21</v>
      </c>
      <c r="G534" s="23">
        <v>0.24</v>
      </c>
      <c r="H534" t="s">
        <v>29</v>
      </c>
      <c r="I534" t="s">
        <v>68</v>
      </c>
      <c r="J534" t="s">
        <v>66</v>
      </c>
      <c r="K534" t="s">
        <v>47</v>
      </c>
      <c r="L534" t="s">
        <v>26</v>
      </c>
      <c r="M534" t="s">
        <v>27</v>
      </c>
      <c r="N534" t="s">
        <v>28</v>
      </c>
      <c r="O534">
        <v>0</v>
      </c>
      <c r="P534">
        <v>51571</v>
      </c>
      <c r="Q534">
        <f t="shared" si="8"/>
        <v>5.1570999999999999E-2</v>
      </c>
      <c r="R534">
        <v>43252</v>
      </c>
      <c r="S534" t="s">
        <v>122</v>
      </c>
    </row>
    <row r="535" spans="1:19">
      <c r="A535">
        <v>60000534</v>
      </c>
      <c r="B535">
        <v>51</v>
      </c>
      <c r="C535" t="s">
        <v>18</v>
      </c>
      <c r="D535" t="s">
        <v>19</v>
      </c>
      <c r="E535" t="s">
        <v>20</v>
      </c>
      <c r="F535" t="s">
        <v>35</v>
      </c>
      <c r="G535" s="23">
        <v>0.25</v>
      </c>
      <c r="H535" t="s">
        <v>53</v>
      </c>
      <c r="I535" t="s">
        <v>30</v>
      </c>
      <c r="J535" t="s">
        <v>38</v>
      </c>
      <c r="K535" t="s">
        <v>105</v>
      </c>
      <c r="L535" t="s">
        <v>121</v>
      </c>
      <c r="M535" t="s">
        <v>27</v>
      </c>
      <c r="N535" t="s">
        <v>28</v>
      </c>
      <c r="O535">
        <v>5</v>
      </c>
      <c r="P535">
        <v>71370</v>
      </c>
      <c r="Q535">
        <f t="shared" si="8"/>
        <v>7.1370000000000003E-2</v>
      </c>
      <c r="R535">
        <v>43252</v>
      </c>
      <c r="S535" t="s">
        <v>122</v>
      </c>
    </row>
    <row r="536" spans="1:19">
      <c r="A536">
        <v>60000535</v>
      </c>
      <c r="B536">
        <v>45</v>
      </c>
      <c r="C536" t="s">
        <v>18</v>
      </c>
      <c r="D536" t="s">
        <v>19</v>
      </c>
      <c r="E536" t="s">
        <v>56</v>
      </c>
      <c r="F536" t="s">
        <v>35</v>
      </c>
      <c r="G536" s="23">
        <v>0.15</v>
      </c>
      <c r="H536" t="s">
        <v>22</v>
      </c>
      <c r="I536" t="s">
        <v>62</v>
      </c>
      <c r="J536" t="s">
        <v>46</v>
      </c>
      <c r="K536" t="s">
        <v>104</v>
      </c>
      <c r="L536" t="s">
        <v>119</v>
      </c>
      <c r="M536" t="s">
        <v>27</v>
      </c>
      <c r="N536" t="s">
        <v>51</v>
      </c>
      <c r="O536">
        <v>0</v>
      </c>
      <c r="P536">
        <v>82397</v>
      </c>
      <c r="Q536">
        <f t="shared" si="8"/>
        <v>8.2396999999999998E-2</v>
      </c>
      <c r="R536">
        <v>43252</v>
      </c>
      <c r="S536" t="s">
        <v>122</v>
      </c>
    </row>
    <row r="537" spans="1:19">
      <c r="A537">
        <v>60000536</v>
      </c>
      <c r="B537">
        <v>25</v>
      </c>
      <c r="C537" t="s">
        <v>33</v>
      </c>
      <c r="D537" t="s">
        <v>40</v>
      </c>
      <c r="E537" t="s">
        <v>64</v>
      </c>
      <c r="F537" t="s">
        <v>120</v>
      </c>
      <c r="G537" s="23">
        <v>0.23</v>
      </c>
      <c r="H537" t="s">
        <v>29</v>
      </c>
      <c r="I537" t="s">
        <v>30</v>
      </c>
      <c r="J537" t="s">
        <v>58</v>
      </c>
      <c r="K537" t="s">
        <v>92</v>
      </c>
      <c r="L537" t="s">
        <v>26</v>
      </c>
      <c r="M537" t="s">
        <v>27</v>
      </c>
      <c r="N537" t="s">
        <v>51</v>
      </c>
      <c r="O537">
        <v>1</v>
      </c>
      <c r="P537">
        <v>27825</v>
      </c>
      <c r="Q537">
        <f t="shared" si="8"/>
        <v>2.7824999999999999E-2</v>
      </c>
      <c r="R537">
        <v>43252</v>
      </c>
      <c r="S537" t="s">
        <v>122</v>
      </c>
    </row>
    <row r="538" spans="1:19">
      <c r="A538">
        <v>60000537</v>
      </c>
      <c r="B538">
        <v>29</v>
      </c>
      <c r="C538" t="s">
        <v>33</v>
      </c>
      <c r="D538" t="s">
        <v>19</v>
      </c>
      <c r="E538" t="s">
        <v>34</v>
      </c>
      <c r="F538" t="s">
        <v>21</v>
      </c>
      <c r="G538" s="23">
        <v>0.24</v>
      </c>
      <c r="H538" t="s">
        <v>29</v>
      </c>
      <c r="I538" t="s">
        <v>68</v>
      </c>
      <c r="J538" t="s">
        <v>38</v>
      </c>
      <c r="K538" t="s">
        <v>114</v>
      </c>
      <c r="L538" t="s">
        <v>119</v>
      </c>
      <c r="M538" t="s">
        <v>27</v>
      </c>
      <c r="N538" t="s">
        <v>51</v>
      </c>
      <c r="O538">
        <v>0</v>
      </c>
      <c r="P538">
        <v>58041</v>
      </c>
      <c r="Q538">
        <f t="shared" si="8"/>
        <v>5.8041000000000002E-2</v>
      </c>
      <c r="R538">
        <v>43252</v>
      </c>
      <c r="S538" t="s">
        <v>122</v>
      </c>
    </row>
    <row r="539" spans="1:19">
      <c r="A539">
        <v>60000538</v>
      </c>
      <c r="B539">
        <v>40</v>
      </c>
      <c r="C539" t="s">
        <v>33</v>
      </c>
      <c r="D539" t="s">
        <v>19</v>
      </c>
      <c r="E539" t="s">
        <v>52</v>
      </c>
      <c r="F539" t="s">
        <v>35</v>
      </c>
      <c r="G539" s="23">
        <v>0.12</v>
      </c>
      <c r="H539" t="s">
        <v>22</v>
      </c>
      <c r="I539" t="s">
        <v>70</v>
      </c>
      <c r="J539" t="s">
        <v>66</v>
      </c>
      <c r="K539" t="s">
        <v>108</v>
      </c>
      <c r="L539" t="s">
        <v>26</v>
      </c>
      <c r="M539" t="s">
        <v>27</v>
      </c>
      <c r="N539" t="s">
        <v>28</v>
      </c>
      <c r="O539">
        <v>6</v>
      </c>
      <c r="P539">
        <v>80139</v>
      </c>
      <c r="Q539">
        <f t="shared" si="8"/>
        <v>8.0139000000000002E-2</v>
      </c>
      <c r="R539">
        <v>43252</v>
      </c>
      <c r="S539" t="s">
        <v>122</v>
      </c>
    </row>
    <row r="540" spans="1:19">
      <c r="A540">
        <v>60000539</v>
      </c>
      <c r="B540">
        <v>53</v>
      </c>
      <c r="C540" t="s">
        <v>33</v>
      </c>
      <c r="D540" t="s">
        <v>40</v>
      </c>
      <c r="E540" t="s">
        <v>72</v>
      </c>
      <c r="F540" t="s">
        <v>21</v>
      </c>
      <c r="G540" s="23">
        <v>0.14000000000000001</v>
      </c>
      <c r="H540" t="s">
        <v>22</v>
      </c>
      <c r="I540" t="s">
        <v>65</v>
      </c>
      <c r="J540" t="s">
        <v>38</v>
      </c>
      <c r="K540" t="s">
        <v>112</v>
      </c>
      <c r="L540" t="s">
        <v>121</v>
      </c>
      <c r="M540" t="s">
        <v>27</v>
      </c>
      <c r="N540" t="s">
        <v>51</v>
      </c>
      <c r="O540">
        <v>2</v>
      </c>
      <c r="P540">
        <v>70328</v>
      </c>
      <c r="Q540">
        <f t="shared" si="8"/>
        <v>7.0328000000000002E-2</v>
      </c>
      <c r="R540">
        <v>43252</v>
      </c>
      <c r="S540" t="s">
        <v>122</v>
      </c>
    </row>
    <row r="541" spans="1:19">
      <c r="A541">
        <v>60000540</v>
      </c>
      <c r="B541">
        <v>50</v>
      </c>
      <c r="C541" t="s">
        <v>33</v>
      </c>
      <c r="D541" t="s">
        <v>40</v>
      </c>
      <c r="E541" t="s">
        <v>20</v>
      </c>
      <c r="F541" t="s">
        <v>120</v>
      </c>
      <c r="G541" s="23">
        <v>0.2</v>
      </c>
      <c r="H541" t="s">
        <v>29</v>
      </c>
      <c r="I541" t="s">
        <v>70</v>
      </c>
      <c r="J541" t="s">
        <v>74</v>
      </c>
      <c r="K541" t="s">
        <v>59</v>
      </c>
      <c r="L541" t="s">
        <v>26</v>
      </c>
      <c r="M541" t="s">
        <v>27</v>
      </c>
      <c r="N541" t="s">
        <v>28</v>
      </c>
      <c r="O541">
        <v>0</v>
      </c>
      <c r="P541">
        <v>39091</v>
      </c>
      <c r="Q541">
        <f t="shared" si="8"/>
        <v>3.9091000000000001E-2</v>
      </c>
      <c r="R541">
        <v>43252</v>
      </c>
      <c r="S541" t="s">
        <v>122</v>
      </c>
    </row>
    <row r="542" spans="1:19">
      <c r="A542">
        <v>60000541</v>
      </c>
      <c r="B542">
        <v>21</v>
      </c>
      <c r="C542" t="s">
        <v>18</v>
      </c>
      <c r="D542" t="s">
        <v>19</v>
      </c>
      <c r="E542" t="s">
        <v>44</v>
      </c>
      <c r="F542" t="s">
        <v>35</v>
      </c>
      <c r="G542" s="23">
        <v>0.31</v>
      </c>
      <c r="H542" t="s">
        <v>53</v>
      </c>
      <c r="I542" t="s">
        <v>83</v>
      </c>
      <c r="J542" t="s">
        <v>66</v>
      </c>
      <c r="K542" t="s">
        <v>43</v>
      </c>
      <c r="L542" t="s">
        <v>121</v>
      </c>
      <c r="M542" t="s">
        <v>27</v>
      </c>
      <c r="N542" t="s">
        <v>51</v>
      </c>
      <c r="O542">
        <v>0</v>
      </c>
      <c r="P542">
        <v>57443</v>
      </c>
      <c r="Q542">
        <f t="shared" si="8"/>
        <v>5.7443000000000001E-2</v>
      </c>
      <c r="R542">
        <v>43252</v>
      </c>
      <c r="S542" t="s">
        <v>122</v>
      </c>
    </row>
    <row r="543" spans="1:19">
      <c r="A543">
        <v>60000542</v>
      </c>
      <c r="B543">
        <v>52</v>
      </c>
      <c r="C543" t="s">
        <v>18</v>
      </c>
      <c r="D543" t="s">
        <v>40</v>
      </c>
      <c r="E543" t="s">
        <v>72</v>
      </c>
      <c r="F543" t="s">
        <v>35</v>
      </c>
      <c r="G543" s="23">
        <v>0.37</v>
      </c>
      <c r="H543" t="s">
        <v>42</v>
      </c>
      <c r="I543" t="s">
        <v>68</v>
      </c>
      <c r="J543" t="s">
        <v>66</v>
      </c>
      <c r="K543" t="s">
        <v>113</v>
      </c>
      <c r="L543" t="s">
        <v>119</v>
      </c>
      <c r="M543" t="s">
        <v>27</v>
      </c>
      <c r="N543" t="s">
        <v>51</v>
      </c>
      <c r="O543">
        <v>0</v>
      </c>
      <c r="P543">
        <v>37654</v>
      </c>
      <c r="Q543">
        <f t="shared" si="8"/>
        <v>3.7654E-2</v>
      </c>
      <c r="R543">
        <v>43252</v>
      </c>
      <c r="S543" t="s">
        <v>122</v>
      </c>
    </row>
    <row r="544" spans="1:19">
      <c r="A544">
        <v>60000543</v>
      </c>
      <c r="B544">
        <v>56</v>
      </c>
      <c r="C544" t="s">
        <v>18</v>
      </c>
      <c r="D544" t="s">
        <v>40</v>
      </c>
      <c r="E544" t="s">
        <v>48</v>
      </c>
      <c r="F544" t="s">
        <v>35</v>
      </c>
      <c r="G544" s="23">
        <v>0.31</v>
      </c>
      <c r="H544" t="s">
        <v>53</v>
      </c>
      <c r="I544" t="s">
        <v>45</v>
      </c>
      <c r="J544" t="s">
        <v>91</v>
      </c>
      <c r="K544" t="s">
        <v>102</v>
      </c>
      <c r="L544" t="s">
        <v>119</v>
      </c>
      <c r="M544" t="s">
        <v>27</v>
      </c>
      <c r="N544" t="s">
        <v>28</v>
      </c>
      <c r="O544">
        <v>0</v>
      </c>
      <c r="P544">
        <v>76747</v>
      </c>
      <c r="Q544">
        <f t="shared" si="8"/>
        <v>7.6746999999999996E-2</v>
      </c>
      <c r="R544">
        <v>43252</v>
      </c>
      <c r="S544" t="s">
        <v>122</v>
      </c>
    </row>
    <row r="545" spans="1:19">
      <c r="A545">
        <v>60000544</v>
      </c>
      <c r="B545">
        <v>57</v>
      </c>
      <c r="C545" t="s">
        <v>33</v>
      </c>
      <c r="D545" t="s">
        <v>19</v>
      </c>
      <c r="E545" t="s">
        <v>20</v>
      </c>
      <c r="F545" t="s">
        <v>35</v>
      </c>
      <c r="G545" s="23">
        <v>0.22</v>
      </c>
      <c r="H545" t="s">
        <v>29</v>
      </c>
      <c r="I545" t="s">
        <v>68</v>
      </c>
      <c r="J545" t="s">
        <v>88</v>
      </c>
      <c r="K545" t="s">
        <v>117</v>
      </c>
      <c r="L545" t="s">
        <v>121</v>
      </c>
      <c r="M545" t="s">
        <v>27</v>
      </c>
      <c r="N545" t="s">
        <v>28</v>
      </c>
      <c r="O545">
        <v>7</v>
      </c>
      <c r="P545">
        <v>79615</v>
      </c>
      <c r="Q545">
        <f t="shared" si="8"/>
        <v>7.9615000000000005E-2</v>
      </c>
      <c r="R545">
        <v>43252</v>
      </c>
      <c r="S545" t="s">
        <v>122</v>
      </c>
    </row>
    <row r="546" spans="1:19">
      <c r="A546">
        <v>60000545</v>
      </c>
      <c r="B546">
        <v>36</v>
      </c>
      <c r="C546" t="s">
        <v>18</v>
      </c>
      <c r="D546" t="s">
        <v>40</v>
      </c>
      <c r="E546" t="s">
        <v>85</v>
      </c>
      <c r="F546" t="s">
        <v>21</v>
      </c>
      <c r="G546" s="23">
        <v>0.18</v>
      </c>
      <c r="H546" t="s">
        <v>22</v>
      </c>
      <c r="I546" t="s">
        <v>30</v>
      </c>
      <c r="J546" t="s">
        <v>88</v>
      </c>
      <c r="K546" t="s">
        <v>63</v>
      </c>
      <c r="L546" t="s">
        <v>119</v>
      </c>
      <c r="M546" t="s">
        <v>27</v>
      </c>
      <c r="N546" t="s">
        <v>51</v>
      </c>
      <c r="O546">
        <v>0</v>
      </c>
      <c r="P546">
        <v>51669</v>
      </c>
      <c r="Q546">
        <f t="shared" si="8"/>
        <v>5.1669E-2</v>
      </c>
      <c r="R546">
        <v>43252</v>
      </c>
      <c r="S546" t="s">
        <v>122</v>
      </c>
    </row>
    <row r="547" spans="1:19">
      <c r="A547">
        <v>60000546</v>
      </c>
      <c r="B547">
        <v>61</v>
      </c>
      <c r="C547" t="s">
        <v>33</v>
      </c>
      <c r="D547" t="s">
        <v>40</v>
      </c>
      <c r="E547" t="s">
        <v>48</v>
      </c>
      <c r="F547" t="s">
        <v>120</v>
      </c>
      <c r="G547" s="23">
        <v>0.21</v>
      </c>
      <c r="H547" t="s">
        <v>29</v>
      </c>
      <c r="I547" t="s">
        <v>83</v>
      </c>
      <c r="J547" t="s">
        <v>58</v>
      </c>
      <c r="K547" t="s">
        <v>60</v>
      </c>
      <c r="L547" t="s">
        <v>26</v>
      </c>
      <c r="M547" t="s">
        <v>27</v>
      </c>
      <c r="N547" t="s">
        <v>51</v>
      </c>
      <c r="O547">
        <v>0</v>
      </c>
      <c r="P547">
        <v>45235</v>
      </c>
      <c r="Q547">
        <f t="shared" si="8"/>
        <v>4.5234999999999997E-2</v>
      </c>
      <c r="R547">
        <v>43252</v>
      </c>
      <c r="S547" t="s">
        <v>122</v>
      </c>
    </row>
    <row r="548" spans="1:19">
      <c r="A548">
        <v>60000547</v>
      </c>
      <c r="B548">
        <v>64</v>
      </c>
      <c r="C548" t="s">
        <v>33</v>
      </c>
      <c r="D548" t="s">
        <v>19</v>
      </c>
      <c r="E548" t="s">
        <v>75</v>
      </c>
      <c r="F548" t="s">
        <v>120</v>
      </c>
      <c r="G548" s="23">
        <v>0.33</v>
      </c>
      <c r="H548" t="s">
        <v>42</v>
      </c>
      <c r="I548" t="s">
        <v>45</v>
      </c>
      <c r="J548" t="s">
        <v>58</v>
      </c>
      <c r="K548" t="s">
        <v>112</v>
      </c>
      <c r="L548" t="s">
        <v>121</v>
      </c>
      <c r="M548" t="s">
        <v>27</v>
      </c>
      <c r="N548" t="s">
        <v>51</v>
      </c>
      <c r="O548">
        <v>0</v>
      </c>
      <c r="P548">
        <v>69731</v>
      </c>
      <c r="Q548">
        <f t="shared" si="8"/>
        <v>6.9731000000000001E-2</v>
      </c>
      <c r="R548">
        <v>43252</v>
      </c>
      <c r="S548" t="s">
        <v>122</v>
      </c>
    </row>
    <row r="549" spans="1:19">
      <c r="A549">
        <v>60000548</v>
      </c>
      <c r="B549">
        <v>51</v>
      </c>
      <c r="C549" t="s">
        <v>33</v>
      </c>
      <c r="D549" t="s">
        <v>19</v>
      </c>
      <c r="E549" t="s">
        <v>48</v>
      </c>
      <c r="F549" t="s">
        <v>35</v>
      </c>
      <c r="G549" s="23">
        <v>0.17</v>
      </c>
      <c r="H549" t="s">
        <v>22</v>
      </c>
      <c r="I549" t="s">
        <v>30</v>
      </c>
      <c r="J549" t="s">
        <v>66</v>
      </c>
      <c r="K549" t="s">
        <v>106</v>
      </c>
      <c r="L549" t="s">
        <v>119</v>
      </c>
      <c r="M549" t="s">
        <v>27</v>
      </c>
      <c r="N549" t="s">
        <v>28</v>
      </c>
      <c r="O549">
        <v>0</v>
      </c>
      <c r="P549">
        <v>40946</v>
      </c>
      <c r="Q549">
        <f t="shared" si="8"/>
        <v>4.0946000000000003E-2</v>
      </c>
      <c r="R549">
        <v>43252</v>
      </c>
      <c r="S549" t="s">
        <v>122</v>
      </c>
    </row>
    <row r="550" spans="1:19">
      <c r="A550">
        <v>60000549</v>
      </c>
      <c r="B550">
        <v>54</v>
      </c>
      <c r="C550" t="s">
        <v>18</v>
      </c>
      <c r="D550" t="s">
        <v>19</v>
      </c>
      <c r="E550" t="s">
        <v>34</v>
      </c>
      <c r="F550" t="s">
        <v>21</v>
      </c>
      <c r="G550" s="23">
        <v>0.33</v>
      </c>
      <c r="H550" t="s">
        <v>42</v>
      </c>
      <c r="I550" t="s">
        <v>68</v>
      </c>
      <c r="J550" t="s">
        <v>38</v>
      </c>
      <c r="K550" t="s">
        <v>87</v>
      </c>
      <c r="L550" t="s">
        <v>121</v>
      </c>
      <c r="M550" t="s">
        <v>27</v>
      </c>
      <c r="N550" t="s">
        <v>51</v>
      </c>
      <c r="O550">
        <v>0</v>
      </c>
      <c r="P550">
        <v>69945</v>
      </c>
      <c r="Q550">
        <f t="shared" si="8"/>
        <v>6.9944999999999993E-2</v>
      </c>
      <c r="R550">
        <v>43252</v>
      </c>
      <c r="S550" t="s">
        <v>122</v>
      </c>
    </row>
    <row r="551" spans="1:19">
      <c r="A551">
        <v>60000550</v>
      </c>
      <c r="B551">
        <v>23</v>
      </c>
      <c r="C551" t="s">
        <v>18</v>
      </c>
      <c r="D551" t="s">
        <v>40</v>
      </c>
      <c r="E551" t="s">
        <v>75</v>
      </c>
      <c r="F551" t="s">
        <v>21</v>
      </c>
      <c r="G551" s="23">
        <v>0.33</v>
      </c>
      <c r="H551" t="s">
        <v>42</v>
      </c>
      <c r="I551" t="s">
        <v>57</v>
      </c>
      <c r="J551" t="s">
        <v>46</v>
      </c>
      <c r="K551" t="s">
        <v>55</v>
      </c>
      <c r="L551" t="s">
        <v>26</v>
      </c>
      <c r="M551" t="s">
        <v>27</v>
      </c>
      <c r="N551" t="s">
        <v>28</v>
      </c>
      <c r="O551">
        <v>0</v>
      </c>
      <c r="P551">
        <v>67008</v>
      </c>
      <c r="Q551">
        <f t="shared" si="8"/>
        <v>6.7007999999999998E-2</v>
      </c>
      <c r="R551">
        <v>43252</v>
      </c>
      <c r="S551" t="s">
        <v>122</v>
      </c>
    </row>
    <row r="552" spans="1:19">
      <c r="A552">
        <v>60000551</v>
      </c>
      <c r="B552">
        <v>21</v>
      </c>
      <c r="C552" t="s">
        <v>33</v>
      </c>
      <c r="D552" t="s">
        <v>19</v>
      </c>
      <c r="E552" t="s">
        <v>75</v>
      </c>
      <c r="F552" t="s">
        <v>120</v>
      </c>
      <c r="G552" s="23">
        <v>0.21</v>
      </c>
      <c r="H552" t="s">
        <v>29</v>
      </c>
      <c r="I552" t="s">
        <v>83</v>
      </c>
      <c r="J552" t="s">
        <v>58</v>
      </c>
      <c r="K552" t="s">
        <v>62</v>
      </c>
      <c r="L552" t="s">
        <v>26</v>
      </c>
      <c r="M552" t="s">
        <v>27</v>
      </c>
      <c r="N552" t="s">
        <v>51</v>
      </c>
      <c r="O552">
        <v>4</v>
      </c>
      <c r="P552">
        <v>56667</v>
      </c>
      <c r="Q552">
        <f t="shared" si="8"/>
        <v>5.6667000000000002E-2</v>
      </c>
      <c r="R552">
        <v>43252</v>
      </c>
      <c r="S552" t="s">
        <v>122</v>
      </c>
    </row>
    <row r="553" spans="1:19">
      <c r="A553">
        <v>60000552</v>
      </c>
      <c r="B553">
        <v>61</v>
      </c>
      <c r="C553" t="s">
        <v>18</v>
      </c>
      <c r="D553" t="s">
        <v>40</v>
      </c>
      <c r="E553" t="s">
        <v>75</v>
      </c>
      <c r="F553" t="s">
        <v>120</v>
      </c>
      <c r="G553" s="23">
        <v>0.28000000000000003</v>
      </c>
      <c r="H553" t="s">
        <v>53</v>
      </c>
      <c r="I553" t="s">
        <v>49</v>
      </c>
      <c r="J553" t="s">
        <v>66</v>
      </c>
      <c r="K553" t="s">
        <v>110</v>
      </c>
      <c r="L553" t="s">
        <v>121</v>
      </c>
      <c r="M553" t="s">
        <v>27</v>
      </c>
      <c r="N553" t="s">
        <v>28</v>
      </c>
      <c r="O553">
        <v>0</v>
      </c>
      <c r="P553">
        <v>32042</v>
      </c>
      <c r="Q553">
        <f t="shared" si="8"/>
        <v>3.2042000000000001E-2</v>
      </c>
      <c r="R553">
        <v>43252</v>
      </c>
      <c r="S553" t="s">
        <v>122</v>
      </c>
    </row>
    <row r="554" spans="1:19">
      <c r="A554">
        <v>60000553</v>
      </c>
      <c r="B554">
        <v>28</v>
      </c>
      <c r="C554" t="s">
        <v>33</v>
      </c>
      <c r="D554" t="s">
        <v>19</v>
      </c>
      <c r="E554" t="s">
        <v>72</v>
      </c>
      <c r="F554" t="s">
        <v>35</v>
      </c>
      <c r="G554" s="23">
        <v>0.35</v>
      </c>
      <c r="H554" t="s">
        <v>42</v>
      </c>
      <c r="I554" t="s">
        <v>45</v>
      </c>
      <c r="J554" t="s">
        <v>54</v>
      </c>
      <c r="K554" t="s">
        <v>118</v>
      </c>
      <c r="L554" t="s">
        <v>26</v>
      </c>
      <c r="M554" t="s">
        <v>27</v>
      </c>
      <c r="N554" t="s">
        <v>51</v>
      </c>
      <c r="O554">
        <v>7</v>
      </c>
      <c r="P554">
        <v>57373</v>
      </c>
      <c r="Q554">
        <f t="shared" si="8"/>
        <v>5.7373E-2</v>
      </c>
      <c r="R554">
        <v>43252</v>
      </c>
      <c r="S554" t="s">
        <v>122</v>
      </c>
    </row>
    <row r="555" spans="1:19">
      <c r="A555">
        <v>60000554</v>
      </c>
      <c r="B555">
        <v>34</v>
      </c>
      <c r="C555" t="s">
        <v>18</v>
      </c>
      <c r="D555" t="s">
        <v>19</v>
      </c>
      <c r="E555" t="s">
        <v>72</v>
      </c>
      <c r="F555" t="s">
        <v>35</v>
      </c>
      <c r="G555" s="23">
        <v>0.11</v>
      </c>
      <c r="H555" t="s">
        <v>36</v>
      </c>
      <c r="I555" t="s">
        <v>30</v>
      </c>
      <c r="J555" t="s">
        <v>31</v>
      </c>
      <c r="K555" t="s">
        <v>117</v>
      </c>
      <c r="L555" t="s">
        <v>121</v>
      </c>
      <c r="M555" t="s">
        <v>27</v>
      </c>
      <c r="N555" t="s">
        <v>51</v>
      </c>
      <c r="O555">
        <v>0</v>
      </c>
      <c r="P555">
        <v>34399</v>
      </c>
      <c r="Q555">
        <f t="shared" si="8"/>
        <v>3.4398999999999999E-2</v>
      </c>
      <c r="R555">
        <v>43252</v>
      </c>
      <c r="S555" t="s">
        <v>122</v>
      </c>
    </row>
    <row r="556" spans="1:19">
      <c r="A556">
        <v>60000555</v>
      </c>
      <c r="B556">
        <v>29</v>
      </c>
      <c r="C556" t="s">
        <v>18</v>
      </c>
      <c r="D556" t="s">
        <v>40</v>
      </c>
      <c r="E556" t="s">
        <v>56</v>
      </c>
      <c r="F556" t="s">
        <v>21</v>
      </c>
      <c r="G556" s="23">
        <v>0.38</v>
      </c>
      <c r="H556" t="s">
        <v>42</v>
      </c>
      <c r="I556" t="s">
        <v>37</v>
      </c>
      <c r="J556" t="s">
        <v>88</v>
      </c>
      <c r="K556" t="s">
        <v>90</v>
      </c>
      <c r="L556" t="s">
        <v>119</v>
      </c>
      <c r="M556" t="s">
        <v>27</v>
      </c>
      <c r="N556" t="s">
        <v>51</v>
      </c>
      <c r="O556">
        <v>0</v>
      </c>
      <c r="P556">
        <v>65066</v>
      </c>
      <c r="Q556">
        <f t="shared" si="8"/>
        <v>6.5065999999999999E-2</v>
      </c>
      <c r="R556">
        <v>43252</v>
      </c>
      <c r="S556" t="s">
        <v>122</v>
      </c>
    </row>
    <row r="557" spans="1:19">
      <c r="A557">
        <v>60000556</v>
      </c>
      <c r="B557">
        <v>33</v>
      </c>
      <c r="C557" t="s">
        <v>18</v>
      </c>
      <c r="D557" t="s">
        <v>40</v>
      </c>
      <c r="E557" t="s">
        <v>75</v>
      </c>
      <c r="F557" t="s">
        <v>21</v>
      </c>
      <c r="G557" s="23">
        <v>0.15</v>
      </c>
      <c r="H557" t="s">
        <v>22</v>
      </c>
      <c r="I557" t="s">
        <v>73</v>
      </c>
      <c r="J557" t="s">
        <v>74</v>
      </c>
      <c r="K557" t="s">
        <v>114</v>
      </c>
      <c r="L557" t="s">
        <v>119</v>
      </c>
      <c r="M557" t="s">
        <v>27</v>
      </c>
      <c r="N557" t="s">
        <v>51</v>
      </c>
      <c r="O557">
        <v>0</v>
      </c>
      <c r="P557">
        <v>25621</v>
      </c>
      <c r="Q557">
        <f t="shared" si="8"/>
        <v>2.5621000000000001E-2</v>
      </c>
      <c r="R557">
        <v>43252</v>
      </c>
      <c r="S557" t="s">
        <v>122</v>
      </c>
    </row>
    <row r="558" spans="1:19">
      <c r="A558">
        <v>60000557</v>
      </c>
      <c r="B558">
        <v>28</v>
      </c>
      <c r="C558" t="s">
        <v>33</v>
      </c>
      <c r="D558" t="s">
        <v>40</v>
      </c>
      <c r="E558" t="s">
        <v>72</v>
      </c>
      <c r="F558" t="s">
        <v>120</v>
      </c>
      <c r="G558" s="23">
        <v>0.23</v>
      </c>
      <c r="H558" t="s">
        <v>29</v>
      </c>
      <c r="I558" t="s">
        <v>57</v>
      </c>
      <c r="J558" t="s">
        <v>74</v>
      </c>
      <c r="K558" t="s">
        <v>109</v>
      </c>
      <c r="L558" t="s">
        <v>26</v>
      </c>
      <c r="M558" t="s">
        <v>27</v>
      </c>
      <c r="N558" t="s">
        <v>28</v>
      </c>
      <c r="O558">
        <v>7</v>
      </c>
      <c r="P558">
        <v>81039</v>
      </c>
      <c r="Q558">
        <f t="shared" ref="Q558:Q621" si="9">+P558/1000000</f>
        <v>8.1039E-2</v>
      </c>
      <c r="R558">
        <v>43252</v>
      </c>
      <c r="S558" t="s">
        <v>122</v>
      </c>
    </row>
    <row r="559" spans="1:19">
      <c r="A559">
        <v>60000558</v>
      </c>
      <c r="B559">
        <v>23</v>
      </c>
      <c r="C559" t="s">
        <v>18</v>
      </c>
      <c r="D559" t="s">
        <v>19</v>
      </c>
      <c r="E559" t="s">
        <v>75</v>
      </c>
      <c r="F559" t="s">
        <v>120</v>
      </c>
      <c r="G559" s="23">
        <v>0.23</v>
      </c>
      <c r="H559" t="s">
        <v>29</v>
      </c>
      <c r="I559" t="s">
        <v>57</v>
      </c>
      <c r="J559" t="s">
        <v>91</v>
      </c>
      <c r="K559" t="s">
        <v>82</v>
      </c>
      <c r="L559" t="s">
        <v>121</v>
      </c>
      <c r="M559" t="s">
        <v>27</v>
      </c>
      <c r="N559" t="s">
        <v>51</v>
      </c>
      <c r="O559">
        <v>0</v>
      </c>
      <c r="P559">
        <v>60055</v>
      </c>
      <c r="Q559">
        <f t="shared" si="9"/>
        <v>6.0054999999999997E-2</v>
      </c>
      <c r="R559">
        <v>43252</v>
      </c>
      <c r="S559" t="s">
        <v>122</v>
      </c>
    </row>
    <row r="560" spans="1:19">
      <c r="A560">
        <v>60000559</v>
      </c>
      <c r="B560">
        <v>24</v>
      </c>
      <c r="C560" t="s">
        <v>18</v>
      </c>
      <c r="D560" t="s">
        <v>19</v>
      </c>
      <c r="E560" t="s">
        <v>44</v>
      </c>
      <c r="F560" t="s">
        <v>35</v>
      </c>
      <c r="G560" s="23">
        <v>0.31</v>
      </c>
      <c r="H560" t="s">
        <v>53</v>
      </c>
      <c r="I560" t="s">
        <v>80</v>
      </c>
      <c r="J560" t="s">
        <v>78</v>
      </c>
      <c r="K560" t="s">
        <v>100</v>
      </c>
      <c r="L560" t="s">
        <v>119</v>
      </c>
      <c r="M560" t="s">
        <v>27</v>
      </c>
      <c r="N560" t="s">
        <v>28</v>
      </c>
      <c r="O560">
        <v>4</v>
      </c>
      <c r="P560">
        <v>59665</v>
      </c>
      <c r="Q560">
        <f t="shared" si="9"/>
        <v>5.9665000000000003E-2</v>
      </c>
      <c r="R560">
        <v>43252</v>
      </c>
      <c r="S560" t="s">
        <v>122</v>
      </c>
    </row>
    <row r="561" spans="1:19">
      <c r="A561">
        <v>60000560</v>
      </c>
      <c r="B561">
        <v>49</v>
      </c>
      <c r="C561" t="s">
        <v>33</v>
      </c>
      <c r="D561" t="s">
        <v>40</v>
      </c>
      <c r="E561" t="s">
        <v>20</v>
      </c>
      <c r="F561" t="s">
        <v>21</v>
      </c>
      <c r="G561" s="23">
        <v>0.18</v>
      </c>
      <c r="H561" t="s">
        <v>22</v>
      </c>
      <c r="I561" t="s">
        <v>45</v>
      </c>
      <c r="J561" t="s">
        <v>46</v>
      </c>
      <c r="K561" t="s">
        <v>79</v>
      </c>
      <c r="L561" t="s">
        <v>121</v>
      </c>
      <c r="M561" t="s">
        <v>27</v>
      </c>
      <c r="N561" t="s">
        <v>28</v>
      </c>
      <c r="O561">
        <v>2</v>
      </c>
      <c r="P561">
        <v>79766</v>
      </c>
      <c r="Q561">
        <f t="shared" si="9"/>
        <v>7.9766000000000004E-2</v>
      </c>
      <c r="R561">
        <v>43252</v>
      </c>
      <c r="S561" t="s">
        <v>122</v>
      </c>
    </row>
    <row r="562" spans="1:19">
      <c r="A562">
        <v>60000561</v>
      </c>
      <c r="B562">
        <v>44</v>
      </c>
      <c r="C562" t="s">
        <v>33</v>
      </c>
      <c r="D562" t="s">
        <v>19</v>
      </c>
      <c r="E562" t="s">
        <v>41</v>
      </c>
      <c r="F562" t="s">
        <v>21</v>
      </c>
      <c r="G562" s="23">
        <v>0.26</v>
      </c>
      <c r="H562" t="s">
        <v>53</v>
      </c>
      <c r="I562" t="s">
        <v>62</v>
      </c>
      <c r="J562" t="s">
        <v>61</v>
      </c>
      <c r="K562" t="s">
        <v>109</v>
      </c>
      <c r="L562" t="s">
        <v>26</v>
      </c>
      <c r="M562" t="s">
        <v>27</v>
      </c>
      <c r="N562" t="s">
        <v>51</v>
      </c>
      <c r="O562">
        <v>0</v>
      </c>
      <c r="P562">
        <v>72085</v>
      </c>
      <c r="Q562">
        <f t="shared" si="9"/>
        <v>7.2084999999999996E-2</v>
      </c>
      <c r="R562">
        <v>43252</v>
      </c>
      <c r="S562" t="s">
        <v>122</v>
      </c>
    </row>
    <row r="563" spans="1:19">
      <c r="A563">
        <v>60000562</v>
      </c>
      <c r="B563">
        <v>48</v>
      </c>
      <c r="C563" t="s">
        <v>33</v>
      </c>
      <c r="D563" t="s">
        <v>19</v>
      </c>
      <c r="E563" t="s">
        <v>52</v>
      </c>
      <c r="F563" t="s">
        <v>35</v>
      </c>
      <c r="G563" s="23">
        <v>0.2</v>
      </c>
      <c r="H563" t="s">
        <v>29</v>
      </c>
      <c r="I563" t="s">
        <v>57</v>
      </c>
      <c r="J563" t="s">
        <v>66</v>
      </c>
      <c r="K563" t="s">
        <v>115</v>
      </c>
      <c r="L563" t="s">
        <v>26</v>
      </c>
      <c r="M563" t="s">
        <v>27</v>
      </c>
      <c r="N563" t="s">
        <v>51</v>
      </c>
      <c r="O563">
        <v>0</v>
      </c>
      <c r="P563">
        <v>30210</v>
      </c>
      <c r="Q563">
        <f t="shared" si="9"/>
        <v>3.0210000000000001E-2</v>
      </c>
      <c r="R563">
        <v>43252</v>
      </c>
      <c r="S563" t="s">
        <v>122</v>
      </c>
    </row>
    <row r="564" spans="1:19">
      <c r="A564">
        <v>60000563</v>
      </c>
      <c r="B564">
        <v>63</v>
      </c>
      <c r="C564" t="s">
        <v>33</v>
      </c>
      <c r="D564" t="s">
        <v>19</v>
      </c>
      <c r="E564" t="s">
        <v>72</v>
      </c>
      <c r="F564" t="s">
        <v>21</v>
      </c>
      <c r="G564" s="23">
        <v>0.34</v>
      </c>
      <c r="H564" t="s">
        <v>42</v>
      </c>
      <c r="I564" t="s">
        <v>68</v>
      </c>
      <c r="J564" t="s">
        <v>54</v>
      </c>
      <c r="K564" t="s">
        <v>107</v>
      </c>
      <c r="L564" t="s">
        <v>119</v>
      </c>
      <c r="M564" t="s">
        <v>27</v>
      </c>
      <c r="N564" t="s">
        <v>51</v>
      </c>
      <c r="O564">
        <v>2</v>
      </c>
      <c r="P564">
        <v>71522</v>
      </c>
      <c r="Q564">
        <f t="shared" si="9"/>
        <v>7.1522000000000002E-2</v>
      </c>
      <c r="R564">
        <v>43252</v>
      </c>
      <c r="S564" t="s">
        <v>122</v>
      </c>
    </row>
    <row r="565" spans="1:19">
      <c r="A565">
        <v>60000564</v>
      </c>
      <c r="B565">
        <v>53</v>
      </c>
      <c r="C565" t="s">
        <v>33</v>
      </c>
      <c r="D565" t="s">
        <v>19</v>
      </c>
      <c r="E565" t="s">
        <v>85</v>
      </c>
      <c r="F565" t="s">
        <v>35</v>
      </c>
      <c r="G565" s="23">
        <v>0.19</v>
      </c>
      <c r="H565" t="s">
        <v>29</v>
      </c>
      <c r="I565" t="s">
        <v>65</v>
      </c>
      <c r="J565" t="s">
        <v>88</v>
      </c>
      <c r="K565" t="s">
        <v>60</v>
      </c>
      <c r="L565" t="s">
        <v>121</v>
      </c>
      <c r="M565" t="s">
        <v>27</v>
      </c>
      <c r="N565" t="s">
        <v>51</v>
      </c>
      <c r="O565">
        <v>0</v>
      </c>
      <c r="P565">
        <v>72112</v>
      </c>
      <c r="Q565">
        <f t="shared" si="9"/>
        <v>7.2111999999999996E-2</v>
      </c>
      <c r="R565">
        <v>43252</v>
      </c>
      <c r="S565" t="s">
        <v>122</v>
      </c>
    </row>
    <row r="566" spans="1:19">
      <c r="A566">
        <v>60000565</v>
      </c>
      <c r="B566">
        <v>33</v>
      </c>
      <c r="C566" t="s">
        <v>33</v>
      </c>
      <c r="D566" t="s">
        <v>19</v>
      </c>
      <c r="E566" t="s">
        <v>34</v>
      </c>
      <c r="F566" t="s">
        <v>21</v>
      </c>
      <c r="G566" s="23">
        <v>0.1</v>
      </c>
      <c r="H566" t="s">
        <v>36</v>
      </c>
      <c r="I566" t="s">
        <v>70</v>
      </c>
      <c r="J566" t="s">
        <v>69</v>
      </c>
      <c r="K566" t="s">
        <v>97</v>
      </c>
      <c r="L566" t="s">
        <v>26</v>
      </c>
      <c r="M566" t="s">
        <v>27</v>
      </c>
      <c r="N566" t="s">
        <v>51</v>
      </c>
      <c r="O566">
        <v>2</v>
      </c>
      <c r="P566">
        <v>23879</v>
      </c>
      <c r="Q566">
        <f t="shared" si="9"/>
        <v>2.3879000000000001E-2</v>
      </c>
      <c r="R566">
        <v>43252</v>
      </c>
      <c r="S566" t="s">
        <v>122</v>
      </c>
    </row>
    <row r="567" spans="1:19">
      <c r="A567">
        <v>60000566</v>
      </c>
      <c r="B567">
        <v>59</v>
      </c>
      <c r="C567" t="s">
        <v>33</v>
      </c>
      <c r="D567" t="s">
        <v>40</v>
      </c>
      <c r="E567" t="s">
        <v>64</v>
      </c>
      <c r="F567" t="s">
        <v>21</v>
      </c>
      <c r="G567" s="23">
        <v>0.37</v>
      </c>
      <c r="H567" t="s">
        <v>42</v>
      </c>
      <c r="I567" t="s">
        <v>68</v>
      </c>
      <c r="J567" t="s">
        <v>66</v>
      </c>
      <c r="K567" t="s">
        <v>55</v>
      </c>
      <c r="L567" t="s">
        <v>26</v>
      </c>
      <c r="M567" t="s">
        <v>27</v>
      </c>
      <c r="N567" t="s">
        <v>51</v>
      </c>
      <c r="O567">
        <v>0</v>
      </c>
      <c r="P567">
        <v>51537</v>
      </c>
      <c r="Q567">
        <f t="shared" si="9"/>
        <v>5.1536999999999999E-2</v>
      </c>
      <c r="R567">
        <v>43252</v>
      </c>
      <c r="S567" t="s">
        <v>122</v>
      </c>
    </row>
    <row r="568" spans="1:19">
      <c r="A568">
        <v>60000567</v>
      </c>
      <c r="B568">
        <v>41</v>
      </c>
      <c r="C568" t="s">
        <v>18</v>
      </c>
      <c r="D568" t="s">
        <v>40</v>
      </c>
      <c r="E568" t="s">
        <v>64</v>
      </c>
      <c r="F568" t="s">
        <v>21</v>
      </c>
      <c r="G568" s="23">
        <v>0.36</v>
      </c>
      <c r="H568" t="s">
        <v>42</v>
      </c>
      <c r="I568" t="s">
        <v>80</v>
      </c>
      <c r="J568" t="s">
        <v>91</v>
      </c>
      <c r="K568" t="s">
        <v>95</v>
      </c>
      <c r="L568" t="s">
        <v>121</v>
      </c>
      <c r="M568" t="s">
        <v>27</v>
      </c>
      <c r="N568" t="s">
        <v>51</v>
      </c>
      <c r="O568">
        <v>0</v>
      </c>
      <c r="P568">
        <v>73829</v>
      </c>
      <c r="Q568">
        <f t="shared" si="9"/>
        <v>7.3829000000000006E-2</v>
      </c>
      <c r="R568">
        <v>43252</v>
      </c>
      <c r="S568" t="s">
        <v>122</v>
      </c>
    </row>
    <row r="569" spans="1:19">
      <c r="A569">
        <v>60000568</v>
      </c>
      <c r="B569">
        <v>41</v>
      </c>
      <c r="C569" t="s">
        <v>18</v>
      </c>
      <c r="D569" t="s">
        <v>19</v>
      </c>
      <c r="E569" t="s">
        <v>75</v>
      </c>
      <c r="F569" t="s">
        <v>35</v>
      </c>
      <c r="G569" s="23">
        <v>0.12</v>
      </c>
      <c r="H569" t="s">
        <v>22</v>
      </c>
      <c r="I569" t="s">
        <v>68</v>
      </c>
      <c r="J569" t="s">
        <v>66</v>
      </c>
      <c r="K569" t="s">
        <v>105</v>
      </c>
      <c r="L569" t="s">
        <v>121</v>
      </c>
      <c r="M569" t="s">
        <v>27</v>
      </c>
      <c r="N569" t="s">
        <v>51</v>
      </c>
      <c r="O569">
        <v>6</v>
      </c>
      <c r="P569">
        <v>55684</v>
      </c>
      <c r="Q569">
        <f t="shared" si="9"/>
        <v>5.5683999999999997E-2</v>
      </c>
      <c r="R569">
        <v>43252</v>
      </c>
      <c r="S569" t="s">
        <v>122</v>
      </c>
    </row>
    <row r="570" spans="1:19">
      <c r="A570">
        <v>60000569</v>
      </c>
      <c r="B570">
        <v>52</v>
      </c>
      <c r="C570" t="s">
        <v>33</v>
      </c>
      <c r="D570" t="s">
        <v>19</v>
      </c>
      <c r="E570" t="s">
        <v>52</v>
      </c>
      <c r="F570" t="s">
        <v>35</v>
      </c>
      <c r="G570" s="23">
        <v>0.34</v>
      </c>
      <c r="H570" t="s">
        <v>42</v>
      </c>
      <c r="I570" t="s">
        <v>70</v>
      </c>
      <c r="J570" t="s">
        <v>69</v>
      </c>
      <c r="K570" t="s">
        <v>83</v>
      </c>
      <c r="L570" t="s">
        <v>121</v>
      </c>
      <c r="M570" t="s">
        <v>27</v>
      </c>
      <c r="N570" t="s">
        <v>28</v>
      </c>
      <c r="O570">
        <v>1</v>
      </c>
      <c r="P570">
        <v>66711</v>
      </c>
      <c r="Q570">
        <f t="shared" si="9"/>
        <v>6.6711000000000006E-2</v>
      </c>
      <c r="R570">
        <v>43252</v>
      </c>
      <c r="S570" t="s">
        <v>122</v>
      </c>
    </row>
    <row r="571" spans="1:19">
      <c r="A571">
        <v>60000570</v>
      </c>
      <c r="B571">
        <v>22</v>
      </c>
      <c r="C571" t="s">
        <v>33</v>
      </c>
      <c r="D571" t="s">
        <v>40</v>
      </c>
      <c r="E571" t="s">
        <v>34</v>
      </c>
      <c r="F571" t="s">
        <v>35</v>
      </c>
      <c r="G571" s="23">
        <v>0.35</v>
      </c>
      <c r="H571" t="s">
        <v>42</v>
      </c>
      <c r="I571" t="s">
        <v>23</v>
      </c>
      <c r="J571" t="s">
        <v>24</v>
      </c>
      <c r="K571" t="s">
        <v>105</v>
      </c>
      <c r="L571" t="s">
        <v>119</v>
      </c>
      <c r="M571" t="s">
        <v>27</v>
      </c>
      <c r="N571" t="s">
        <v>51</v>
      </c>
      <c r="O571">
        <v>4</v>
      </c>
      <c r="P571">
        <v>35715</v>
      </c>
      <c r="Q571">
        <f t="shared" si="9"/>
        <v>3.5714999999999997E-2</v>
      </c>
      <c r="R571">
        <v>43252</v>
      </c>
      <c r="S571" t="s">
        <v>122</v>
      </c>
    </row>
    <row r="572" spans="1:19">
      <c r="A572">
        <v>60000571</v>
      </c>
      <c r="B572">
        <v>31</v>
      </c>
      <c r="C572" t="s">
        <v>33</v>
      </c>
      <c r="D572" t="s">
        <v>19</v>
      </c>
      <c r="E572" t="s">
        <v>41</v>
      </c>
      <c r="F572" t="s">
        <v>120</v>
      </c>
      <c r="G572" s="23">
        <v>0.38</v>
      </c>
      <c r="H572" t="s">
        <v>42</v>
      </c>
      <c r="I572" t="s">
        <v>37</v>
      </c>
      <c r="J572" t="s">
        <v>46</v>
      </c>
      <c r="K572" t="s">
        <v>113</v>
      </c>
      <c r="L572" t="s">
        <v>26</v>
      </c>
      <c r="M572" t="s">
        <v>27</v>
      </c>
      <c r="N572" t="s">
        <v>51</v>
      </c>
      <c r="O572">
        <v>5</v>
      </c>
      <c r="P572">
        <v>74814</v>
      </c>
      <c r="Q572">
        <f t="shared" si="9"/>
        <v>7.4814000000000005E-2</v>
      </c>
      <c r="R572">
        <v>43252</v>
      </c>
      <c r="S572" t="s">
        <v>122</v>
      </c>
    </row>
    <row r="573" spans="1:19">
      <c r="A573">
        <v>60000572</v>
      </c>
      <c r="B573">
        <v>58</v>
      </c>
      <c r="C573" t="s">
        <v>18</v>
      </c>
      <c r="D573" t="s">
        <v>19</v>
      </c>
      <c r="E573" t="s">
        <v>20</v>
      </c>
      <c r="F573" t="s">
        <v>35</v>
      </c>
      <c r="G573" s="23">
        <v>0.13</v>
      </c>
      <c r="H573" t="s">
        <v>22</v>
      </c>
      <c r="I573" t="s">
        <v>86</v>
      </c>
      <c r="J573" t="s">
        <v>78</v>
      </c>
      <c r="K573" t="s">
        <v>106</v>
      </c>
      <c r="L573" t="s">
        <v>119</v>
      </c>
      <c r="M573" t="s">
        <v>27</v>
      </c>
      <c r="N573" t="s">
        <v>28</v>
      </c>
      <c r="O573">
        <v>0</v>
      </c>
      <c r="P573">
        <v>83368</v>
      </c>
      <c r="Q573">
        <f t="shared" si="9"/>
        <v>8.3367999999999998E-2</v>
      </c>
      <c r="R573">
        <v>43252</v>
      </c>
      <c r="S573" t="s">
        <v>122</v>
      </c>
    </row>
    <row r="574" spans="1:19">
      <c r="A574">
        <v>60000573</v>
      </c>
      <c r="B574">
        <v>44</v>
      </c>
      <c r="C574" t="s">
        <v>18</v>
      </c>
      <c r="D574" t="s">
        <v>19</v>
      </c>
      <c r="E574" t="s">
        <v>52</v>
      </c>
      <c r="F574" t="s">
        <v>120</v>
      </c>
      <c r="G574" s="23">
        <v>0.13</v>
      </c>
      <c r="H574" t="s">
        <v>22</v>
      </c>
      <c r="I574" t="s">
        <v>60</v>
      </c>
      <c r="J574" t="s">
        <v>69</v>
      </c>
      <c r="K574" t="s">
        <v>43</v>
      </c>
      <c r="L574" t="s">
        <v>121</v>
      </c>
      <c r="M574" t="s">
        <v>27</v>
      </c>
      <c r="N574" t="s">
        <v>51</v>
      </c>
      <c r="O574">
        <v>0</v>
      </c>
      <c r="P574">
        <v>37503</v>
      </c>
      <c r="Q574">
        <f t="shared" si="9"/>
        <v>3.7503000000000002E-2</v>
      </c>
      <c r="R574">
        <v>43252</v>
      </c>
      <c r="S574" t="s">
        <v>122</v>
      </c>
    </row>
    <row r="575" spans="1:19">
      <c r="A575">
        <v>60000574</v>
      </c>
      <c r="B575">
        <v>35</v>
      </c>
      <c r="C575" t="s">
        <v>18</v>
      </c>
      <c r="D575" t="s">
        <v>40</v>
      </c>
      <c r="E575" t="s">
        <v>56</v>
      </c>
      <c r="F575" t="s">
        <v>120</v>
      </c>
      <c r="G575" s="23">
        <v>0.12</v>
      </c>
      <c r="H575" t="s">
        <v>22</v>
      </c>
      <c r="I575" t="s">
        <v>68</v>
      </c>
      <c r="J575" t="s">
        <v>24</v>
      </c>
      <c r="K575" t="s">
        <v>55</v>
      </c>
      <c r="L575" t="s">
        <v>119</v>
      </c>
      <c r="M575" t="s">
        <v>27</v>
      </c>
      <c r="N575" t="s">
        <v>28</v>
      </c>
      <c r="O575">
        <v>0</v>
      </c>
      <c r="P575">
        <v>24263</v>
      </c>
      <c r="Q575">
        <f t="shared" si="9"/>
        <v>2.4263E-2</v>
      </c>
      <c r="R575">
        <v>43252</v>
      </c>
      <c r="S575" t="s">
        <v>122</v>
      </c>
    </row>
    <row r="576" spans="1:19">
      <c r="A576">
        <v>60000575</v>
      </c>
      <c r="B576">
        <v>43</v>
      </c>
      <c r="C576" t="s">
        <v>33</v>
      </c>
      <c r="D576" t="s">
        <v>19</v>
      </c>
      <c r="E576" t="s">
        <v>67</v>
      </c>
      <c r="F576" t="s">
        <v>120</v>
      </c>
      <c r="G576" s="23">
        <v>0.14000000000000001</v>
      </c>
      <c r="H576" t="s">
        <v>22</v>
      </c>
      <c r="I576" t="s">
        <v>80</v>
      </c>
      <c r="J576" t="s">
        <v>61</v>
      </c>
      <c r="K576" t="s">
        <v>90</v>
      </c>
      <c r="L576" t="s">
        <v>119</v>
      </c>
      <c r="M576" t="s">
        <v>27</v>
      </c>
      <c r="N576" t="s">
        <v>28</v>
      </c>
      <c r="O576">
        <v>0</v>
      </c>
      <c r="P576">
        <v>41770</v>
      </c>
      <c r="Q576">
        <f t="shared" si="9"/>
        <v>4.1770000000000002E-2</v>
      </c>
      <c r="R576">
        <v>43252</v>
      </c>
      <c r="S576" t="s">
        <v>122</v>
      </c>
    </row>
    <row r="577" spans="1:19">
      <c r="A577">
        <v>60000576</v>
      </c>
      <c r="B577">
        <v>30</v>
      </c>
      <c r="C577" t="s">
        <v>18</v>
      </c>
      <c r="D577" t="s">
        <v>19</v>
      </c>
      <c r="E577" t="s">
        <v>56</v>
      </c>
      <c r="F577" t="s">
        <v>21</v>
      </c>
      <c r="G577" s="23">
        <v>0.3</v>
      </c>
      <c r="H577" t="s">
        <v>53</v>
      </c>
      <c r="I577" t="s">
        <v>83</v>
      </c>
      <c r="J577" t="s">
        <v>88</v>
      </c>
      <c r="K577" t="s">
        <v>89</v>
      </c>
      <c r="L577" t="s">
        <v>26</v>
      </c>
      <c r="M577" t="s">
        <v>27</v>
      </c>
      <c r="N577" t="s">
        <v>28</v>
      </c>
      <c r="O577">
        <v>0</v>
      </c>
      <c r="P577">
        <v>55840</v>
      </c>
      <c r="Q577">
        <f t="shared" si="9"/>
        <v>5.5840000000000001E-2</v>
      </c>
      <c r="R577">
        <v>43252</v>
      </c>
      <c r="S577" t="s">
        <v>122</v>
      </c>
    </row>
    <row r="578" spans="1:19">
      <c r="A578">
        <v>60000577</v>
      </c>
      <c r="B578">
        <v>48</v>
      </c>
      <c r="C578" t="s">
        <v>33</v>
      </c>
      <c r="D578" t="s">
        <v>19</v>
      </c>
      <c r="E578" t="s">
        <v>72</v>
      </c>
      <c r="F578" t="s">
        <v>120</v>
      </c>
      <c r="G578" s="23">
        <v>0.11</v>
      </c>
      <c r="H578" t="s">
        <v>36</v>
      </c>
      <c r="I578" t="s">
        <v>83</v>
      </c>
      <c r="J578" t="s">
        <v>58</v>
      </c>
      <c r="K578" t="s">
        <v>116</v>
      </c>
      <c r="L578" t="s">
        <v>26</v>
      </c>
      <c r="M578" t="s">
        <v>27</v>
      </c>
      <c r="N578" t="s">
        <v>28</v>
      </c>
      <c r="O578">
        <v>1</v>
      </c>
      <c r="P578">
        <v>72353</v>
      </c>
      <c r="Q578">
        <f t="shared" si="9"/>
        <v>7.2353000000000001E-2</v>
      </c>
      <c r="R578">
        <v>43252</v>
      </c>
      <c r="S578" t="s">
        <v>122</v>
      </c>
    </row>
    <row r="579" spans="1:19">
      <c r="A579">
        <v>60000578</v>
      </c>
      <c r="B579">
        <v>54</v>
      </c>
      <c r="C579" t="s">
        <v>33</v>
      </c>
      <c r="D579" t="s">
        <v>19</v>
      </c>
      <c r="E579" t="s">
        <v>34</v>
      </c>
      <c r="F579" t="s">
        <v>35</v>
      </c>
      <c r="G579" s="23">
        <v>0.36</v>
      </c>
      <c r="H579" t="s">
        <v>42</v>
      </c>
      <c r="I579" t="s">
        <v>45</v>
      </c>
      <c r="J579" t="s">
        <v>66</v>
      </c>
      <c r="K579" t="s">
        <v>118</v>
      </c>
      <c r="L579" t="s">
        <v>119</v>
      </c>
      <c r="M579" t="s">
        <v>27</v>
      </c>
      <c r="N579" t="s">
        <v>51</v>
      </c>
      <c r="O579">
        <v>6</v>
      </c>
      <c r="P579">
        <v>40780</v>
      </c>
      <c r="Q579">
        <f t="shared" si="9"/>
        <v>4.0779999999999997E-2</v>
      </c>
      <c r="R579">
        <v>43252</v>
      </c>
      <c r="S579" t="s">
        <v>122</v>
      </c>
    </row>
    <row r="580" spans="1:19">
      <c r="A580">
        <v>60000579</v>
      </c>
      <c r="B580">
        <v>31</v>
      </c>
      <c r="C580" t="s">
        <v>33</v>
      </c>
      <c r="D580" t="s">
        <v>40</v>
      </c>
      <c r="E580" t="s">
        <v>64</v>
      </c>
      <c r="F580" t="s">
        <v>35</v>
      </c>
      <c r="G580" s="23">
        <v>0.26</v>
      </c>
      <c r="H580" t="s">
        <v>53</v>
      </c>
      <c r="I580" t="s">
        <v>80</v>
      </c>
      <c r="J580" t="s">
        <v>54</v>
      </c>
      <c r="K580" t="s">
        <v>94</v>
      </c>
      <c r="L580" t="s">
        <v>121</v>
      </c>
      <c r="M580" t="s">
        <v>27</v>
      </c>
      <c r="N580" t="s">
        <v>28</v>
      </c>
      <c r="O580">
        <v>7</v>
      </c>
      <c r="P580">
        <v>76617</v>
      </c>
      <c r="Q580">
        <f t="shared" si="9"/>
        <v>7.6617000000000005E-2</v>
      </c>
      <c r="R580">
        <v>43252</v>
      </c>
      <c r="S580" t="s">
        <v>122</v>
      </c>
    </row>
    <row r="581" spans="1:19">
      <c r="A581">
        <v>60000580</v>
      </c>
      <c r="B581">
        <v>46</v>
      </c>
      <c r="C581" t="s">
        <v>18</v>
      </c>
      <c r="D581" t="s">
        <v>40</v>
      </c>
      <c r="E581" t="s">
        <v>52</v>
      </c>
      <c r="F581" t="s">
        <v>21</v>
      </c>
      <c r="G581" s="23">
        <v>0.15</v>
      </c>
      <c r="H581" t="s">
        <v>22</v>
      </c>
      <c r="I581" t="s">
        <v>70</v>
      </c>
      <c r="J581" t="s">
        <v>46</v>
      </c>
      <c r="K581" t="s">
        <v>77</v>
      </c>
      <c r="L581" t="s">
        <v>26</v>
      </c>
      <c r="M581" t="s">
        <v>27</v>
      </c>
      <c r="N581" t="s">
        <v>28</v>
      </c>
      <c r="O581">
        <v>0</v>
      </c>
      <c r="P581">
        <v>68090</v>
      </c>
      <c r="Q581">
        <f t="shared" si="9"/>
        <v>6.8089999999999998E-2</v>
      </c>
      <c r="R581">
        <v>43252</v>
      </c>
      <c r="S581" t="s">
        <v>122</v>
      </c>
    </row>
    <row r="582" spans="1:19">
      <c r="A582">
        <v>60000581</v>
      </c>
      <c r="B582">
        <v>25</v>
      </c>
      <c r="C582" t="s">
        <v>33</v>
      </c>
      <c r="D582" t="s">
        <v>40</v>
      </c>
      <c r="E582" t="s">
        <v>44</v>
      </c>
      <c r="F582" t="s">
        <v>21</v>
      </c>
      <c r="G582" s="23">
        <v>0.1</v>
      </c>
      <c r="H582" t="s">
        <v>36</v>
      </c>
      <c r="I582" t="s">
        <v>76</v>
      </c>
      <c r="J582" t="s">
        <v>58</v>
      </c>
      <c r="K582" t="s">
        <v>60</v>
      </c>
      <c r="L582" t="s">
        <v>119</v>
      </c>
      <c r="M582" t="s">
        <v>27</v>
      </c>
      <c r="N582" t="s">
        <v>51</v>
      </c>
      <c r="O582">
        <v>7</v>
      </c>
      <c r="P582">
        <v>46276</v>
      </c>
      <c r="Q582">
        <f t="shared" si="9"/>
        <v>4.6275999999999998E-2</v>
      </c>
      <c r="R582">
        <v>43252</v>
      </c>
      <c r="S582" t="s">
        <v>122</v>
      </c>
    </row>
    <row r="583" spans="1:19">
      <c r="A583">
        <v>60000582</v>
      </c>
      <c r="B583">
        <v>27</v>
      </c>
      <c r="C583" t="s">
        <v>33</v>
      </c>
      <c r="D583" t="s">
        <v>19</v>
      </c>
      <c r="E583" t="s">
        <v>75</v>
      </c>
      <c r="F583" t="s">
        <v>21</v>
      </c>
      <c r="G583" s="23">
        <v>0.11</v>
      </c>
      <c r="H583" t="s">
        <v>36</v>
      </c>
      <c r="I583" t="s">
        <v>76</v>
      </c>
      <c r="J583" t="s">
        <v>91</v>
      </c>
      <c r="K583" t="s">
        <v>110</v>
      </c>
      <c r="L583" t="s">
        <v>26</v>
      </c>
      <c r="M583" t="s">
        <v>27</v>
      </c>
      <c r="N583" t="s">
        <v>28</v>
      </c>
      <c r="O583">
        <v>7</v>
      </c>
      <c r="P583">
        <v>41093</v>
      </c>
      <c r="Q583">
        <f t="shared" si="9"/>
        <v>4.1092999999999998E-2</v>
      </c>
      <c r="R583">
        <v>43252</v>
      </c>
      <c r="S583" t="s">
        <v>122</v>
      </c>
    </row>
    <row r="584" spans="1:19">
      <c r="A584">
        <v>60000583</v>
      </c>
      <c r="B584">
        <v>38</v>
      </c>
      <c r="C584" t="s">
        <v>33</v>
      </c>
      <c r="D584" t="s">
        <v>40</v>
      </c>
      <c r="E584" t="s">
        <v>20</v>
      </c>
      <c r="F584" t="s">
        <v>21</v>
      </c>
      <c r="G584" s="23">
        <v>0.36</v>
      </c>
      <c r="H584" t="s">
        <v>42</v>
      </c>
      <c r="I584" t="s">
        <v>37</v>
      </c>
      <c r="J584" t="s">
        <v>58</v>
      </c>
      <c r="K584" t="s">
        <v>102</v>
      </c>
      <c r="L584" t="s">
        <v>26</v>
      </c>
      <c r="M584" t="s">
        <v>27</v>
      </c>
      <c r="N584" t="s">
        <v>28</v>
      </c>
      <c r="O584">
        <v>1</v>
      </c>
      <c r="P584">
        <v>53884</v>
      </c>
      <c r="Q584">
        <f t="shared" si="9"/>
        <v>5.3884000000000001E-2</v>
      </c>
      <c r="R584">
        <v>43252</v>
      </c>
      <c r="S584" t="s">
        <v>122</v>
      </c>
    </row>
    <row r="585" spans="1:19">
      <c r="A585">
        <v>60000584</v>
      </c>
      <c r="B585">
        <v>31</v>
      </c>
      <c r="C585" t="s">
        <v>18</v>
      </c>
      <c r="D585" t="s">
        <v>19</v>
      </c>
      <c r="E585" t="s">
        <v>20</v>
      </c>
      <c r="F585" t="s">
        <v>35</v>
      </c>
      <c r="G585" s="23">
        <v>0.32</v>
      </c>
      <c r="H585" t="s">
        <v>42</v>
      </c>
      <c r="I585" t="s">
        <v>30</v>
      </c>
      <c r="J585" t="s">
        <v>88</v>
      </c>
      <c r="K585" t="s">
        <v>77</v>
      </c>
      <c r="L585" t="s">
        <v>119</v>
      </c>
      <c r="M585" t="s">
        <v>27</v>
      </c>
      <c r="N585" t="s">
        <v>51</v>
      </c>
      <c r="O585">
        <v>0</v>
      </c>
      <c r="P585">
        <v>76973</v>
      </c>
      <c r="Q585">
        <f t="shared" si="9"/>
        <v>7.6973E-2</v>
      </c>
      <c r="R585">
        <v>43252</v>
      </c>
      <c r="S585" t="s">
        <v>122</v>
      </c>
    </row>
    <row r="586" spans="1:19">
      <c r="A586">
        <v>60000585</v>
      </c>
      <c r="B586">
        <v>52</v>
      </c>
      <c r="C586" t="s">
        <v>33</v>
      </c>
      <c r="D586" t="s">
        <v>40</v>
      </c>
      <c r="E586" t="s">
        <v>72</v>
      </c>
      <c r="F586" t="s">
        <v>120</v>
      </c>
      <c r="G586" s="23">
        <v>0.14000000000000001</v>
      </c>
      <c r="H586" t="s">
        <v>22</v>
      </c>
      <c r="I586" t="s">
        <v>86</v>
      </c>
      <c r="J586" t="s">
        <v>88</v>
      </c>
      <c r="K586" t="s">
        <v>92</v>
      </c>
      <c r="L586" t="s">
        <v>26</v>
      </c>
      <c r="M586" t="s">
        <v>27</v>
      </c>
      <c r="N586" t="s">
        <v>28</v>
      </c>
      <c r="O586">
        <v>0</v>
      </c>
      <c r="P586">
        <v>45982</v>
      </c>
      <c r="Q586">
        <f t="shared" si="9"/>
        <v>4.5982000000000002E-2</v>
      </c>
      <c r="R586">
        <v>43252</v>
      </c>
      <c r="S586" t="s">
        <v>122</v>
      </c>
    </row>
    <row r="587" spans="1:19">
      <c r="A587">
        <v>60000586</v>
      </c>
      <c r="B587">
        <v>21</v>
      </c>
      <c r="C587" t="s">
        <v>33</v>
      </c>
      <c r="D587" t="s">
        <v>40</v>
      </c>
      <c r="E587" t="s">
        <v>85</v>
      </c>
      <c r="F587" t="s">
        <v>35</v>
      </c>
      <c r="G587" s="23">
        <v>0.27</v>
      </c>
      <c r="H587" t="s">
        <v>53</v>
      </c>
      <c r="I587" t="s">
        <v>30</v>
      </c>
      <c r="J587" t="s">
        <v>58</v>
      </c>
      <c r="K587" t="s">
        <v>114</v>
      </c>
      <c r="L587" t="s">
        <v>119</v>
      </c>
      <c r="M587" t="s">
        <v>27</v>
      </c>
      <c r="N587" t="s">
        <v>28</v>
      </c>
      <c r="O587">
        <v>0</v>
      </c>
      <c r="P587">
        <v>28570</v>
      </c>
      <c r="Q587">
        <f t="shared" si="9"/>
        <v>2.8570000000000002E-2</v>
      </c>
      <c r="R587">
        <v>43252</v>
      </c>
      <c r="S587" t="s">
        <v>122</v>
      </c>
    </row>
    <row r="588" spans="1:19">
      <c r="A588">
        <v>60000587</v>
      </c>
      <c r="B588">
        <v>65</v>
      </c>
      <c r="C588" t="s">
        <v>18</v>
      </c>
      <c r="D588" t="s">
        <v>19</v>
      </c>
      <c r="E588" t="s">
        <v>20</v>
      </c>
      <c r="F588" t="s">
        <v>120</v>
      </c>
      <c r="G588" s="23">
        <v>0.22</v>
      </c>
      <c r="H588" t="s">
        <v>29</v>
      </c>
      <c r="I588" t="s">
        <v>49</v>
      </c>
      <c r="J588" t="s">
        <v>61</v>
      </c>
      <c r="K588" t="s">
        <v>59</v>
      </c>
      <c r="L588" t="s">
        <v>26</v>
      </c>
      <c r="M588" t="s">
        <v>27</v>
      </c>
      <c r="N588" t="s">
        <v>51</v>
      </c>
      <c r="O588">
        <v>4</v>
      </c>
      <c r="P588">
        <v>71377</v>
      </c>
      <c r="Q588">
        <f t="shared" si="9"/>
        <v>7.1376999999999996E-2</v>
      </c>
      <c r="R588">
        <v>43252</v>
      </c>
      <c r="S588" t="s">
        <v>122</v>
      </c>
    </row>
    <row r="589" spans="1:19">
      <c r="A589">
        <v>60000588</v>
      </c>
      <c r="B589">
        <v>40</v>
      </c>
      <c r="C589" t="s">
        <v>33</v>
      </c>
      <c r="D589" t="s">
        <v>19</v>
      </c>
      <c r="E589" t="s">
        <v>52</v>
      </c>
      <c r="F589" t="s">
        <v>35</v>
      </c>
      <c r="G589" s="23">
        <v>0.26</v>
      </c>
      <c r="H589" t="s">
        <v>53</v>
      </c>
      <c r="I589" t="s">
        <v>37</v>
      </c>
      <c r="J589" t="s">
        <v>58</v>
      </c>
      <c r="K589" t="s">
        <v>111</v>
      </c>
      <c r="L589" t="s">
        <v>26</v>
      </c>
      <c r="M589" t="s">
        <v>27</v>
      </c>
      <c r="N589" t="s">
        <v>51</v>
      </c>
      <c r="O589">
        <v>0</v>
      </c>
      <c r="P589">
        <v>57215</v>
      </c>
      <c r="Q589">
        <f t="shared" si="9"/>
        <v>5.7215000000000002E-2</v>
      </c>
      <c r="R589">
        <v>43252</v>
      </c>
      <c r="S589" t="s">
        <v>122</v>
      </c>
    </row>
    <row r="590" spans="1:19">
      <c r="A590">
        <v>60000589</v>
      </c>
      <c r="B590">
        <v>50</v>
      </c>
      <c r="C590" t="s">
        <v>18</v>
      </c>
      <c r="D590" t="s">
        <v>40</v>
      </c>
      <c r="E590" t="s">
        <v>64</v>
      </c>
      <c r="F590" t="s">
        <v>21</v>
      </c>
      <c r="G590" s="23">
        <v>0.37</v>
      </c>
      <c r="H590" t="s">
        <v>42</v>
      </c>
      <c r="I590" t="s">
        <v>30</v>
      </c>
      <c r="J590" t="s">
        <v>74</v>
      </c>
      <c r="K590" t="s">
        <v>84</v>
      </c>
      <c r="L590" t="s">
        <v>119</v>
      </c>
      <c r="M590" t="s">
        <v>27</v>
      </c>
      <c r="N590" t="s">
        <v>28</v>
      </c>
      <c r="O590">
        <v>2</v>
      </c>
      <c r="P590">
        <v>48218</v>
      </c>
      <c r="Q590">
        <f t="shared" si="9"/>
        <v>4.8217999999999997E-2</v>
      </c>
      <c r="R590">
        <v>43252</v>
      </c>
      <c r="S590" t="s">
        <v>122</v>
      </c>
    </row>
    <row r="591" spans="1:19">
      <c r="A591">
        <v>60000590</v>
      </c>
      <c r="B591">
        <v>33</v>
      </c>
      <c r="C591" t="s">
        <v>18</v>
      </c>
      <c r="D591" t="s">
        <v>19</v>
      </c>
      <c r="E591" t="s">
        <v>48</v>
      </c>
      <c r="F591" t="s">
        <v>21</v>
      </c>
      <c r="G591" s="23">
        <v>0.18</v>
      </c>
      <c r="H591" t="s">
        <v>22</v>
      </c>
      <c r="I591" t="s">
        <v>73</v>
      </c>
      <c r="J591" t="s">
        <v>88</v>
      </c>
      <c r="K591" t="s">
        <v>100</v>
      </c>
      <c r="L591" t="s">
        <v>119</v>
      </c>
      <c r="M591" t="s">
        <v>27</v>
      </c>
      <c r="N591" t="s">
        <v>28</v>
      </c>
      <c r="O591">
        <v>0</v>
      </c>
      <c r="P591">
        <v>50569</v>
      </c>
      <c r="Q591">
        <f t="shared" si="9"/>
        <v>5.0569000000000003E-2</v>
      </c>
      <c r="R591">
        <v>43252</v>
      </c>
      <c r="S591" t="s">
        <v>122</v>
      </c>
    </row>
    <row r="592" spans="1:19">
      <c r="A592">
        <v>60000591</v>
      </c>
      <c r="B592">
        <v>41</v>
      </c>
      <c r="C592" t="s">
        <v>33</v>
      </c>
      <c r="D592" t="s">
        <v>19</v>
      </c>
      <c r="E592" t="s">
        <v>64</v>
      </c>
      <c r="F592" t="s">
        <v>21</v>
      </c>
      <c r="G592" s="23">
        <v>0.28000000000000003</v>
      </c>
      <c r="H592" t="s">
        <v>53</v>
      </c>
      <c r="I592" t="s">
        <v>68</v>
      </c>
      <c r="J592" t="s">
        <v>78</v>
      </c>
      <c r="K592" t="s">
        <v>89</v>
      </c>
      <c r="L592" t="s">
        <v>119</v>
      </c>
      <c r="M592" t="s">
        <v>27</v>
      </c>
      <c r="N592" t="s">
        <v>28</v>
      </c>
      <c r="O592">
        <v>0</v>
      </c>
      <c r="P592">
        <v>65399</v>
      </c>
      <c r="Q592">
        <f t="shared" si="9"/>
        <v>6.5398999999999999E-2</v>
      </c>
      <c r="R592">
        <v>43252</v>
      </c>
      <c r="S592" t="s">
        <v>122</v>
      </c>
    </row>
    <row r="593" spans="1:19">
      <c r="A593">
        <v>60000592</v>
      </c>
      <c r="B593">
        <v>56</v>
      </c>
      <c r="C593" t="s">
        <v>33</v>
      </c>
      <c r="D593" t="s">
        <v>40</v>
      </c>
      <c r="E593" t="s">
        <v>48</v>
      </c>
      <c r="F593" t="s">
        <v>35</v>
      </c>
      <c r="G593" s="23">
        <v>0.28000000000000003</v>
      </c>
      <c r="H593" t="s">
        <v>53</v>
      </c>
      <c r="I593" t="s">
        <v>80</v>
      </c>
      <c r="J593" t="s">
        <v>58</v>
      </c>
      <c r="K593" t="s">
        <v>109</v>
      </c>
      <c r="L593" t="s">
        <v>121</v>
      </c>
      <c r="M593" t="s">
        <v>27</v>
      </c>
      <c r="N593" t="s">
        <v>51</v>
      </c>
      <c r="O593">
        <v>0</v>
      </c>
      <c r="P593">
        <v>52033</v>
      </c>
      <c r="Q593">
        <f t="shared" si="9"/>
        <v>5.2033000000000003E-2</v>
      </c>
      <c r="R593">
        <v>43252</v>
      </c>
      <c r="S593" t="s">
        <v>122</v>
      </c>
    </row>
    <row r="594" spans="1:19">
      <c r="A594">
        <v>60000593</v>
      </c>
      <c r="B594">
        <v>26</v>
      </c>
      <c r="C594" t="s">
        <v>33</v>
      </c>
      <c r="D594" t="s">
        <v>40</v>
      </c>
      <c r="E594" t="s">
        <v>85</v>
      </c>
      <c r="F594" t="s">
        <v>21</v>
      </c>
      <c r="G594" s="23">
        <v>0.13</v>
      </c>
      <c r="H594" t="s">
        <v>22</v>
      </c>
      <c r="I594" t="s">
        <v>37</v>
      </c>
      <c r="J594" t="s">
        <v>91</v>
      </c>
      <c r="K594" t="s">
        <v>90</v>
      </c>
      <c r="L594" t="s">
        <v>119</v>
      </c>
      <c r="M594" t="s">
        <v>27</v>
      </c>
      <c r="N594" t="s">
        <v>28</v>
      </c>
      <c r="O594">
        <v>0</v>
      </c>
      <c r="P594">
        <v>68451</v>
      </c>
      <c r="Q594">
        <f t="shared" si="9"/>
        <v>6.8450999999999998E-2</v>
      </c>
      <c r="R594">
        <v>43252</v>
      </c>
      <c r="S594" t="s">
        <v>122</v>
      </c>
    </row>
    <row r="595" spans="1:19">
      <c r="A595">
        <v>60000594</v>
      </c>
      <c r="B595">
        <v>56</v>
      </c>
      <c r="C595" t="s">
        <v>18</v>
      </c>
      <c r="D595" t="s">
        <v>40</v>
      </c>
      <c r="E595" t="s">
        <v>56</v>
      </c>
      <c r="F595" t="s">
        <v>120</v>
      </c>
      <c r="G595" s="23">
        <v>0.19</v>
      </c>
      <c r="H595" t="s">
        <v>29</v>
      </c>
      <c r="I595" t="s">
        <v>62</v>
      </c>
      <c r="J595" t="s">
        <v>74</v>
      </c>
      <c r="K595" t="s">
        <v>39</v>
      </c>
      <c r="L595" t="s">
        <v>119</v>
      </c>
      <c r="M595" t="s">
        <v>27</v>
      </c>
      <c r="N595" t="s">
        <v>28</v>
      </c>
      <c r="O595">
        <v>0</v>
      </c>
      <c r="P595">
        <v>25667</v>
      </c>
      <c r="Q595">
        <f t="shared" si="9"/>
        <v>2.5666999999999999E-2</v>
      </c>
      <c r="R595">
        <v>43252</v>
      </c>
      <c r="S595" t="s">
        <v>122</v>
      </c>
    </row>
    <row r="596" spans="1:19">
      <c r="A596">
        <v>60000595</v>
      </c>
      <c r="B596">
        <v>59</v>
      </c>
      <c r="C596" t="s">
        <v>18</v>
      </c>
      <c r="D596" t="s">
        <v>19</v>
      </c>
      <c r="E596" t="s">
        <v>48</v>
      </c>
      <c r="F596" t="s">
        <v>21</v>
      </c>
      <c r="G596" s="23">
        <v>0.2</v>
      </c>
      <c r="H596" t="s">
        <v>29</v>
      </c>
      <c r="I596" t="s">
        <v>83</v>
      </c>
      <c r="J596" t="s">
        <v>54</v>
      </c>
      <c r="K596" t="s">
        <v>99</v>
      </c>
      <c r="L596" t="s">
        <v>26</v>
      </c>
      <c r="M596" t="s">
        <v>27</v>
      </c>
      <c r="N596" t="s">
        <v>28</v>
      </c>
      <c r="O596">
        <v>0</v>
      </c>
      <c r="P596">
        <v>83560</v>
      </c>
      <c r="Q596">
        <f t="shared" si="9"/>
        <v>8.3559999999999995E-2</v>
      </c>
      <c r="R596">
        <v>43252</v>
      </c>
      <c r="S596" t="s">
        <v>122</v>
      </c>
    </row>
    <row r="597" spans="1:19">
      <c r="A597">
        <v>60000596</v>
      </c>
      <c r="B597">
        <v>44</v>
      </c>
      <c r="C597" t="s">
        <v>33</v>
      </c>
      <c r="D597" t="s">
        <v>40</v>
      </c>
      <c r="E597" t="s">
        <v>56</v>
      </c>
      <c r="F597" t="s">
        <v>35</v>
      </c>
      <c r="G597" s="23">
        <v>0.26</v>
      </c>
      <c r="H597" t="s">
        <v>53</v>
      </c>
      <c r="I597" t="s">
        <v>68</v>
      </c>
      <c r="J597" t="s">
        <v>91</v>
      </c>
      <c r="K597" t="s">
        <v>107</v>
      </c>
      <c r="L597" t="s">
        <v>26</v>
      </c>
      <c r="M597" t="s">
        <v>27</v>
      </c>
      <c r="N597" t="s">
        <v>51</v>
      </c>
      <c r="O597">
        <v>0</v>
      </c>
      <c r="P597">
        <v>57917</v>
      </c>
      <c r="Q597">
        <f t="shared" si="9"/>
        <v>5.7917000000000003E-2</v>
      </c>
      <c r="R597">
        <v>43252</v>
      </c>
      <c r="S597" t="s">
        <v>122</v>
      </c>
    </row>
    <row r="598" spans="1:19">
      <c r="A598">
        <v>60000597</v>
      </c>
      <c r="B598">
        <v>56</v>
      </c>
      <c r="C598" t="s">
        <v>33</v>
      </c>
      <c r="D598" t="s">
        <v>19</v>
      </c>
      <c r="E598" t="s">
        <v>85</v>
      </c>
      <c r="F598" t="s">
        <v>120</v>
      </c>
      <c r="G598" s="23">
        <v>0.16</v>
      </c>
      <c r="H598" t="s">
        <v>22</v>
      </c>
      <c r="I598" t="s">
        <v>83</v>
      </c>
      <c r="J598" t="s">
        <v>31</v>
      </c>
      <c r="K598" t="s">
        <v>113</v>
      </c>
      <c r="L598" t="s">
        <v>119</v>
      </c>
      <c r="M598" t="s">
        <v>27</v>
      </c>
      <c r="N598" t="s">
        <v>28</v>
      </c>
      <c r="O598">
        <v>0</v>
      </c>
      <c r="P598">
        <v>50258</v>
      </c>
      <c r="Q598">
        <f t="shared" si="9"/>
        <v>5.0257999999999997E-2</v>
      </c>
      <c r="R598">
        <v>43252</v>
      </c>
      <c r="S598" t="s">
        <v>122</v>
      </c>
    </row>
    <row r="599" spans="1:19">
      <c r="A599">
        <v>60000598</v>
      </c>
      <c r="B599">
        <v>34</v>
      </c>
      <c r="C599" t="s">
        <v>33</v>
      </c>
      <c r="D599" t="s">
        <v>40</v>
      </c>
      <c r="E599" t="s">
        <v>34</v>
      </c>
      <c r="F599" t="s">
        <v>120</v>
      </c>
      <c r="G599" s="23">
        <v>0.15</v>
      </c>
      <c r="H599" t="s">
        <v>22</v>
      </c>
      <c r="I599" t="s">
        <v>37</v>
      </c>
      <c r="J599" t="s">
        <v>54</v>
      </c>
      <c r="K599" t="s">
        <v>115</v>
      </c>
      <c r="L599" t="s">
        <v>26</v>
      </c>
      <c r="M599" t="s">
        <v>27</v>
      </c>
      <c r="N599" t="s">
        <v>28</v>
      </c>
      <c r="O599">
        <v>1</v>
      </c>
      <c r="P599">
        <v>53537</v>
      </c>
      <c r="Q599">
        <f t="shared" si="9"/>
        <v>5.3537000000000001E-2</v>
      </c>
      <c r="R599">
        <v>43252</v>
      </c>
      <c r="S599" t="s">
        <v>122</v>
      </c>
    </row>
    <row r="600" spans="1:19">
      <c r="A600">
        <v>60000599</v>
      </c>
      <c r="B600">
        <v>31</v>
      </c>
      <c r="C600" t="s">
        <v>18</v>
      </c>
      <c r="D600" t="s">
        <v>40</v>
      </c>
      <c r="E600" t="s">
        <v>34</v>
      </c>
      <c r="F600" t="s">
        <v>120</v>
      </c>
      <c r="G600" s="23">
        <v>0.22</v>
      </c>
      <c r="H600" t="s">
        <v>29</v>
      </c>
      <c r="I600" t="s">
        <v>86</v>
      </c>
      <c r="J600" t="s">
        <v>66</v>
      </c>
      <c r="K600" t="s">
        <v>116</v>
      </c>
      <c r="L600" t="s">
        <v>119</v>
      </c>
      <c r="M600" t="s">
        <v>27</v>
      </c>
      <c r="N600" t="s">
        <v>51</v>
      </c>
      <c r="O600">
        <v>5</v>
      </c>
      <c r="P600">
        <v>36408</v>
      </c>
      <c r="Q600">
        <f t="shared" si="9"/>
        <v>3.6408000000000003E-2</v>
      </c>
      <c r="R600">
        <v>43252</v>
      </c>
      <c r="S600" t="s">
        <v>122</v>
      </c>
    </row>
    <row r="601" spans="1:19">
      <c r="A601">
        <v>60000600</v>
      </c>
      <c r="B601">
        <v>54</v>
      </c>
      <c r="C601" t="s">
        <v>33</v>
      </c>
      <c r="D601" t="s">
        <v>40</v>
      </c>
      <c r="E601" t="s">
        <v>64</v>
      </c>
      <c r="F601" t="s">
        <v>21</v>
      </c>
      <c r="G601" s="23">
        <v>0.22</v>
      </c>
      <c r="H601" t="s">
        <v>29</v>
      </c>
      <c r="I601" t="s">
        <v>57</v>
      </c>
      <c r="J601" t="s">
        <v>69</v>
      </c>
      <c r="K601" t="s">
        <v>79</v>
      </c>
      <c r="L601" t="s">
        <v>26</v>
      </c>
      <c r="M601" t="s">
        <v>27</v>
      </c>
      <c r="N601" t="s">
        <v>28</v>
      </c>
      <c r="O601">
        <v>0</v>
      </c>
      <c r="P601">
        <v>68952</v>
      </c>
      <c r="Q601">
        <f t="shared" si="9"/>
        <v>6.8951999999999999E-2</v>
      </c>
      <c r="R601">
        <v>43252</v>
      </c>
      <c r="S601" t="s">
        <v>122</v>
      </c>
    </row>
    <row r="602" spans="1:19">
      <c r="A602">
        <v>60000601</v>
      </c>
      <c r="B602">
        <v>45</v>
      </c>
      <c r="C602" t="s">
        <v>18</v>
      </c>
      <c r="D602" t="s">
        <v>19</v>
      </c>
      <c r="E602" t="s">
        <v>72</v>
      </c>
      <c r="F602" t="s">
        <v>120</v>
      </c>
      <c r="G602" s="23">
        <v>0.27</v>
      </c>
      <c r="H602" t="s">
        <v>53</v>
      </c>
      <c r="I602" t="s">
        <v>76</v>
      </c>
      <c r="J602" t="s">
        <v>74</v>
      </c>
      <c r="K602" t="s">
        <v>84</v>
      </c>
      <c r="L602" t="s">
        <v>119</v>
      </c>
      <c r="M602" t="s">
        <v>27</v>
      </c>
      <c r="N602" t="s">
        <v>51</v>
      </c>
      <c r="O602">
        <v>0</v>
      </c>
      <c r="P602">
        <v>64036</v>
      </c>
      <c r="Q602">
        <f t="shared" si="9"/>
        <v>6.4035999999999996E-2</v>
      </c>
      <c r="R602">
        <v>43252</v>
      </c>
      <c r="S602" t="s">
        <v>122</v>
      </c>
    </row>
    <row r="603" spans="1:19">
      <c r="A603">
        <v>60000602</v>
      </c>
      <c r="B603">
        <v>55</v>
      </c>
      <c r="C603" t="s">
        <v>33</v>
      </c>
      <c r="D603" t="s">
        <v>40</v>
      </c>
      <c r="E603" t="s">
        <v>56</v>
      </c>
      <c r="F603" t="s">
        <v>35</v>
      </c>
      <c r="G603" s="23">
        <v>0.18</v>
      </c>
      <c r="H603" t="s">
        <v>22</v>
      </c>
      <c r="I603" t="s">
        <v>73</v>
      </c>
      <c r="J603" t="s">
        <v>78</v>
      </c>
      <c r="K603" t="s">
        <v>71</v>
      </c>
      <c r="L603" t="s">
        <v>121</v>
      </c>
      <c r="M603" t="s">
        <v>27</v>
      </c>
      <c r="N603" t="s">
        <v>51</v>
      </c>
      <c r="O603">
        <v>0</v>
      </c>
      <c r="P603">
        <v>56531</v>
      </c>
      <c r="Q603">
        <f t="shared" si="9"/>
        <v>5.6530999999999998E-2</v>
      </c>
      <c r="R603">
        <v>43252</v>
      </c>
      <c r="S603" t="s">
        <v>122</v>
      </c>
    </row>
    <row r="604" spans="1:19">
      <c r="A604">
        <v>60000603</v>
      </c>
      <c r="B604">
        <v>33</v>
      </c>
      <c r="C604" t="s">
        <v>18</v>
      </c>
      <c r="D604" t="s">
        <v>19</v>
      </c>
      <c r="E604" t="s">
        <v>48</v>
      </c>
      <c r="F604" t="s">
        <v>21</v>
      </c>
      <c r="G604" s="23">
        <v>0.18</v>
      </c>
      <c r="H604" t="s">
        <v>22</v>
      </c>
      <c r="I604" t="s">
        <v>23</v>
      </c>
      <c r="J604" t="s">
        <v>66</v>
      </c>
      <c r="K604" t="s">
        <v>103</v>
      </c>
      <c r="L604" t="s">
        <v>119</v>
      </c>
      <c r="M604" t="s">
        <v>27</v>
      </c>
      <c r="N604" t="s">
        <v>51</v>
      </c>
      <c r="O604">
        <v>0</v>
      </c>
      <c r="P604">
        <v>75914</v>
      </c>
      <c r="Q604">
        <f t="shared" si="9"/>
        <v>7.5913999999999995E-2</v>
      </c>
      <c r="R604">
        <v>43252</v>
      </c>
      <c r="S604" t="s">
        <v>122</v>
      </c>
    </row>
    <row r="605" spans="1:19">
      <c r="A605">
        <v>60000604</v>
      </c>
      <c r="B605">
        <v>51</v>
      </c>
      <c r="C605" t="s">
        <v>18</v>
      </c>
      <c r="D605" t="s">
        <v>19</v>
      </c>
      <c r="E605" t="s">
        <v>20</v>
      </c>
      <c r="F605" t="s">
        <v>120</v>
      </c>
      <c r="G605" s="23">
        <v>0.14000000000000001</v>
      </c>
      <c r="H605" t="s">
        <v>22</v>
      </c>
      <c r="I605" t="s">
        <v>57</v>
      </c>
      <c r="J605" t="s">
        <v>74</v>
      </c>
      <c r="K605" t="s">
        <v>50</v>
      </c>
      <c r="L605" t="s">
        <v>121</v>
      </c>
      <c r="M605" t="s">
        <v>27</v>
      </c>
      <c r="N605" t="s">
        <v>51</v>
      </c>
      <c r="O605">
        <v>4</v>
      </c>
      <c r="P605">
        <v>68867</v>
      </c>
      <c r="Q605">
        <f t="shared" si="9"/>
        <v>6.8866999999999998E-2</v>
      </c>
      <c r="R605">
        <v>43252</v>
      </c>
      <c r="S605" t="s">
        <v>122</v>
      </c>
    </row>
    <row r="606" spans="1:19">
      <c r="A606">
        <v>60000605</v>
      </c>
      <c r="B606">
        <v>45</v>
      </c>
      <c r="C606" t="s">
        <v>33</v>
      </c>
      <c r="D606" t="s">
        <v>19</v>
      </c>
      <c r="E606" t="s">
        <v>20</v>
      </c>
      <c r="F606" t="s">
        <v>21</v>
      </c>
      <c r="G606" s="23">
        <v>0.14000000000000001</v>
      </c>
      <c r="H606" t="s">
        <v>22</v>
      </c>
      <c r="I606" t="s">
        <v>37</v>
      </c>
      <c r="J606" t="s">
        <v>54</v>
      </c>
      <c r="K606" t="s">
        <v>83</v>
      </c>
      <c r="L606" t="s">
        <v>121</v>
      </c>
      <c r="M606" t="s">
        <v>27</v>
      </c>
      <c r="N606" t="s">
        <v>51</v>
      </c>
      <c r="O606">
        <v>0</v>
      </c>
      <c r="P606">
        <v>68635</v>
      </c>
      <c r="Q606">
        <f t="shared" si="9"/>
        <v>6.8635000000000002E-2</v>
      </c>
      <c r="R606">
        <v>43252</v>
      </c>
      <c r="S606" t="s">
        <v>122</v>
      </c>
    </row>
    <row r="607" spans="1:19">
      <c r="A607">
        <v>60000606</v>
      </c>
      <c r="B607">
        <v>49</v>
      </c>
      <c r="C607" t="s">
        <v>33</v>
      </c>
      <c r="D607" t="s">
        <v>40</v>
      </c>
      <c r="E607" t="s">
        <v>52</v>
      </c>
      <c r="F607" t="s">
        <v>21</v>
      </c>
      <c r="G607" s="23">
        <v>0.34</v>
      </c>
      <c r="H607" t="s">
        <v>42</v>
      </c>
      <c r="I607" t="s">
        <v>73</v>
      </c>
      <c r="J607" t="s">
        <v>66</v>
      </c>
      <c r="K607" t="s">
        <v>116</v>
      </c>
      <c r="L607" t="s">
        <v>121</v>
      </c>
      <c r="M607" t="s">
        <v>27</v>
      </c>
      <c r="N607" t="s">
        <v>28</v>
      </c>
      <c r="O607">
        <v>3</v>
      </c>
      <c r="P607">
        <v>81611</v>
      </c>
      <c r="Q607">
        <f t="shared" si="9"/>
        <v>8.1611000000000003E-2</v>
      </c>
      <c r="R607">
        <v>43252</v>
      </c>
      <c r="S607" t="s">
        <v>122</v>
      </c>
    </row>
    <row r="608" spans="1:19">
      <c r="A608">
        <v>60000607</v>
      </c>
      <c r="B608">
        <v>40</v>
      </c>
      <c r="C608" t="s">
        <v>18</v>
      </c>
      <c r="D608" t="s">
        <v>19</v>
      </c>
      <c r="E608" t="s">
        <v>72</v>
      </c>
      <c r="F608" t="s">
        <v>21</v>
      </c>
      <c r="G608" s="23">
        <v>0.33</v>
      </c>
      <c r="H608" t="s">
        <v>42</v>
      </c>
      <c r="I608" t="s">
        <v>68</v>
      </c>
      <c r="J608" t="s">
        <v>46</v>
      </c>
      <c r="K608" t="s">
        <v>94</v>
      </c>
      <c r="L608" t="s">
        <v>121</v>
      </c>
      <c r="M608" t="s">
        <v>27</v>
      </c>
      <c r="N608" t="s">
        <v>28</v>
      </c>
      <c r="O608">
        <v>5</v>
      </c>
      <c r="P608">
        <v>48508</v>
      </c>
      <c r="Q608">
        <f t="shared" si="9"/>
        <v>4.8508000000000003E-2</v>
      </c>
      <c r="R608">
        <v>43252</v>
      </c>
      <c r="S608" t="s">
        <v>122</v>
      </c>
    </row>
    <row r="609" spans="1:19">
      <c r="A609">
        <v>60000608</v>
      </c>
      <c r="B609">
        <v>29</v>
      </c>
      <c r="C609" t="s">
        <v>33</v>
      </c>
      <c r="D609" t="s">
        <v>40</v>
      </c>
      <c r="E609" t="s">
        <v>64</v>
      </c>
      <c r="F609" t="s">
        <v>21</v>
      </c>
      <c r="G609" s="23">
        <v>0.37</v>
      </c>
      <c r="H609" t="s">
        <v>42</v>
      </c>
      <c r="I609" t="s">
        <v>62</v>
      </c>
      <c r="J609" t="s">
        <v>38</v>
      </c>
      <c r="K609" t="s">
        <v>92</v>
      </c>
      <c r="L609" t="s">
        <v>121</v>
      </c>
      <c r="M609" t="s">
        <v>27</v>
      </c>
      <c r="N609" t="s">
        <v>51</v>
      </c>
      <c r="O609">
        <v>0</v>
      </c>
      <c r="P609">
        <v>70933</v>
      </c>
      <c r="Q609">
        <f t="shared" si="9"/>
        <v>7.0932999999999996E-2</v>
      </c>
      <c r="R609">
        <v>43252</v>
      </c>
      <c r="S609" t="s">
        <v>122</v>
      </c>
    </row>
    <row r="610" spans="1:19">
      <c r="A610">
        <v>60000609</v>
      </c>
      <c r="B610">
        <v>63</v>
      </c>
      <c r="C610" t="s">
        <v>33</v>
      </c>
      <c r="D610" t="s">
        <v>40</v>
      </c>
      <c r="E610" t="s">
        <v>72</v>
      </c>
      <c r="F610" t="s">
        <v>120</v>
      </c>
      <c r="G610" s="23">
        <v>0.25</v>
      </c>
      <c r="H610" t="s">
        <v>53</v>
      </c>
      <c r="I610" t="s">
        <v>68</v>
      </c>
      <c r="J610" t="s">
        <v>74</v>
      </c>
      <c r="K610" t="s">
        <v>96</v>
      </c>
      <c r="L610" t="s">
        <v>119</v>
      </c>
      <c r="M610" t="s">
        <v>27</v>
      </c>
      <c r="N610" t="s">
        <v>28</v>
      </c>
      <c r="O610">
        <v>4</v>
      </c>
      <c r="P610">
        <v>48153</v>
      </c>
      <c r="Q610">
        <f t="shared" si="9"/>
        <v>4.8153000000000001E-2</v>
      </c>
      <c r="R610">
        <v>43252</v>
      </c>
      <c r="S610" t="s">
        <v>122</v>
      </c>
    </row>
    <row r="611" spans="1:19">
      <c r="A611">
        <v>60000610</v>
      </c>
      <c r="B611">
        <v>42</v>
      </c>
      <c r="C611" t="s">
        <v>18</v>
      </c>
      <c r="D611" t="s">
        <v>19</v>
      </c>
      <c r="E611" t="s">
        <v>75</v>
      </c>
      <c r="F611" t="s">
        <v>21</v>
      </c>
      <c r="G611" s="23">
        <v>0.25</v>
      </c>
      <c r="H611" t="s">
        <v>53</v>
      </c>
      <c r="I611" t="s">
        <v>70</v>
      </c>
      <c r="J611" t="s">
        <v>24</v>
      </c>
      <c r="K611" t="s">
        <v>89</v>
      </c>
      <c r="L611" t="s">
        <v>121</v>
      </c>
      <c r="M611" t="s">
        <v>27</v>
      </c>
      <c r="N611" t="s">
        <v>28</v>
      </c>
      <c r="O611">
        <v>0</v>
      </c>
      <c r="P611">
        <v>45766</v>
      </c>
      <c r="Q611">
        <f t="shared" si="9"/>
        <v>4.5766000000000001E-2</v>
      </c>
      <c r="R611">
        <v>43252</v>
      </c>
      <c r="S611" t="s">
        <v>122</v>
      </c>
    </row>
    <row r="612" spans="1:19">
      <c r="A612">
        <v>60000611</v>
      </c>
      <c r="B612">
        <v>27</v>
      </c>
      <c r="C612" t="s">
        <v>18</v>
      </c>
      <c r="D612" t="s">
        <v>19</v>
      </c>
      <c r="E612" t="s">
        <v>48</v>
      </c>
      <c r="F612" t="s">
        <v>120</v>
      </c>
      <c r="G612" s="23">
        <v>0.12</v>
      </c>
      <c r="H612" t="s">
        <v>22</v>
      </c>
      <c r="I612" t="s">
        <v>68</v>
      </c>
      <c r="J612" t="s">
        <v>78</v>
      </c>
      <c r="K612" t="s">
        <v>100</v>
      </c>
      <c r="L612" t="s">
        <v>26</v>
      </c>
      <c r="M612" t="s">
        <v>27</v>
      </c>
      <c r="N612" t="s">
        <v>51</v>
      </c>
      <c r="O612">
        <v>2</v>
      </c>
      <c r="P612">
        <v>28478</v>
      </c>
      <c r="Q612">
        <f t="shared" si="9"/>
        <v>2.8478E-2</v>
      </c>
      <c r="R612">
        <v>43252</v>
      </c>
      <c r="S612" t="s">
        <v>122</v>
      </c>
    </row>
    <row r="613" spans="1:19">
      <c r="A613">
        <v>60000612</v>
      </c>
      <c r="B613">
        <v>64</v>
      </c>
      <c r="C613" t="s">
        <v>18</v>
      </c>
      <c r="D613" t="s">
        <v>19</v>
      </c>
      <c r="E613" t="s">
        <v>52</v>
      </c>
      <c r="F613" t="s">
        <v>21</v>
      </c>
      <c r="G613" s="23">
        <v>0.23</v>
      </c>
      <c r="H613" t="s">
        <v>29</v>
      </c>
      <c r="I613" t="s">
        <v>37</v>
      </c>
      <c r="J613" t="s">
        <v>61</v>
      </c>
      <c r="K613" t="s">
        <v>39</v>
      </c>
      <c r="L613" t="s">
        <v>121</v>
      </c>
      <c r="M613" t="s">
        <v>27</v>
      </c>
      <c r="N613" t="s">
        <v>28</v>
      </c>
      <c r="O613">
        <v>5</v>
      </c>
      <c r="P613">
        <v>69741</v>
      </c>
      <c r="Q613">
        <f t="shared" si="9"/>
        <v>6.9740999999999997E-2</v>
      </c>
      <c r="R613">
        <v>43252</v>
      </c>
      <c r="S613" t="s">
        <v>122</v>
      </c>
    </row>
    <row r="614" spans="1:19">
      <c r="A614">
        <v>60000613</v>
      </c>
      <c r="B614">
        <v>43</v>
      </c>
      <c r="C614" t="s">
        <v>33</v>
      </c>
      <c r="D614" t="s">
        <v>19</v>
      </c>
      <c r="E614" t="s">
        <v>20</v>
      </c>
      <c r="F614" t="s">
        <v>21</v>
      </c>
      <c r="G614" s="23">
        <v>0.33</v>
      </c>
      <c r="H614" t="s">
        <v>42</v>
      </c>
      <c r="I614" t="s">
        <v>76</v>
      </c>
      <c r="J614" t="s">
        <v>66</v>
      </c>
      <c r="K614" t="s">
        <v>60</v>
      </c>
      <c r="L614" t="s">
        <v>119</v>
      </c>
      <c r="M614" t="s">
        <v>27</v>
      </c>
      <c r="N614" t="s">
        <v>51</v>
      </c>
      <c r="O614">
        <v>0</v>
      </c>
      <c r="P614">
        <v>58015</v>
      </c>
      <c r="Q614">
        <f t="shared" si="9"/>
        <v>5.8014999999999997E-2</v>
      </c>
      <c r="R614">
        <v>43252</v>
      </c>
      <c r="S614" t="s">
        <v>122</v>
      </c>
    </row>
    <row r="615" spans="1:19">
      <c r="A615">
        <v>60000614</v>
      </c>
      <c r="B615">
        <v>31</v>
      </c>
      <c r="C615" t="s">
        <v>18</v>
      </c>
      <c r="D615" t="s">
        <v>40</v>
      </c>
      <c r="E615" t="s">
        <v>48</v>
      </c>
      <c r="F615" t="s">
        <v>120</v>
      </c>
      <c r="G615" s="23">
        <v>0.1</v>
      </c>
      <c r="H615" t="s">
        <v>36</v>
      </c>
      <c r="I615" t="s">
        <v>76</v>
      </c>
      <c r="J615" t="s">
        <v>31</v>
      </c>
      <c r="K615" t="s">
        <v>81</v>
      </c>
      <c r="L615" t="s">
        <v>121</v>
      </c>
      <c r="M615" t="s">
        <v>27</v>
      </c>
      <c r="N615" t="s">
        <v>28</v>
      </c>
      <c r="O615">
        <v>6</v>
      </c>
      <c r="P615">
        <v>68263</v>
      </c>
      <c r="Q615">
        <f t="shared" si="9"/>
        <v>6.8263000000000004E-2</v>
      </c>
      <c r="R615">
        <v>43252</v>
      </c>
      <c r="S615" t="s">
        <v>122</v>
      </c>
    </row>
    <row r="616" spans="1:19">
      <c r="A616">
        <v>60000615</v>
      </c>
      <c r="B616">
        <v>34</v>
      </c>
      <c r="C616" t="s">
        <v>33</v>
      </c>
      <c r="D616" t="s">
        <v>40</v>
      </c>
      <c r="E616" t="s">
        <v>56</v>
      </c>
      <c r="F616" t="s">
        <v>120</v>
      </c>
      <c r="G616" s="23">
        <v>0.23</v>
      </c>
      <c r="H616" t="s">
        <v>29</v>
      </c>
      <c r="I616" t="s">
        <v>62</v>
      </c>
      <c r="J616" t="s">
        <v>38</v>
      </c>
      <c r="K616" t="s">
        <v>82</v>
      </c>
      <c r="L616" t="s">
        <v>119</v>
      </c>
      <c r="M616" t="s">
        <v>27</v>
      </c>
      <c r="N616" t="s">
        <v>28</v>
      </c>
      <c r="O616">
        <v>0</v>
      </c>
      <c r="P616">
        <v>34109</v>
      </c>
      <c r="Q616">
        <f t="shared" si="9"/>
        <v>3.4109E-2</v>
      </c>
      <c r="R616">
        <v>43252</v>
      </c>
      <c r="S616" t="s">
        <v>122</v>
      </c>
    </row>
    <row r="617" spans="1:19">
      <c r="A617">
        <v>60000616</v>
      </c>
      <c r="B617">
        <v>61</v>
      </c>
      <c r="C617" t="s">
        <v>33</v>
      </c>
      <c r="D617" t="s">
        <v>19</v>
      </c>
      <c r="E617" t="s">
        <v>75</v>
      </c>
      <c r="F617" t="s">
        <v>35</v>
      </c>
      <c r="G617" s="23">
        <v>0.17</v>
      </c>
      <c r="H617" t="s">
        <v>22</v>
      </c>
      <c r="I617" t="s">
        <v>30</v>
      </c>
      <c r="J617" t="s">
        <v>78</v>
      </c>
      <c r="K617" t="s">
        <v>116</v>
      </c>
      <c r="L617" t="s">
        <v>26</v>
      </c>
      <c r="M617" t="s">
        <v>27</v>
      </c>
      <c r="N617" t="s">
        <v>28</v>
      </c>
      <c r="O617">
        <v>3</v>
      </c>
      <c r="P617">
        <v>64964</v>
      </c>
      <c r="Q617">
        <f t="shared" si="9"/>
        <v>6.4963999999999994E-2</v>
      </c>
      <c r="R617">
        <v>43252</v>
      </c>
      <c r="S617" t="s">
        <v>122</v>
      </c>
    </row>
    <row r="618" spans="1:19">
      <c r="A618">
        <v>60000617</v>
      </c>
      <c r="B618">
        <v>47</v>
      </c>
      <c r="C618" t="s">
        <v>18</v>
      </c>
      <c r="D618" t="s">
        <v>40</v>
      </c>
      <c r="E618" t="s">
        <v>75</v>
      </c>
      <c r="F618" t="s">
        <v>21</v>
      </c>
      <c r="G618" s="23">
        <v>0.22</v>
      </c>
      <c r="H618" t="s">
        <v>29</v>
      </c>
      <c r="I618" t="s">
        <v>80</v>
      </c>
      <c r="J618" t="s">
        <v>31</v>
      </c>
      <c r="K618" t="s">
        <v>108</v>
      </c>
      <c r="L618" t="s">
        <v>121</v>
      </c>
      <c r="M618" t="s">
        <v>27</v>
      </c>
      <c r="N618" t="s">
        <v>28</v>
      </c>
      <c r="O618">
        <v>5</v>
      </c>
      <c r="P618">
        <v>30063</v>
      </c>
      <c r="Q618">
        <f t="shared" si="9"/>
        <v>3.0062999999999999E-2</v>
      </c>
      <c r="R618">
        <v>43252</v>
      </c>
      <c r="S618" t="s">
        <v>122</v>
      </c>
    </row>
    <row r="619" spans="1:19">
      <c r="A619">
        <v>60000618</v>
      </c>
      <c r="B619">
        <v>34</v>
      </c>
      <c r="C619" t="s">
        <v>33</v>
      </c>
      <c r="D619" t="s">
        <v>19</v>
      </c>
      <c r="E619" t="s">
        <v>75</v>
      </c>
      <c r="F619" t="s">
        <v>120</v>
      </c>
      <c r="G619" s="23">
        <v>0.21</v>
      </c>
      <c r="H619" t="s">
        <v>29</v>
      </c>
      <c r="I619" t="s">
        <v>45</v>
      </c>
      <c r="J619" t="s">
        <v>78</v>
      </c>
      <c r="K619" t="s">
        <v>90</v>
      </c>
      <c r="L619" t="s">
        <v>119</v>
      </c>
      <c r="M619" t="s">
        <v>27</v>
      </c>
      <c r="N619" t="s">
        <v>28</v>
      </c>
      <c r="O619">
        <v>5</v>
      </c>
      <c r="P619">
        <v>59660</v>
      </c>
      <c r="Q619">
        <f t="shared" si="9"/>
        <v>5.9659999999999998E-2</v>
      </c>
      <c r="R619">
        <v>43252</v>
      </c>
      <c r="S619" t="s">
        <v>122</v>
      </c>
    </row>
    <row r="620" spans="1:19">
      <c r="A620">
        <v>60000619</v>
      </c>
      <c r="B620">
        <v>49</v>
      </c>
      <c r="C620" t="s">
        <v>33</v>
      </c>
      <c r="D620" t="s">
        <v>40</v>
      </c>
      <c r="E620" t="s">
        <v>48</v>
      </c>
      <c r="F620" t="s">
        <v>120</v>
      </c>
      <c r="G620" s="23">
        <v>0.2</v>
      </c>
      <c r="H620" t="s">
        <v>29</v>
      </c>
      <c r="I620" t="s">
        <v>70</v>
      </c>
      <c r="J620" t="s">
        <v>61</v>
      </c>
      <c r="K620" t="s">
        <v>104</v>
      </c>
      <c r="L620" t="s">
        <v>26</v>
      </c>
      <c r="M620" t="s">
        <v>27</v>
      </c>
      <c r="N620" t="s">
        <v>51</v>
      </c>
      <c r="O620">
        <v>0</v>
      </c>
      <c r="P620">
        <v>31515</v>
      </c>
      <c r="Q620">
        <f t="shared" si="9"/>
        <v>3.1515000000000001E-2</v>
      </c>
      <c r="R620">
        <v>43252</v>
      </c>
      <c r="S620" t="s">
        <v>122</v>
      </c>
    </row>
    <row r="621" spans="1:19">
      <c r="A621">
        <v>60000620</v>
      </c>
      <c r="B621">
        <v>52</v>
      </c>
      <c r="C621" t="s">
        <v>18</v>
      </c>
      <c r="D621" t="s">
        <v>19</v>
      </c>
      <c r="E621" t="s">
        <v>56</v>
      </c>
      <c r="F621" t="s">
        <v>35</v>
      </c>
      <c r="G621" s="23">
        <v>0.25</v>
      </c>
      <c r="H621" t="s">
        <v>53</v>
      </c>
      <c r="I621" t="s">
        <v>68</v>
      </c>
      <c r="J621" t="s">
        <v>24</v>
      </c>
      <c r="K621" t="s">
        <v>99</v>
      </c>
      <c r="L621" t="s">
        <v>119</v>
      </c>
      <c r="M621" t="s">
        <v>27</v>
      </c>
      <c r="N621" t="s">
        <v>28</v>
      </c>
      <c r="O621">
        <v>0</v>
      </c>
      <c r="P621">
        <v>78579</v>
      </c>
      <c r="Q621">
        <f t="shared" si="9"/>
        <v>7.8578999999999996E-2</v>
      </c>
      <c r="R621">
        <v>43252</v>
      </c>
      <c r="S621" t="s">
        <v>122</v>
      </c>
    </row>
    <row r="622" spans="1:19">
      <c r="A622">
        <v>60000621</v>
      </c>
      <c r="B622">
        <v>36</v>
      </c>
      <c r="C622" t="s">
        <v>33</v>
      </c>
      <c r="D622" t="s">
        <v>19</v>
      </c>
      <c r="E622" t="s">
        <v>72</v>
      </c>
      <c r="F622" t="s">
        <v>120</v>
      </c>
      <c r="G622" s="23">
        <v>0.1</v>
      </c>
      <c r="H622" t="s">
        <v>36</v>
      </c>
      <c r="I622" t="s">
        <v>49</v>
      </c>
      <c r="J622" t="s">
        <v>58</v>
      </c>
      <c r="K622" t="s">
        <v>32</v>
      </c>
      <c r="L622" t="s">
        <v>119</v>
      </c>
      <c r="M622" t="s">
        <v>27</v>
      </c>
      <c r="N622" t="s">
        <v>51</v>
      </c>
      <c r="O622">
        <v>0</v>
      </c>
      <c r="P622">
        <v>29705</v>
      </c>
      <c r="Q622">
        <f t="shared" ref="Q622:Q635" si="10">+P622/1000000</f>
        <v>2.9704999999999999E-2</v>
      </c>
      <c r="R622">
        <v>43252</v>
      </c>
      <c r="S622" t="s">
        <v>122</v>
      </c>
    </row>
    <row r="623" spans="1:19">
      <c r="A623">
        <v>60000622</v>
      </c>
      <c r="B623">
        <v>22</v>
      </c>
      <c r="C623" t="s">
        <v>33</v>
      </c>
      <c r="D623" t="s">
        <v>40</v>
      </c>
      <c r="E623" t="s">
        <v>85</v>
      </c>
      <c r="F623" t="s">
        <v>120</v>
      </c>
      <c r="G623" s="23">
        <v>0.25</v>
      </c>
      <c r="H623" t="s">
        <v>53</v>
      </c>
      <c r="I623" t="s">
        <v>80</v>
      </c>
      <c r="J623" t="s">
        <v>74</v>
      </c>
      <c r="K623" t="s">
        <v>32</v>
      </c>
      <c r="L623" t="s">
        <v>26</v>
      </c>
      <c r="M623" t="s">
        <v>27</v>
      </c>
      <c r="N623" t="s">
        <v>28</v>
      </c>
      <c r="O623">
        <v>0</v>
      </c>
      <c r="P623">
        <v>51214</v>
      </c>
      <c r="Q623">
        <f t="shared" si="10"/>
        <v>5.1214000000000003E-2</v>
      </c>
      <c r="R623">
        <v>43252</v>
      </c>
      <c r="S623" t="s">
        <v>122</v>
      </c>
    </row>
    <row r="624" spans="1:19">
      <c r="A624">
        <v>60000623</v>
      </c>
      <c r="B624">
        <v>28</v>
      </c>
      <c r="C624" t="s">
        <v>18</v>
      </c>
      <c r="D624" t="s">
        <v>40</v>
      </c>
      <c r="E624" t="s">
        <v>20</v>
      </c>
      <c r="F624" t="s">
        <v>120</v>
      </c>
      <c r="G624" s="23">
        <v>0.25</v>
      </c>
      <c r="H624" t="s">
        <v>53</v>
      </c>
      <c r="I624" t="s">
        <v>45</v>
      </c>
      <c r="J624" t="s">
        <v>38</v>
      </c>
      <c r="K624" t="s">
        <v>89</v>
      </c>
      <c r="L624" t="s">
        <v>121</v>
      </c>
      <c r="M624" t="s">
        <v>27</v>
      </c>
      <c r="N624" t="s">
        <v>28</v>
      </c>
      <c r="O624">
        <v>0</v>
      </c>
      <c r="P624">
        <v>57784</v>
      </c>
      <c r="Q624">
        <f t="shared" si="10"/>
        <v>5.7784000000000002E-2</v>
      </c>
      <c r="R624">
        <v>43252</v>
      </c>
      <c r="S624" t="s">
        <v>122</v>
      </c>
    </row>
    <row r="625" spans="1:19">
      <c r="A625">
        <v>60000624</v>
      </c>
      <c r="B625">
        <v>56</v>
      </c>
      <c r="C625" t="s">
        <v>33</v>
      </c>
      <c r="D625" t="s">
        <v>40</v>
      </c>
      <c r="E625" t="s">
        <v>48</v>
      </c>
      <c r="F625" t="s">
        <v>35</v>
      </c>
      <c r="G625" s="23">
        <v>0.37</v>
      </c>
      <c r="H625" t="s">
        <v>42</v>
      </c>
      <c r="I625" t="s">
        <v>73</v>
      </c>
      <c r="J625" t="s">
        <v>31</v>
      </c>
      <c r="K625" t="s">
        <v>87</v>
      </c>
      <c r="L625" t="s">
        <v>119</v>
      </c>
      <c r="M625" t="s">
        <v>27</v>
      </c>
      <c r="N625" t="s">
        <v>28</v>
      </c>
      <c r="O625">
        <v>0</v>
      </c>
      <c r="P625">
        <v>73339</v>
      </c>
      <c r="Q625">
        <f t="shared" si="10"/>
        <v>7.3339000000000001E-2</v>
      </c>
      <c r="R625">
        <v>43252</v>
      </c>
      <c r="S625" t="s">
        <v>122</v>
      </c>
    </row>
    <row r="626" spans="1:19">
      <c r="A626">
        <v>60000625</v>
      </c>
      <c r="B626">
        <v>32</v>
      </c>
      <c r="C626" t="s">
        <v>18</v>
      </c>
      <c r="D626" t="s">
        <v>19</v>
      </c>
      <c r="E626" t="s">
        <v>52</v>
      </c>
      <c r="F626" t="s">
        <v>21</v>
      </c>
      <c r="G626" s="23">
        <v>0.34</v>
      </c>
      <c r="H626" t="s">
        <v>42</v>
      </c>
      <c r="I626" t="s">
        <v>68</v>
      </c>
      <c r="J626" t="s">
        <v>54</v>
      </c>
      <c r="K626" t="s">
        <v>60</v>
      </c>
      <c r="L626" t="s">
        <v>119</v>
      </c>
      <c r="M626" t="s">
        <v>27</v>
      </c>
      <c r="N626" t="s">
        <v>51</v>
      </c>
      <c r="O626">
        <v>4</v>
      </c>
      <c r="P626">
        <v>41052</v>
      </c>
      <c r="Q626">
        <f t="shared" si="10"/>
        <v>4.1051999999999998E-2</v>
      </c>
      <c r="R626">
        <v>43252</v>
      </c>
      <c r="S626" t="s">
        <v>122</v>
      </c>
    </row>
    <row r="627" spans="1:19">
      <c r="A627">
        <v>60000626</v>
      </c>
      <c r="B627">
        <v>62</v>
      </c>
      <c r="C627" t="s">
        <v>18</v>
      </c>
      <c r="D627" t="s">
        <v>19</v>
      </c>
      <c r="E627" t="s">
        <v>75</v>
      </c>
      <c r="F627" t="s">
        <v>35</v>
      </c>
      <c r="G627" s="23">
        <v>0.24</v>
      </c>
      <c r="H627" t="s">
        <v>29</v>
      </c>
      <c r="I627" t="s">
        <v>68</v>
      </c>
      <c r="J627" t="s">
        <v>54</v>
      </c>
      <c r="K627" t="s">
        <v>116</v>
      </c>
      <c r="L627" t="s">
        <v>26</v>
      </c>
      <c r="M627" t="s">
        <v>27</v>
      </c>
      <c r="N627" t="s">
        <v>28</v>
      </c>
      <c r="O627">
        <v>4</v>
      </c>
      <c r="P627">
        <v>75161</v>
      </c>
      <c r="Q627">
        <f t="shared" si="10"/>
        <v>7.5161000000000006E-2</v>
      </c>
      <c r="R627">
        <v>43252</v>
      </c>
      <c r="S627" t="s">
        <v>122</v>
      </c>
    </row>
    <row r="628" spans="1:19">
      <c r="A628">
        <v>60000627</v>
      </c>
      <c r="B628">
        <v>52</v>
      </c>
      <c r="C628" t="s">
        <v>33</v>
      </c>
      <c r="D628" t="s">
        <v>19</v>
      </c>
      <c r="E628" t="s">
        <v>72</v>
      </c>
      <c r="F628" t="s">
        <v>21</v>
      </c>
      <c r="G628" s="23">
        <v>0.19</v>
      </c>
      <c r="H628" t="s">
        <v>29</v>
      </c>
      <c r="I628" t="s">
        <v>68</v>
      </c>
      <c r="J628" t="s">
        <v>54</v>
      </c>
      <c r="K628" t="s">
        <v>47</v>
      </c>
      <c r="L628" t="s">
        <v>26</v>
      </c>
      <c r="M628" t="s">
        <v>27</v>
      </c>
      <c r="N628" t="s">
        <v>28</v>
      </c>
      <c r="O628">
        <v>7</v>
      </c>
      <c r="P628">
        <v>69835</v>
      </c>
      <c r="Q628">
        <f t="shared" si="10"/>
        <v>6.9834999999999994E-2</v>
      </c>
      <c r="R628">
        <v>43252</v>
      </c>
      <c r="S628" t="s">
        <v>122</v>
      </c>
    </row>
    <row r="629" spans="1:19">
      <c r="A629">
        <v>60000628</v>
      </c>
      <c r="B629">
        <v>30</v>
      </c>
      <c r="C629" t="s">
        <v>33</v>
      </c>
      <c r="D629" t="s">
        <v>19</v>
      </c>
      <c r="E629" t="s">
        <v>41</v>
      </c>
      <c r="F629" t="s">
        <v>21</v>
      </c>
      <c r="G629" s="23">
        <v>0.11</v>
      </c>
      <c r="H629" t="s">
        <v>36</v>
      </c>
      <c r="I629" t="s">
        <v>86</v>
      </c>
      <c r="J629" t="s">
        <v>74</v>
      </c>
      <c r="K629" t="s">
        <v>71</v>
      </c>
      <c r="L629" t="s">
        <v>119</v>
      </c>
      <c r="M629" t="s">
        <v>27</v>
      </c>
      <c r="N629" t="s">
        <v>28</v>
      </c>
      <c r="O629">
        <v>0</v>
      </c>
      <c r="P629">
        <v>47676</v>
      </c>
      <c r="Q629">
        <f t="shared" si="10"/>
        <v>4.7676000000000003E-2</v>
      </c>
      <c r="R629">
        <v>43252</v>
      </c>
      <c r="S629" t="s">
        <v>122</v>
      </c>
    </row>
    <row r="630" spans="1:19">
      <c r="A630">
        <v>60000629</v>
      </c>
      <c r="B630">
        <v>58</v>
      </c>
      <c r="C630" t="s">
        <v>18</v>
      </c>
      <c r="D630" t="s">
        <v>19</v>
      </c>
      <c r="E630" t="s">
        <v>72</v>
      </c>
      <c r="F630" t="s">
        <v>35</v>
      </c>
      <c r="G630" s="23">
        <v>0.24</v>
      </c>
      <c r="H630" t="s">
        <v>29</v>
      </c>
      <c r="I630" t="s">
        <v>83</v>
      </c>
      <c r="J630" t="s">
        <v>54</v>
      </c>
      <c r="K630" t="s">
        <v>102</v>
      </c>
      <c r="L630" t="s">
        <v>26</v>
      </c>
      <c r="M630" t="s">
        <v>27</v>
      </c>
      <c r="N630" t="s">
        <v>51</v>
      </c>
      <c r="O630">
        <v>0</v>
      </c>
      <c r="P630">
        <v>74278</v>
      </c>
      <c r="Q630">
        <f t="shared" si="10"/>
        <v>7.4277999999999997E-2</v>
      </c>
      <c r="R630">
        <v>43252</v>
      </c>
      <c r="S630" t="s">
        <v>122</v>
      </c>
    </row>
    <row r="631" spans="1:19">
      <c r="A631">
        <v>60000630</v>
      </c>
      <c r="B631">
        <v>56</v>
      </c>
      <c r="C631" t="s">
        <v>18</v>
      </c>
      <c r="D631" t="s">
        <v>40</v>
      </c>
      <c r="E631" t="s">
        <v>75</v>
      </c>
      <c r="F631" t="s">
        <v>120</v>
      </c>
      <c r="G631" s="23">
        <v>0.37</v>
      </c>
      <c r="H631" t="s">
        <v>42</v>
      </c>
      <c r="I631" t="s">
        <v>49</v>
      </c>
      <c r="J631" t="s">
        <v>69</v>
      </c>
      <c r="K631" t="s">
        <v>63</v>
      </c>
      <c r="L631" t="s">
        <v>119</v>
      </c>
      <c r="M631" t="s">
        <v>27</v>
      </c>
      <c r="N631" t="s">
        <v>28</v>
      </c>
      <c r="O631">
        <v>3</v>
      </c>
      <c r="P631">
        <v>43875</v>
      </c>
      <c r="Q631">
        <f t="shared" si="10"/>
        <v>4.3874999999999997E-2</v>
      </c>
      <c r="R631">
        <v>43252</v>
      </c>
      <c r="S631" t="s">
        <v>122</v>
      </c>
    </row>
    <row r="632" spans="1:19">
      <c r="A632">
        <v>60000631</v>
      </c>
      <c r="B632">
        <v>27</v>
      </c>
      <c r="C632" t="s">
        <v>18</v>
      </c>
      <c r="D632" t="s">
        <v>40</v>
      </c>
      <c r="E632" t="s">
        <v>64</v>
      </c>
      <c r="F632" t="s">
        <v>21</v>
      </c>
      <c r="G632" s="23">
        <v>0.37</v>
      </c>
      <c r="H632" t="s">
        <v>42</v>
      </c>
      <c r="I632" t="s">
        <v>49</v>
      </c>
      <c r="J632" t="s">
        <v>78</v>
      </c>
      <c r="K632" t="s">
        <v>83</v>
      </c>
      <c r="L632" t="s">
        <v>119</v>
      </c>
      <c r="M632" t="s">
        <v>27</v>
      </c>
      <c r="N632" t="s">
        <v>51</v>
      </c>
      <c r="O632">
        <v>6</v>
      </c>
      <c r="P632">
        <v>43891</v>
      </c>
      <c r="Q632">
        <f t="shared" si="10"/>
        <v>4.3890999999999999E-2</v>
      </c>
      <c r="R632">
        <v>43252</v>
      </c>
      <c r="S632" t="s">
        <v>122</v>
      </c>
    </row>
    <row r="633" spans="1:19">
      <c r="A633">
        <v>60000632</v>
      </c>
      <c r="B633">
        <v>58</v>
      </c>
      <c r="C633" t="s">
        <v>33</v>
      </c>
      <c r="D633" t="s">
        <v>19</v>
      </c>
      <c r="E633" t="s">
        <v>75</v>
      </c>
      <c r="F633" t="s">
        <v>35</v>
      </c>
      <c r="G633" s="23">
        <v>0.23</v>
      </c>
      <c r="H633" t="s">
        <v>29</v>
      </c>
      <c r="I633" t="s">
        <v>49</v>
      </c>
      <c r="J633" t="s">
        <v>61</v>
      </c>
      <c r="K633" t="s">
        <v>84</v>
      </c>
      <c r="L633" t="s">
        <v>119</v>
      </c>
      <c r="M633" t="s">
        <v>27</v>
      </c>
      <c r="N633" t="s">
        <v>28</v>
      </c>
      <c r="O633">
        <v>0</v>
      </c>
      <c r="P633">
        <v>55861</v>
      </c>
      <c r="Q633">
        <f t="shared" si="10"/>
        <v>5.5861000000000001E-2</v>
      </c>
      <c r="R633">
        <v>43252</v>
      </c>
      <c r="S633" t="s">
        <v>122</v>
      </c>
    </row>
    <row r="634" spans="1:19">
      <c r="A634">
        <v>60000633</v>
      </c>
      <c r="B634">
        <v>25</v>
      </c>
      <c r="C634" t="s">
        <v>33</v>
      </c>
      <c r="D634" t="s">
        <v>19</v>
      </c>
      <c r="E634" t="s">
        <v>64</v>
      </c>
      <c r="F634" t="s">
        <v>35</v>
      </c>
      <c r="G634" s="23">
        <v>0.36</v>
      </c>
      <c r="H634" t="s">
        <v>42</v>
      </c>
      <c r="I634" t="s">
        <v>57</v>
      </c>
      <c r="J634" t="s">
        <v>54</v>
      </c>
      <c r="K634" t="s">
        <v>98</v>
      </c>
      <c r="L634" t="s">
        <v>26</v>
      </c>
      <c r="M634" t="s">
        <v>27</v>
      </c>
      <c r="N634" t="s">
        <v>51</v>
      </c>
      <c r="O634">
        <v>3</v>
      </c>
      <c r="P634">
        <v>74572</v>
      </c>
      <c r="Q634">
        <f t="shared" si="10"/>
        <v>7.4571999999999999E-2</v>
      </c>
      <c r="R634">
        <v>43252</v>
      </c>
      <c r="S634" t="s">
        <v>122</v>
      </c>
    </row>
    <row r="635" spans="1:19">
      <c r="A635">
        <v>60000634</v>
      </c>
      <c r="B635">
        <v>28</v>
      </c>
      <c r="C635" t="s">
        <v>18</v>
      </c>
      <c r="D635" t="s">
        <v>40</v>
      </c>
      <c r="E635" t="s">
        <v>72</v>
      </c>
      <c r="F635" t="s">
        <v>120</v>
      </c>
      <c r="G635" s="23">
        <v>0.15</v>
      </c>
      <c r="H635" t="s">
        <v>22</v>
      </c>
      <c r="I635" t="s">
        <v>37</v>
      </c>
      <c r="J635" t="s">
        <v>66</v>
      </c>
      <c r="K635" t="s">
        <v>60</v>
      </c>
      <c r="L635" t="s">
        <v>26</v>
      </c>
      <c r="M635" t="s">
        <v>27</v>
      </c>
      <c r="N635" t="s">
        <v>28</v>
      </c>
      <c r="O635">
        <v>0</v>
      </c>
      <c r="P635">
        <v>75919</v>
      </c>
      <c r="Q635">
        <f t="shared" si="10"/>
        <v>7.5919E-2</v>
      </c>
      <c r="R635">
        <v>43252</v>
      </c>
      <c r="S635" t="s">
        <v>122</v>
      </c>
    </row>
    <row r="636" spans="1:19">
      <c r="A636">
        <v>60000001</v>
      </c>
      <c r="B636">
        <v>24</v>
      </c>
      <c r="C636" t="s">
        <v>18</v>
      </c>
      <c r="D636" t="s">
        <v>19</v>
      </c>
      <c r="E636" t="s">
        <v>41</v>
      </c>
      <c r="F636" t="s">
        <v>21</v>
      </c>
      <c r="G636" s="23">
        <v>0.2</v>
      </c>
      <c r="H636" t="s">
        <v>29</v>
      </c>
      <c r="I636" t="s">
        <v>62</v>
      </c>
      <c r="J636" t="s">
        <v>24</v>
      </c>
      <c r="K636" t="s">
        <v>82</v>
      </c>
      <c r="L636" t="s">
        <v>26</v>
      </c>
      <c r="M636" t="s">
        <v>123</v>
      </c>
      <c r="N636" t="s">
        <v>28</v>
      </c>
      <c r="O636">
        <v>0</v>
      </c>
      <c r="P636">
        <v>32249</v>
      </c>
      <c r="Q636">
        <f t="shared" ref="Q636:Q664" si="11">+P636/1000000</f>
        <v>3.2249E-2</v>
      </c>
      <c r="R636">
        <v>43252</v>
      </c>
      <c r="S636" t="s">
        <v>122</v>
      </c>
    </row>
    <row r="637" spans="1:19">
      <c r="A637">
        <v>60000002</v>
      </c>
      <c r="B637">
        <v>43</v>
      </c>
      <c r="C637" t="s">
        <v>33</v>
      </c>
      <c r="D637" t="s">
        <v>40</v>
      </c>
      <c r="E637" t="s">
        <v>72</v>
      </c>
      <c r="F637" t="s">
        <v>21</v>
      </c>
      <c r="G637" s="23">
        <v>0.32</v>
      </c>
      <c r="H637" t="s">
        <v>42</v>
      </c>
      <c r="I637" t="s">
        <v>37</v>
      </c>
      <c r="J637" t="s">
        <v>38</v>
      </c>
      <c r="K637" t="s">
        <v>117</v>
      </c>
      <c r="L637" t="s">
        <v>26</v>
      </c>
      <c r="M637" t="s">
        <v>123</v>
      </c>
      <c r="N637" t="s">
        <v>28</v>
      </c>
      <c r="O637">
        <v>0</v>
      </c>
      <c r="P637">
        <v>50190</v>
      </c>
      <c r="Q637">
        <f t="shared" si="11"/>
        <v>5.0189999999999999E-2</v>
      </c>
      <c r="R637">
        <v>43252</v>
      </c>
      <c r="S637" t="s">
        <v>122</v>
      </c>
    </row>
    <row r="638" spans="1:19">
      <c r="A638">
        <v>60000003</v>
      </c>
      <c r="B638">
        <v>38</v>
      </c>
      <c r="C638" t="s">
        <v>18</v>
      </c>
      <c r="D638" t="s">
        <v>19</v>
      </c>
      <c r="E638" t="s">
        <v>75</v>
      </c>
      <c r="F638" t="s">
        <v>21</v>
      </c>
      <c r="G638" s="23">
        <v>0.2</v>
      </c>
      <c r="H638" t="s">
        <v>29</v>
      </c>
      <c r="I638" t="s">
        <v>37</v>
      </c>
      <c r="J638" t="s">
        <v>78</v>
      </c>
      <c r="K638" t="s">
        <v>63</v>
      </c>
      <c r="L638" t="s">
        <v>26</v>
      </c>
      <c r="M638" t="s">
        <v>123</v>
      </c>
      <c r="N638" t="s">
        <v>28</v>
      </c>
      <c r="O638">
        <v>3</v>
      </c>
      <c r="P638">
        <v>53861</v>
      </c>
      <c r="Q638">
        <f t="shared" si="11"/>
        <v>5.3860999999999999E-2</v>
      </c>
      <c r="R638">
        <v>43252</v>
      </c>
      <c r="S638" t="s">
        <v>122</v>
      </c>
    </row>
    <row r="639" spans="1:19">
      <c r="A639">
        <v>60000004</v>
      </c>
      <c r="B639">
        <v>40</v>
      </c>
      <c r="C639" t="s">
        <v>18</v>
      </c>
      <c r="D639" t="s">
        <v>19</v>
      </c>
      <c r="E639" t="s">
        <v>85</v>
      </c>
      <c r="F639" t="s">
        <v>21</v>
      </c>
      <c r="G639" s="23">
        <v>0.23</v>
      </c>
      <c r="H639" t="s">
        <v>29</v>
      </c>
      <c r="I639" t="s">
        <v>23</v>
      </c>
      <c r="J639" t="s">
        <v>74</v>
      </c>
      <c r="K639" t="s">
        <v>43</v>
      </c>
      <c r="L639" t="s">
        <v>26</v>
      </c>
      <c r="M639" t="s">
        <v>123</v>
      </c>
      <c r="N639" t="s">
        <v>28</v>
      </c>
      <c r="O639">
        <v>0</v>
      </c>
      <c r="P639">
        <v>63985</v>
      </c>
      <c r="Q639">
        <f t="shared" si="11"/>
        <v>6.3985E-2</v>
      </c>
      <c r="R639">
        <v>43252</v>
      </c>
      <c r="S639" t="s">
        <v>122</v>
      </c>
    </row>
    <row r="640" spans="1:19">
      <c r="A640">
        <v>60000005</v>
      </c>
      <c r="B640">
        <v>61</v>
      </c>
      <c r="C640" t="s">
        <v>18</v>
      </c>
      <c r="D640" t="s">
        <v>40</v>
      </c>
      <c r="E640" t="s">
        <v>72</v>
      </c>
      <c r="F640" t="s">
        <v>21</v>
      </c>
      <c r="G640" s="23">
        <v>0.36</v>
      </c>
      <c r="H640" t="s">
        <v>42</v>
      </c>
      <c r="I640" t="s">
        <v>70</v>
      </c>
      <c r="J640" t="s">
        <v>46</v>
      </c>
      <c r="K640" t="s">
        <v>89</v>
      </c>
      <c r="L640" t="s">
        <v>26</v>
      </c>
      <c r="M640" t="s">
        <v>123</v>
      </c>
      <c r="N640" t="s">
        <v>28</v>
      </c>
      <c r="O640">
        <v>2</v>
      </c>
      <c r="P640">
        <v>71975</v>
      </c>
      <c r="Q640">
        <f t="shared" si="11"/>
        <v>7.1974999999999997E-2</v>
      </c>
      <c r="R640">
        <v>43252</v>
      </c>
      <c r="S640" t="s">
        <v>122</v>
      </c>
    </row>
    <row r="641" spans="1:19">
      <c r="A641">
        <v>60000006</v>
      </c>
      <c r="B641">
        <v>27</v>
      </c>
      <c r="C641" t="s">
        <v>18</v>
      </c>
      <c r="D641" t="s">
        <v>19</v>
      </c>
      <c r="E641" t="s">
        <v>72</v>
      </c>
      <c r="F641" t="s">
        <v>21</v>
      </c>
      <c r="G641" s="23">
        <v>0.38</v>
      </c>
      <c r="H641" t="s">
        <v>42</v>
      </c>
      <c r="I641" t="s">
        <v>76</v>
      </c>
      <c r="J641" t="s">
        <v>66</v>
      </c>
      <c r="K641" t="s">
        <v>77</v>
      </c>
      <c r="L641" t="s">
        <v>26</v>
      </c>
      <c r="M641" t="s">
        <v>123</v>
      </c>
      <c r="N641" t="s">
        <v>28</v>
      </c>
      <c r="O641">
        <v>0</v>
      </c>
      <c r="P641">
        <v>38682</v>
      </c>
      <c r="Q641">
        <f t="shared" si="11"/>
        <v>3.8682000000000001E-2</v>
      </c>
      <c r="R641">
        <v>43252</v>
      </c>
      <c r="S641" t="s">
        <v>122</v>
      </c>
    </row>
    <row r="642" spans="1:19">
      <c r="A642">
        <v>60000007</v>
      </c>
      <c r="B642">
        <v>27</v>
      </c>
      <c r="C642" t="s">
        <v>18</v>
      </c>
      <c r="D642" t="s">
        <v>40</v>
      </c>
      <c r="E642" t="s">
        <v>67</v>
      </c>
      <c r="F642" t="s">
        <v>21</v>
      </c>
      <c r="G642" s="23">
        <v>0.13</v>
      </c>
      <c r="H642" t="s">
        <v>22</v>
      </c>
      <c r="I642" t="s">
        <v>68</v>
      </c>
      <c r="J642" t="s">
        <v>46</v>
      </c>
      <c r="K642" t="s">
        <v>25</v>
      </c>
      <c r="L642" t="s">
        <v>26</v>
      </c>
      <c r="M642" t="s">
        <v>123</v>
      </c>
      <c r="N642" t="s">
        <v>28</v>
      </c>
      <c r="O642">
        <v>0</v>
      </c>
      <c r="P642">
        <v>69924</v>
      </c>
      <c r="Q642">
        <f t="shared" si="11"/>
        <v>6.9924E-2</v>
      </c>
      <c r="R642">
        <v>43252</v>
      </c>
      <c r="S642" t="s">
        <v>122</v>
      </c>
    </row>
    <row r="643" spans="1:19">
      <c r="A643">
        <v>60000008</v>
      </c>
      <c r="B643">
        <v>58</v>
      </c>
      <c r="C643" t="s">
        <v>18</v>
      </c>
      <c r="D643" t="s">
        <v>40</v>
      </c>
      <c r="E643" t="s">
        <v>67</v>
      </c>
      <c r="F643" t="s">
        <v>21</v>
      </c>
      <c r="G643" s="23">
        <v>0.18</v>
      </c>
      <c r="H643" t="s">
        <v>22</v>
      </c>
      <c r="I643" t="s">
        <v>65</v>
      </c>
      <c r="J643" t="s">
        <v>74</v>
      </c>
      <c r="K643" t="s">
        <v>82</v>
      </c>
      <c r="L643" t="s">
        <v>26</v>
      </c>
      <c r="M643" t="s">
        <v>123</v>
      </c>
      <c r="N643" t="s">
        <v>28</v>
      </c>
      <c r="O643">
        <v>3</v>
      </c>
      <c r="P643">
        <v>41810</v>
      </c>
      <c r="Q643">
        <f t="shared" si="11"/>
        <v>4.181E-2</v>
      </c>
      <c r="R643">
        <v>43252</v>
      </c>
      <c r="S643" t="s">
        <v>122</v>
      </c>
    </row>
    <row r="644" spans="1:19">
      <c r="A644">
        <v>60000009</v>
      </c>
      <c r="B644">
        <v>33</v>
      </c>
      <c r="C644" t="s">
        <v>18</v>
      </c>
      <c r="D644" t="s">
        <v>40</v>
      </c>
      <c r="E644" t="s">
        <v>20</v>
      </c>
      <c r="F644" t="s">
        <v>21</v>
      </c>
      <c r="G644" s="23">
        <v>0.38</v>
      </c>
      <c r="H644" t="s">
        <v>42</v>
      </c>
      <c r="I644" t="s">
        <v>73</v>
      </c>
      <c r="J644" t="s">
        <v>24</v>
      </c>
      <c r="K644" t="s">
        <v>84</v>
      </c>
      <c r="L644" t="s">
        <v>26</v>
      </c>
      <c r="M644" t="s">
        <v>123</v>
      </c>
      <c r="N644" t="s">
        <v>28</v>
      </c>
      <c r="O644">
        <v>7</v>
      </c>
      <c r="P644">
        <v>56001</v>
      </c>
      <c r="Q644">
        <f t="shared" si="11"/>
        <v>5.6001000000000002E-2</v>
      </c>
      <c r="R644">
        <v>43252</v>
      </c>
      <c r="S644" t="s">
        <v>122</v>
      </c>
    </row>
    <row r="645" spans="1:19">
      <c r="A645">
        <v>60000010</v>
      </c>
      <c r="B645">
        <v>34</v>
      </c>
      <c r="C645" t="s">
        <v>18</v>
      </c>
      <c r="D645" t="s">
        <v>40</v>
      </c>
      <c r="E645" t="s">
        <v>67</v>
      </c>
      <c r="F645" t="s">
        <v>21</v>
      </c>
      <c r="G645" s="23">
        <v>0.21</v>
      </c>
      <c r="H645" t="s">
        <v>29</v>
      </c>
      <c r="I645" t="s">
        <v>68</v>
      </c>
      <c r="J645" t="s">
        <v>31</v>
      </c>
      <c r="K645" t="s">
        <v>55</v>
      </c>
      <c r="L645" t="s">
        <v>26</v>
      </c>
      <c r="M645" t="s">
        <v>123</v>
      </c>
      <c r="N645" t="s">
        <v>28</v>
      </c>
      <c r="O645">
        <v>0</v>
      </c>
      <c r="P645">
        <v>41600</v>
      </c>
      <c r="Q645">
        <f t="shared" si="11"/>
        <v>4.1599999999999998E-2</v>
      </c>
      <c r="R645">
        <v>43252</v>
      </c>
      <c r="S645" t="s">
        <v>122</v>
      </c>
    </row>
    <row r="646" spans="1:19">
      <c r="A646">
        <v>60000011</v>
      </c>
      <c r="B646">
        <v>49</v>
      </c>
      <c r="C646" t="s">
        <v>18</v>
      </c>
      <c r="D646" t="s">
        <v>40</v>
      </c>
      <c r="E646" t="s">
        <v>41</v>
      </c>
      <c r="F646" t="s">
        <v>21</v>
      </c>
      <c r="G646" s="23">
        <v>0.18</v>
      </c>
      <c r="H646" t="s">
        <v>22</v>
      </c>
      <c r="I646" t="s">
        <v>45</v>
      </c>
      <c r="J646" t="s">
        <v>54</v>
      </c>
      <c r="K646" t="s">
        <v>116</v>
      </c>
      <c r="L646" t="s">
        <v>26</v>
      </c>
      <c r="M646" t="s">
        <v>123</v>
      </c>
      <c r="N646" t="s">
        <v>28</v>
      </c>
      <c r="O646">
        <v>0</v>
      </c>
      <c r="P646">
        <v>62931</v>
      </c>
      <c r="Q646">
        <f t="shared" si="11"/>
        <v>6.2931000000000001E-2</v>
      </c>
      <c r="R646">
        <v>43252</v>
      </c>
      <c r="S646" t="s">
        <v>122</v>
      </c>
    </row>
    <row r="647" spans="1:19">
      <c r="A647">
        <v>60000012</v>
      </c>
      <c r="B647">
        <v>31</v>
      </c>
      <c r="C647" t="s">
        <v>18</v>
      </c>
      <c r="D647" t="s">
        <v>19</v>
      </c>
      <c r="E647" t="s">
        <v>52</v>
      </c>
      <c r="F647" t="s">
        <v>21</v>
      </c>
      <c r="G647" s="23">
        <v>0.16</v>
      </c>
      <c r="H647" t="s">
        <v>22</v>
      </c>
      <c r="I647" t="s">
        <v>68</v>
      </c>
      <c r="J647" t="s">
        <v>88</v>
      </c>
      <c r="K647" t="s">
        <v>62</v>
      </c>
      <c r="L647" t="s">
        <v>26</v>
      </c>
      <c r="M647" t="s">
        <v>123</v>
      </c>
      <c r="N647" t="s">
        <v>28</v>
      </c>
      <c r="O647">
        <v>0</v>
      </c>
      <c r="P647">
        <v>67313</v>
      </c>
      <c r="Q647">
        <f t="shared" si="11"/>
        <v>6.7312999999999998E-2</v>
      </c>
      <c r="R647">
        <v>43252</v>
      </c>
      <c r="S647" t="s">
        <v>122</v>
      </c>
    </row>
    <row r="648" spans="1:19">
      <c r="A648">
        <v>60000013</v>
      </c>
      <c r="B648">
        <v>29</v>
      </c>
      <c r="C648" t="s">
        <v>18</v>
      </c>
      <c r="D648" t="s">
        <v>40</v>
      </c>
      <c r="E648" t="s">
        <v>34</v>
      </c>
      <c r="F648" t="s">
        <v>21</v>
      </c>
      <c r="G648" s="23">
        <v>0.32</v>
      </c>
      <c r="H648" t="s">
        <v>42</v>
      </c>
      <c r="I648" t="s">
        <v>68</v>
      </c>
      <c r="J648" t="s">
        <v>46</v>
      </c>
      <c r="K648" t="s">
        <v>101</v>
      </c>
      <c r="L648" t="s">
        <v>26</v>
      </c>
      <c r="M648" t="s">
        <v>123</v>
      </c>
      <c r="N648" t="s">
        <v>28</v>
      </c>
      <c r="O648">
        <v>6</v>
      </c>
      <c r="P648">
        <v>53872</v>
      </c>
      <c r="Q648">
        <f t="shared" si="11"/>
        <v>5.3872000000000003E-2</v>
      </c>
      <c r="R648">
        <v>43252</v>
      </c>
      <c r="S648" t="s">
        <v>122</v>
      </c>
    </row>
    <row r="649" spans="1:19">
      <c r="A649">
        <v>60000014</v>
      </c>
      <c r="B649">
        <v>21</v>
      </c>
      <c r="C649" t="s">
        <v>18</v>
      </c>
      <c r="D649" t="s">
        <v>40</v>
      </c>
      <c r="E649" t="s">
        <v>85</v>
      </c>
      <c r="F649" t="s">
        <v>21</v>
      </c>
      <c r="G649" s="23">
        <v>0.18</v>
      </c>
      <c r="H649" t="s">
        <v>22</v>
      </c>
      <c r="I649" t="s">
        <v>73</v>
      </c>
      <c r="J649" t="s">
        <v>38</v>
      </c>
      <c r="K649" t="s">
        <v>82</v>
      </c>
      <c r="L649" t="s">
        <v>26</v>
      </c>
      <c r="M649" t="s">
        <v>123</v>
      </c>
      <c r="N649" t="s">
        <v>28</v>
      </c>
      <c r="O649">
        <v>0</v>
      </c>
      <c r="P649">
        <v>79273</v>
      </c>
      <c r="Q649">
        <f t="shared" si="11"/>
        <v>7.9272999999999996E-2</v>
      </c>
      <c r="R649">
        <v>43252</v>
      </c>
      <c r="S649" t="s">
        <v>122</v>
      </c>
    </row>
    <row r="650" spans="1:19">
      <c r="A650">
        <v>60000015</v>
      </c>
      <c r="B650">
        <v>35</v>
      </c>
      <c r="C650" t="s">
        <v>33</v>
      </c>
      <c r="D650" t="s">
        <v>19</v>
      </c>
      <c r="E650" t="s">
        <v>52</v>
      </c>
      <c r="F650" t="s">
        <v>21</v>
      </c>
      <c r="G650" s="23">
        <v>0.34</v>
      </c>
      <c r="H650" t="s">
        <v>42</v>
      </c>
      <c r="I650" t="s">
        <v>23</v>
      </c>
      <c r="J650" t="s">
        <v>54</v>
      </c>
      <c r="K650" t="s">
        <v>50</v>
      </c>
      <c r="L650" t="s">
        <v>26</v>
      </c>
      <c r="M650" t="s">
        <v>123</v>
      </c>
      <c r="N650" t="s">
        <v>28</v>
      </c>
      <c r="O650">
        <v>1</v>
      </c>
      <c r="P650">
        <v>38824</v>
      </c>
      <c r="Q650">
        <f t="shared" si="11"/>
        <v>3.8823999999999997E-2</v>
      </c>
      <c r="R650">
        <v>43252</v>
      </c>
      <c r="S650" t="s">
        <v>122</v>
      </c>
    </row>
    <row r="651" spans="1:19">
      <c r="A651">
        <v>60000016</v>
      </c>
      <c r="B651">
        <v>42</v>
      </c>
      <c r="C651" t="s">
        <v>18</v>
      </c>
      <c r="D651" t="s">
        <v>40</v>
      </c>
      <c r="E651" t="s">
        <v>75</v>
      </c>
      <c r="F651" t="s">
        <v>21</v>
      </c>
      <c r="G651" s="23">
        <v>0.31</v>
      </c>
      <c r="H651" t="s">
        <v>53</v>
      </c>
      <c r="I651" t="s">
        <v>76</v>
      </c>
      <c r="J651" t="s">
        <v>38</v>
      </c>
      <c r="K651" t="s">
        <v>84</v>
      </c>
      <c r="L651" t="s">
        <v>26</v>
      </c>
      <c r="M651" t="s">
        <v>123</v>
      </c>
      <c r="N651" t="s">
        <v>28</v>
      </c>
      <c r="O651">
        <v>0</v>
      </c>
      <c r="P651">
        <v>69303</v>
      </c>
      <c r="Q651">
        <f t="shared" si="11"/>
        <v>6.9303000000000003E-2</v>
      </c>
      <c r="R651">
        <v>43252</v>
      </c>
      <c r="S651" t="s">
        <v>122</v>
      </c>
    </row>
    <row r="652" spans="1:19">
      <c r="A652">
        <v>60000017</v>
      </c>
      <c r="B652">
        <v>64</v>
      </c>
      <c r="C652" t="s">
        <v>33</v>
      </c>
      <c r="D652" t="s">
        <v>19</v>
      </c>
      <c r="E652" t="s">
        <v>67</v>
      </c>
      <c r="F652" t="s">
        <v>21</v>
      </c>
      <c r="G652" s="23">
        <v>0.36</v>
      </c>
      <c r="H652" t="s">
        <v>42</v>
      </c>
      <c r="I652" t="s">
        <v>23</v>
      </c>
      <c r="J652" t="s">
        <v>24</v>
      </c>
      <c r="K652" t="s">
        <v>43</v>
      </c>
      <c r="L652" t="s">
        <v>26</v>
      </c>
      <c r="M652" t="s">
        <v>123</v>
      </c>
      <c r="N652" t="s">
        <v>28</v>
      </c>
      <c r="O652">
        <v>0</v>
      </c>
      <c r="P652">
        <v>43397</v>
      </c>
      <c r="Q652">
        <f t="shared" si="11"/>
        <v>4.3396999999999998E-2</v>
      </c>
      <c r="R652">
        <v>43252</v>
      </c>
      <c r="S652" t="s">
        <v>122</v>
      </c>
    </row>
    <row r="653" spans="1:19">
      <c r="A653">
        <v>60000018</v>
      </c>
      <c r="B653">
        <v>22</v>
      </c>
      <c r="C653" t="s">
        <v>18</v>
      </c>
      <c r="D653" t="s">
        <v>19</v>
      </c>
      <c r="E653" t="s">
        <v>41</v>
      </c>
      <c r="F653" t="s">
        <v>21</v>
      </c>
      <c r="G653" s="23">
        <v>0.12</v>
      </c>
      <c r="H653" t="s">
        <v>22</v>
      </c>
      <c r="I653" t="s">
        <v>45</v>
      </c>
      <c r="J653" t="s">
        <v>54</v>
      </c>
      <c r="K653" t="s">
        <v>102</v>
      </c>
      <c r="L653" t="s">
        <v>26</v>
      </c>
      <c r="M653" t="s">
        <v>123</v>
      </c>
      <c r="N653" t="s">
        <v>28</v>
      </c>
      <c r="O653">
        <v>0</v>
      </c>
      <c r="P653">
        <v>46382</v>
      </c>
      <c r="Q653">
        <f t="shared" si="11"/>
        <v>4.6382E-2</v>
      </c>
      <c r="R653">
        <v>43252</v>
      </c>
      <c r="S653" t="s">
        <v>122</v>
      </c>
    </row>
    <row r="654" spans="1:19">
      <c r="A654">
        <v>60000019</v>
      </c>
      <c r="B654">
        <v>34</v>
      </c>
      <c r="C654" t="s">
        <v>33</v>
      </c>
      <c r="D654" t="s">
        <v>19</v>
      </c>
      <c r="E654" t="s">
        <v>75</v>
      </c>
      <c r="F654" t="s">
        <v>21</v>
      </c>
      <c r="G654" s="23">
        <v>0.32</v>
      </c>
      <c r="H654" t="s">
        <v>42</v>
      </c>
      <c r="I654" t="s">
        <v>23</v>
      </c>
      <c r="J654" t="s">
        <v>69</v>
      </c>
      <c r="K654" t="s">
        <v>112</v>
      </c>
      <c r="L654" t="s">
        <v>26</v>
      </c>
      <c r="M654" t="s">
        <v>123</v>
      </c>
      <c r="N654" t="s">
        <v>28</v>
      </c>
      <c r="O654">
        <v>0</v>
      </c>
      <c r="P654">
        <v>53991</v>
      </c>
      <c r="Q654">
        <f t="shared" si="11"/>
        <v>5.3990999999999997E-2</v>
      </c>
      <c r="R654">
        <v>43252</v>
      </c>
      <c r="S654" t="s">
        <v>122</v>
      </c>
    </row>
    <row r="655" spans="1:19">
      <c r="A655">
        <v>60000020</v>
      </c>
      <c r="B655">
        <v>59</v>
      </c>
      <c r="C655" t="s">
        <v>18</v>
      </c>
      <c r="D655" t="s">
        <v>40</v>
      </c>
      <c r="E655" t="s">
        <v>64</v>
      </c>
      <c r="F655" t="s">
        <v>21</v>
      </c>
      <c r="G655" s="23">
        <v>0.27</v>
      </c>
      <c r="H655" t="s">
        <v>53</v>
      </c>
      <c r="I655" t="s">
        <v>45</v>
      </c>
      <c r="J655" t="s">
        <v>54</v>
      </c>
      <c r="K655" t="s">
        <v>47</v>
      </c>
      <c r="L655" t="s">
        <v>26</v>
      </c>
      <c r="M655" t="s">
        <v>123</v>
      </c>
      <c r="N655" t="s">
        <v>28</v>
      </c>
      <c r="O655">
        <v>6</v>
      </c>
      <c r="P655">
        <v>63210</v>
      </c>
      <c r="Q655">
        <f t="shared" si="11"/>
        <v>6.3210000000000002E-2</v>
      </c>
      <c r="R655">
        <v>43252</v>
      </c>
      <c r="S655" t="s">
        <v>122</v>
      </c>
    </row>
    <row r="656" spans="1:19">
      <c r="A656">
        <v>60000021</v>
      </c>
      <c r="B656">
        <v>55</v>
      </c>
      <c r="C656" t="s">
        <v>18</v>
      </c>
      <c r="D656" t="s">
        <v>40</v>
      </c>
      <c r="E656" t="s">
        <v>41</v>
      </c>
      <c r="F656" t="s">
        <v>21</v>
      </c>
      <c r="G656" s="23">
        <v>0.27</v>
      </c>
      <c r="H656" t="s">
        <v>53</v>
      </c>
      <c r="I656" t="s">
        <v>86</v>
      </c>
      <c r="J656" t="s">
        <v>54</v>
      </c>
      <c r="K656" t="s">
        <v>25</v>
      </c>
      <c r="L656" t="s">
        <v>26</v>
      </c>
      <c r="M656" t="s">
        <v>123</v>
      </c>
      <c r="N656" t="s">
        <v>28</v>
      </c>
      <c r="O656">
        <v>4</v>
      </c>
      <c r="P656">
        <v>72718</v>
      </c>
      <c r="Q656">
        <f t="shared" si="11"/>
        <v>7.2718000000000005E-2</v>
      </c>
      <c r="R656">
        <v>43252</v>
      </c>
      <c r="S656" t="s">
        <v>122</v>
      </c>
    </row>
    <row r="657" spans="1:19">
      <c r="A657">
        <v>60000022</v>
      </c>
      <c r="B657">
        <v>50</v>
      </c>
      <c r="C657" t="s">
        <v>18</v>
      </c>
      <c r="D657" t="s">
        <v>40</v>
      </c>
      <c r="E657" t="s">
        <v>67</v>
      </c>
      <c r="F657" t="s">
        <v>21</v>
      </c>
      <c r="G657" s="23">
        <v>0.38</v>
      </c>
      <c r="H657" t="s">
        <v>42</v>
      </c>
      <c r="I657" t="s">
        <v>65</v>
      </c>
      <c r="J657" t="s">
        <v>61</v>
      </c>
      <c r="K657" t="s">
        <v>102</v>
      </c>
      <c r="L657" t="s">
        <v>26</v>
      </c>
      <c r="M657" t="s">
        <v>123</v>
      </c>
      <c r="N657" t="s">
        <v>28</v>
      </c>
      <c r="O657">
        <v>3</v>
      </c>
      <c r="P657">
        <v>74859</v>
      </c>
      <c r="Q657">
        <f t="shared" si="11"/>
        <v>7.4858999999999995E-2</v>
      </c>
      <c r="R657">
        <v>43252</v>
      </c>
      <c r="S657" t="s">
        <v>122</v>
      </c>
    </row>
    <row r="658" spans="1:19">
      <c r="A658">
        <v>60000023</v>
      </c>
      <c r="B658">
        <v>55</v>
      </c>
      <c r="C658" t="s">
        <v>18</v>
      </c>
      <c r="D658" t="s">
        <v>19</v>
      </c>
      <c r="E658" t="s">
        <v>52</v>
      </c>
      <c r="F658" t="s">
        <v>21</v>
      </c>
      <c r="G658" s="23">
        <v>0.32</v>
      </c>
      <c r="H658" t="s">
        <v>42</v>
      </c>
      <c r="I658" t="s">
        <v>68</v>
      </c>
      <c r="J658" t="s">
        <v>88</v>
      </c>
      <c r="K658" t="s">
        <v>103</v>
      </c>
      <c r="L658" t="s">
        <v>26</v>
      </c>
      <c r="M658" t="s">
        <v>123</v>
      </c>
      <c r="N658" t="s">
        <v>28</v>
      </c>
      <c r="O658">
        <v>0</v>
      </c>
      <c r="P658">
        <v>76036</v>
      </c>
      <c r="Q658">
        <f t="shared" si="11"/>
        <v>7.6036000000000006E-2</v>
      </c>
      <c r="R658">
        <v>43252</v>
      </c>
      <c r="S658" t="s">
        <v>122</v>
      </c>
    </row>
    <row r="659" spans="1:19">
      <c r="A659">
        <v>60000024</v>
      </c>
      <c r="B659">
        <v>47</v>
      </c>
      <c r="C659" t="s">
        <v>33</v>
      </c>
      <c r="D659" t="s">
        <v>40</v>
      </c>
      <c r="E659" t="s">
        <v>72</v>
      </c>
      <c r="F659" t="s">
        <v>21</v>
      </c>
      <c r="G659" s="23">
        <v>0.17</v>
      </c>
      <c r="H659" t="s">
        <v>22</v>
      </c>
      <c r="I659" t="s">
        <v>73</v>
      </c>
      <c r="J659" t="s">
        <v>31</v>
      </c>
      <c r="K659" t="s">
        <v>118</v>
      </c>
      <c r="L659" t="s">
        <v>26</v>
      </c>
      <c r="M659" t="s">
        <v>123</v>
      </c>
      <c r="N659" t="s">
        <v>28</v>
      </c>
      <c r="O659">
        <v>0</v>
      </c>
      <c r="P659">
        <v>54782</v>
      </c>
      <c r="Q659">
        <f t="shared" si="11"/>
        <v>5.4781999999999997E-2</v>
      </c>
      <c r="R659">
        <v>43252</v>
      </c>
      <c r="S659" t="s">
        <v>122</v>
      </c>
    </row>
    <row r="660" spans="1:19">
      <c r="A660">
        <v>60000025</v>
      </c>
      <c r="B660">
        <v>24</v>
      </c>
      <c r="C660" t="s">
        <v>18</v>
      </c>
      <c r="D660" t="s">
        <v>40</v>
      </c>
      <c r="E660" t="s">
        <v>41</v>
      </c>
      <c r="F660" t="s">
        <v>21</v>
      </c>
      <c r="G660" s="23">
        <v>0.25</v>
      </c>
      <c r="H660" t="s">
        <v>53</v>
      </c>
      <c r="I660" t="s">
        <v>37</v>
      </c>
      <c r="J660" t="s">
        <v>69</v>
      </c>
      <c r="K660" t="s">
        <v>55</v>
      </c>
      <c r="L660" t="s">
        <v>26</v>
      </c>
      <c r="M660" t="s">
        <v>123</v>
      </c>
      <c r="N660" t="s">
        <v>28</v>
      </c>
      <c r="O660">
        <v>0</v>
      </c>
      <c r="P660">
        <v>76364</v>
      </c>
      <c r="Q660">
        <f t="shared" si="11"/>
        <v>7.6364000000000001E-2</v>
      </c>
      <c r="R660">
        <v>43252</v>
      </c>
      <c r="S660" t="s">
        <v>122</v>
      </c>
    </row>
    <row r="661" spans="1:19">
      <c r="A661">
        <v>60000026</v>
      </c>
      <c r="B661">
        <v>47</v>
      </c>
      <c r="C661" t="s">
        <v>18</v>
      </c>
      <c r="D661" t="s">
        <v>19</v>
      </c>
      <c r="E661" t="s">
        <v>72</v>
      </c>
      <c r="F661" t="s">
        <v>21</v>
      </c>
      <c r="G661" s="23">
        <v>0.24</v>
      </c>
      <c r="H661" t="s">
        <v>29</v>
      </c>
      <c r="I661" t="s">
        <v>65</v>
      </c>
      <c r="J661" t="s">
        <v>66</v>
      </c>
      <c r="K661" t="s">
        <v>77</v>
      </c>
      <c r="L661" t="s">
        <v>26</v>
      </c>
      <c r="M661" t="s">
        <v>123</v>
      </c>
      <c r="N661" t="s">
        <v>28</v>
      </c>
      <c r="O661">
        <v>1</v>
      </c>
      <c r="P661">
        <v>78267</v>
      </c>
      <c r="Q661">
        <f t="shared" si="11"/>
        <v>7.8267000000000003E-2</v>
      </c>
      <c r="R661">
        <v>43252</v>
      </c>
      <c r="S661" t="s">
        <v>122</v>
      </c>
    </row>
    <row r="662" spans="1:19">
      <c r="A662">
        <v>60000027</v>
      </c>
      <c r="B662">
        <v>47</v>
      </c>
      <c r="C662" t="s">
        <v>33</v>
      </c>
      <c r="D662" t="s">
        <v>40</v>
      </c>
      <c r="E662" t="s">
        <v>67</v>
      </c>
      <c r="F662" t="s">
        <v>21</v>
      </c>
      <c r="G662" s="23">
        <v>0.28999999999999998</v>
      </c>
      <c r="H662" t="s">
        <v>53</v>
      </c>
      <c r="I662" t="s">
        <v>65</v>
      </c>
      <c r="J662" t="s">
        <v>69</v>
      </c>
      <c r="K662" t="s">
        <v>111</v>
      </c>
      <c r="L662" t="s">
        <v>26</v>
      </c>
      <c r="M662" t="s">
        <v>123</v>
      </c>
      <c r="N662" t="s">
        <v>28</v>
      </c>
      <c r="O662">
        <v>7</v>
      </c>
      <c r="P662">
        <v>48724</v>
      </c>
      <c r="Q662">
        <f t="shared" si="11"/>
        <v>4.8724000000000003E-2</v>
      </c>
      <c r="R662">
        <v>43252</v>
      </c>
      <c r="S662" t="s">
        <v>122</v>
      </c>
    </row>
    <row r="663" spans="1:19">
      <c r="A663">
        <v>60000028</v>
      </c>
      <c r="B663">
        <v>57</v>
      </c>
      <c r="C663" t="s">
        <v>33</v>
      </c>
      <c r="D663" t="s">
        <v>40</v>
      </c>
      <c r="E663" t="s">
        <v>34</v>
      </c>
      <c r="F663" t="s">
        <v>21</v>
      </c>
      <c r="G663" s="23">
        <v>0.1</v>
      </c>
      <c r="H663" t="s">
        <v>36</v>
      </c>
      <c r="I663" t="s">
        <v>86</v>
      </c>
      <c r="J663" t="s">
        <v>91</v>
      </c>
      <c r="K663" t="s">
        <v>49</v>
      </c>
      <c r="L663" t="s">
        <v>26</v>
      </c>
      <c r="M663" t="s">
        <v>123</v>
      </c>
      <c r="N663" t="s">
        <v>28</v>
      </c>
      <c r="O663">
        <v>6</v>
      </c>
      <c r="P663">
        <v>80630</v>
      </c>
      <c r="Q663">
        <f t="shared" si="11"/>
        <v>8.0629999999999993E-2</v>
      </c>
      <c r="R663">
        <v>43252</v>
      </c>
      <c r="S663" t="s">
        <v>122</v>
      </c>
    </row>
    <row r="664" spans="1:19">
      <c r="A664">
        <v>60000029</v>
      </c>
      <c r="B664">
        <v>28</v>
      </c>
      <c r="C664" t="s">
        <v>18</v>
      </c>
      <c r="D664" t="s">
        <v>19</v>
      </c>
      <c r="E664" t="s">
        <v>52</v>
      </c>
      <c r="F664" t="s">
        <v>21</v>
      </c>
      <c r="G664" s="23">
        <v>0.37</v>
      </c>
      <c r="H664" t="s">
        <v>42</v>
      </c>
      <c r="I664" t="s">
        <v>68</v>
      </c>
      <c r="J664" t="s">
        <v>91</v>
      </c>
      <c r="K664" t="s">
        <v>103</v>
      </c>
      <c r="L664" t="s">
        <v>26</v>
      </c>
      <c r="M664" t="s">
        <v>123</v>
      </c>
      <c r="N664" t="s">
        <v>28</v>
      </c>
      <c r="O664">
        <v>4</v>
      </c>
      <c r="P664">
        <v>57422</v>
      </c>
      <c r="Q664">
        <f t="shared" si="11"/>
        <v>5.7422000000000001E-2</v>
      </c>
      <c r="R664">
        <v>43252</v>
      </c>
      <c r="S664" t="s">
        <v>122</v>
      </c>
    </row>
    <row r="665" spans="1:19">
      <c r="A665">
        <v>60000030</v>
      </c>
      <c r="B665">
        <v>55</v>
      </c>
      <c r="C665" t="s">
        <v>18</v>
      </c>
      <c r="D665" t="s">
        <v>40</v>
      </c>
      <c r="E665" t="s">
        <v>85</v>
      </c>
      <c r="F665" t="s">
        <v>21</v>
      </c>
      <c r="G665" s="23">
        <v>0.18</v>
      </c>
      <c r="H665" t="s">
        <v>22</v>
      </c>
      <c r="I665" t="s">
        <v>23</v>
      </c>
      <c r="J665" t="s">
        <v>24</v>
      </c>
      <c r="K665" t="s">
        <v>55</v>
      </c>
      <c r="L665" t="s">
        <v>26</v>
      </c>
      <c r="M665" t="s">
        <v>123</v>
      </c>
      <c r="N665" t="s">
        <v>28</v>
      </c>
      <c r="O665">
        <v>5</v>
      </c>
      <c r="P665">
        <v>82448</v>
      </c>
      <c r="Q665">
        <f t="shared" ref="Q665:Q728" si="12">+P665/1000000</f>
        <v>8.2447999999999994E-2</v>
      </c>
      <c r="R665">
        <v>43252</v>
      </c>
      <c r="S665" t="s">
        <v>122</v>
      </c>
    </row>
    <row r="666" spans="1:19">
      <c r="A666">
        <v>60000031</v>
      </c>
      <c r="B666">
        <v>26</v>
      </c>
      <c r="C666" t="s">
        <v>18</v>
      </c>
      <c r="D666" t="s">
        <v>19</v>
      </c>
      <c r="E666" t="s">
        <v>75</v>
      </c>
      <c r="F666" t="s">
        <v>21</v>
      </c>
      <c r="G666" s="23">
        <v>0.34</v>
      </c>
      <c r="H666" t="s">
        <v>42</v>
      </c>
      <c r="I666" t="s">
        <v>80</v>
      </c>
      <c r="J666" t="s">
        <v>38</v>
      </c>
      <c r="K666" t="s">
        <v>96</v>
      </c>
      <c r="L666" t="s">
        <v>26</v>
      </c>
      <c r="M666" t="s">
        <v>123</v>
      </c>
      <c r="N666" t="s">
        <v>28</v>
      </c>
      <c r="O666">
        <v>0</v>
      </c>
      <c r="P666">
        <v>48511</v>
      </c>
      <c r="Q666">
        <f t="shared" si="12"/>
        <v>4.8510999999999999E-2</v>
      </c>
      <c r="R666">
        <v>43252</v>
      </c>
      <c r="S666" t="s">
        <v>122</v>
      </c>
    </row>
    <row r="667" spans="1:19">
      <c r="A667">
        <v>60000032</v>
      </c>
      <c r="B667">
        <v>47</v>
      </c>
      <c r="C667" t="s">
        <v>33</v>
      </c>
      <c r="D667" t="s">
        <v>19</v>
      </c>
      <c r="E667" t="s">
        <v>34</v>
      </c>
      <c r="F667" t="s">
        <v>21</v>
      </c>
      <c r="G667" s="23">
        <v>0.22</v>
      </c>
      <c r="H667" t="s">
        <v>29</v>
      </c>
      <c r="I667" t="s">
        <v>23</v>
      </c>
      <c r="J667" t="s">
        <v>69</v>
      </c>
      <c r="K667" t="s">
        <v>98</v>
      </c>
      <c r="L667" t="s">
        <v>26</v>
      </c>
      <c r="M667" t="s">
        <v>123</v>
      </c>
      <c r="N667" t="s">
        <v>28</v>
      </c>
      <c r="O667">
        <v>0</v>
      </c>
      <c r="P667">
        <v>60906</v>
      </c>
      <c r="Q667">
        <f t="shared" si="12"/>
        <v>6.0906000000000002E-2</v>
      </c>
      <c r="R667">
        <v>43252</v>
      </c>
      <c r="S667" t="s">
        <v>122</v>
      </c>
    </row>
    <row r="668" spans="1:19">
      <c r="A668">
        <v>60000033</v>
      </c>
      <c r="B668">
        <v>48</v>
      </c>
      <c r="C668" t="s">
        <v>33</v>
      </c>
      <c r="D668" t="s">
        <v>19</v>
      </c>
      <c r="E668" t="s">
        <v>20</v>
      </c>
      <c r="F668" t="s">
        <v>21</v>
      </c>
      <c r="G668" s="23">
        <v>0.31</v>
      </c>
      <c r="H668" t="s">
        <v>53</v>
      </c>
      <c r="I668" t="s">
        <v>45</v>
      </c>
      <c r="J668" t="s">
        <v>88</v>
      </c>
      <c r="K668" t="s">
        <v>111</v>
      </c>
      <c r="L668" t="s">
        <v>26</v>
      </c>
      <c r="M668" t="s">
        <v>123</v>
      </c>
      <c r="N668" t="s">
        <v>28</v>
      </c>
      <c r="O668">
        <v>0</v>
      </c>
      <c r="P668">
        <v>60696</v>
      </c>
      <c r="Q668">
        <f t="shared" si="12"/>
        <v>6.0696E-2</v>
      </c>
      <c r="R668">
        <v>43252</v>
      </c>
      <c r="S668" t="s">
        <v>122</v>
      </c>
    </row>
    <row r="669" spans="1:19">
      <c r="A669">
        <v>60000034</v>
      </c>
      <c r="B669">
        <v>39</v>
      </c>
      <c r="C669" t="s">
        <v>33</v>
      </c>
      <c r="D669" t="s">
        <v>40</v>
      </c>
      <c r="E669" t="s">
        <v>41</v>
      </c>
      <c r="F669" t="s">
        <v>21</v>
      </c>
      <c r="G669" s="23">
        <v>0.2</v>
      </c>
      <c r="H669" t="s">
        <v>29</v>
      </c>
      <c r="I669" t="s">
        <v>68</v>
      </c>
      <c r="J669" t="s">
        <v>38</v>
      </c>
      <c r="K669" t="s">
        <v>96</v>
      </c>
      <c r="L669" t="s">
        <v>26</v>
      </c>
      <c r="M669" t="s">
        <v>123</v>
      </c>
      <c r="N669" t="s">
        <v>28</v>
      </c>
      <c r="O669">
        <v>0</v>
      </c>
      <c r="P669">
        <v>68931</v>
      </c>
      <c r="Q669">
        <f t="shared" si="12"/>
        <v>6.8931000000000006E-2</v>
      </c>
      <c r="R669">
        <v>43252</v>
      </c>
      <c r="S669" t="s">
        <v>122</v>
      </c>
    </row>
    <row r="670" spans="1:19">
      <c r="A670">
        <v>60000035</v>
      </c>
      <c r="B670">
        <v>27</v>
      </c>
      <c r="C670" t="s">
        <v>33</v>
      </c>
      <c r="D670" t="s">
        <v>19</v>
      </c>
      <c r="E670" t="s">
        <v>41</v>
      </c>
      <c r="F670" t="s">
        <v>21</v>
      </c>
      <c r="G670" s="23">
        <v>0.25</v>
      </c>
      <c r="H670" t="s">
        <v>53</v>
      </c>
      <c r="I670" t="s">
        <v>68</v>
      </c>
      <c r="J670" t="s">
        <v>91</v>
      </c>
      <c r="K670" t="s">
        <v>114</v>
      </c>
      <c r="L670" t="s">
        <v>26</v>
      </c>
      <c r="M670" t="s">
        <v>123</v>
      </c>
      <c r="N670" t="s">
        <v>28</v>
      </c>
      <c r="O670">
        <v>0</v>
      </c>
      <c r="P670">
        <v>72486</v>
      </c>
      <c r="Q670">
        <f t="shared" si="12"/>
        <v>7.2485999999999995E-2</v>
      </c>
      <c r="R670">
        <v>43252</v>
      </c>
      <c r="S670" t="s">
        <v>122</v>
      </c>
    </row>
    <row r="671" spans="1:19">
      <c r="A671">
        <v>60000036</v>
      </c>
      <c r="B671">
        <v>50</v>
      </c>
      <c r="C671" t="s">
        <v>18</v>
      </c>
      <c r="D671" t="s">
        <v>40</v>
      </c>
      <c r="E671" t="s">
        <v>20</v>
      </c>
      <c r="F671" t="s">
        <v>21</v>
      </c>
      <c r="G671" s="23">
        <v>0.34</v>
      </c>
      <c r="H671" t="s">
        <v>42</v>
      </c>
      <c r="I671" t="s">
        <v>62</v>
      </c>
      <c r="J671" t="s">
        <v>58</v>
      </c>
      <c r="K671" t="s">
        <v>49</v>
      </c>
      <c r="L671" t="s">
        <v>26</v>
      </c>
      <c r="M671" t="s">
        <v>123</v>
      </c>
      <c r="N671" t="s">
        <v>28</v>
      </c>
      <c r="O671">
        <v>0</v>
      </c>
      <c r="P671">
        <v>25064</v>
      </c>
      <c r="Q671">
        <f t="shared" si="12"/>
        <v>2.5063999999999999E-2</v>
      </c>
      <c r="R671">
        <v>43252</v>
      </c>
      <c r="S671" t="s">
        <v>122</v>
      </c>
    </row>
    <row r="672" spans="1:19">
      <c r="A672">
        <v>60000037</v>
      </c>
      <c r="B672">
        <v>43</v>
      </c>
      <c r="C672" t="s">
        <v>18</v>
      </c>
      <c r="D672" t="s">
        <v>40</v>
      </c>
      <c r="E672" t="s">
        <v>75</v>
      </c>
      <c r="F672" t="s">
        <v>21</v>
      </c>
      <c r="G672" s="23">
        <v>0.27</v>
      </c>
      <c r="H672" t="s">
        <v>53</v>
      </c>
      <c r="I672" t="s">
        <v>83</v>
      </c>
      <c r="J672" t="s">
        <v>24</v>
      </c>
      <c r="K672" t="s">
        <v>110</v>
      </c>
      <c r="L672" t="s">
        <v>26</v>
      </c>
      <c r="M672" t="s">
        <v>123</v>
      </c>
      <c r="N672" t="s">
        <v>28</v>
      </c>
      <c r="O672">
        <v>0</v>
      </c>
      <c r="P672">
        <v>66485</v>
      </c>
      <c r="Q672">
        <f t="shared" si="12"/>
        <v>6.6485000000000002E-2</v>
      </c>
      <c r="R672">
        <v>43252</v>
      </c>
      <c r="S672" t="s">
        <v>122</v>
      </c>
    </row>
    <row r="673" spans="1:19">
      <c r="A673">
        <v>60000038</v>
      </c>
      <c r="B673">
        <v>26</v>
      </c>
      <c r="C673" t="s">
        <v>33</v>
      </c>
      <c r="D673" t="s">
        <v>40</v>
      </c>
      <c r="E673" t="s">
        <v>67</v>
      </c>
      <c r="F673" t="s">
        <v>21</v>
      </c>
      <c r="G673" s="23">
        <v>0.17</v>
      </c>
      <c r="H673" t="s">
        <v>22</v>
      </c>
      <c r="I673" t="s">
        <v>73</v>
      </c>
      <c r="J673" t="s">
        <v>69</v>
      </c>
      <c r="K673" t="s">
        <v>81</v>
      </c>
      <c r="L673" t="s">
        <v>26</v>
      </c>
      <c r="M673" t="s">
        <v>123</v>
      </c>
      <c r="N673" t="s">
        <v>28</v>
      </c>
      <c r="O673">
        <v>0</v>
      </c>
      <c r="P673">
        <v>32920</v>
      </c>
      <c r="Q673">
        <f t="shared" si="12"/>
        <v>3.2919999999999998E-2</v>
      </c>
      <c r="R673">
        <v>43252</v>
      </c>
      <c r="S673" t="s">
        <v>122</v>
      </c>
    </row>
    <row r="674" spans="1:19">
      <c r="A674">
        <v>60000039</v>
      </c>
      <c r="B674">
        <v>23</v>
      </c>
      <c r="C674" t="s">
        <v>18</v>
      </c>
      <c r="D674" t="s">
        <v>19</v>
      </c>
      <c r="E674" t="s">
        <v>56</v>
      </c>
      <c r="F674" t="s">
        <v>21</v>
      </c>
      <c r="G674" s="23">
        <v>0.1</v>
      </c>
      <c r="H674" t="s">
        <v>36</v>
      </c>
      <c r="I674" t="s">
        <v>76</v>
      </c>
      <c r="J674" t="s">
        <v>88</v>
      </c>
      <c r="K674" t="s">
        <v>77</v>
      </c>
      <c r="L674" t="s">
        <v>26</v>
      </c>
      <c r="M674" t="s">
        <v>123</v>
      </c>
      <c r="N674" t="s">
        <v>28</v>
      </c>
      <c r="O674">
        <v>0</v>
      </c>
      <c r="P674">
        <v>60181</v>
      </c>
      <c r="Q674">
        <f t="shared" si="12"/>
        <v>6.0180999999999998E-2</v>
      </c>
      <c r="R674">
        <v>43252</v>
      </c>
      <c r="S674" t="s">
        <v>122</v>
      </c>
    </row>
    <row r="675" spans="1:19">
      <c r="A675">
        <v>60000040</v>
      </c>
      <c r="B675">
        <v>47</v>
      </c>
      <c r="C675" t="s">
        <v>33</v>
      </c>
      <c r="D675" t="s">
        <v>19</v>
      </c>
      <c r="E675" t="s">
        <v>64</v>
      </c>
      <c r="F675" t="s">
        <v>21</v>
      </c>
      <c r="G675" s="23">
        <v>0.28000000000000003</v>
      </c>
      <c r="H675" t="s">
        <v>53</v>
      </c>
      <c r="I675" t="s">
        <v>45</v>
      </c>
      <c r="J675" t="s">
        <v>58</v>
      </c>
      <c r="K675" t="s">
        <v>49</v>
      </c>
      <c r="L675" t="s">
        <v>26</v>
      </c>
      <c r="M675" t="s">
        <v>123</v>
      </c>
      <c r="N675" t="s">
        <v>28</v>
      </c>
      <c r="O675">
        <v>7</v>
      </c>
      <c r="P675">
        <v>64200</v>
      </c>
      <c r="Q675">
        <f t="shared" si="12"/>
        <v>6.4199999999999993E-2</v>
      </c>
      <c r="R675">
        <v>43252</v>
      </c>
      <c r="S675" t="s">
        <v>122</v>
      </c>
    </row>
    <row r="676" spans="1:19">
      <c r="A676">
        <v>60000041</v>
      </c>
      <c r="B676">
        <v>54</v>
      </c>
      <c r="C676" t="s">
        <v>33</v>
      </c>
      <c r="D676" t="s">
        <v>19</v>
      </c>
      <c r="E676" t="s">
        <v>44</v>
      </c>
      <c r="F676" t="s">
        <v>21</v>
      </c>
      <c r="G676" s="23">
        <v>0.32</v>
      </c>
      <c r="H676" t="s">
        <v>42</v>
      </c>
      <c r="I676" t="s">
        <v>37</v>
      </c>
      <c r="J676" t="s">
        <v>74</v>
      </c>
      <c r="K676" t="s">
        <v>81</v>
      </c>
      <c r="L676" t="s">
        <v>26</v>
      </c>
      <c r="M676" t="s">
        <v>123</v>
      </c>
      <c r="N676" t="s">
        <v>28</v>
      </c>
      <c r="O676">
        <v>0</v>
      </c>
      <c r="P676">
        <v>27376</v>
      </c>
      <c r="Q676">
        <f t="shared" si="12"/>
        <v>2.7376000000000001E-2</v>
      </c>
      <c r="R676">
        <v>43252</v>
      </c>
      <c r="S676" t="s">
        <v>122</v>
      </c>
    </row>
    <row r="677" spans="1:19">
      <c r="A677">
        <v>60000042</v>
      </c>
      <c r="B677">
        <v>47</v>
      </c>
      <c r="C677" t="s">
        <v>18</v>
      </c>
      <c r="D677" t="s">
        <v>40</v>
      </c>
      <c r="E677" t="s">
        <v>44</v>
      </c>
      <c r="F677" t="s">
        <v>21</v>
      </c>
      <c r="G677" s="23">
        <v>0.36</v>
      </c>
      <c r="H677" t="s">
        <v>42</v>
      </c>
      <c r="I677" t="s">
        <v>68</v>
      </c>
      <c r="J677" t="s">
        <v>38</v>
      </c>
      <c r="K677" t="s">
        <v>111</v>
      </c>
      <c r="L677" t="s">
        <v>26</v>
      </c>
      <c r="M677" t="s">
        <v>123</v>
      </c>
      <c r="N677" t="s">
        <v>28</v>
      </c>
      <c r="O677">
        <v>6</v>
      </c>
      <c r="P677">
        <v>73100</v>
      </c>
      <c r="Q677">
        <f t="shared" si="12"/>
        <v>7.3099999999999998E-2</v>
      </c>
      <c r="R677">
        <v>43252</v>
      </c>
      <c r="S677" t="s">
        <v>122</v>
      </c>
    </row>
    <row r="678" spans="1:19">
      <c r="A678">
        <v>60000043</v>
      </c>
      <c r="B678">
        <v>37</v>
      </c>
      <c r="C678" t="s">
        <v>33</v>
      </c>
      <c r="D678" t="s">
        <v>40</v>
      </c>
      <c r="E678" t="s">
        <v>20</v>
      </c>
      <c r="F678" t="s">
        <v>21</v>
      </c>
      <c r="G678" s="23">
        <v>0.33</v>
      </c>
      <c r="H678" t="s">
        <v>42</v>
      </c>
      <c r="I678" t="s">
        <v>23</v>
      </c>
      <c r="J678" t="s">
        <v>88</v>
      </c>
      <c r="K678" t="s">
        <v>110</v>
      </c>
      <c r="L678" t="s">
        <v>26</v>
      </c>
      <c r="M678" t="s">
        <v>123</v>
      </c>
      <c r="N678" t="s">
        <v>28</v>
      </c>
      <c r="O678">
        <v>0</v>
      </c>
      <c r="P678">
        <v>51512</v>
      </c>
      <c r="Q678">
        <f t="shared" si="12"/>
        <v>5.1512000000000002E-2</v>
      </c>
      <c r="R678">
        <v>43252</v>
      </c>
      <c r="S678" t="s">
        <v>122</v>
      </c>
    </row>
    <row r="679" spans="1:19">
      <c r="A679">
        <v>60000044</v>
      </c>
      <c r="B679">
        <v>65</v>
      </c>
      <c r="C679" t="s">
        <v>33</v>
      </c>
      <c r="D679" t="s">
        <v>40</v>
      </c>
      <c r="E679" t="s">
        <v>34</v>
      </c>
      <c r="F679" t="s">
        <v>21</v>
      </c>
      <c r="G679" s="23">
        <v>0.24</v>
      </c>
      <c r="H679" t="s">
        <v>29</v>
      </c>
      <c r="I679" t="s">
        <v>49</v>
      </c>
      <c r="J679" t="s">
        <v>46</v>
      </c>
      <c r="K679" t="s">
        <v>43</v>
      </c>
      <c r="L679" t="s">
        <v>26</v>
      </c>
      <c r="M679" t="s">
        <v>123</v>
      </c>
      <c r="N679" t="s">
        <v>28</v>
      </c>
      <c r="O679">
        <v>4</v>
      </c>
      <c r="P679">
        <v>32853</v>
      </c>
      <c r="Q679">
        <f t="shared" si="12"/>
        <v>3.2853E-2</v>
      </c>
      <c r="R679">
        <v>43252</v>
      </c>
      <c r="S679" t="s">
        <v>122</v>
      </c>
    </row>
    <row r="680" spans="1:19">
      <c r="A680">
        <v>60000045</v>
      </c>
      <c r="B680">
        <v>42</v>
      </c>
      <c r="C680" t="s">
        <v>33</v>
      </c>
      <c r="D680" t="s">
        <v>19</v>
      </c>
      <c r="E680" t="s">
        <v>85</v>
      </c>
      <c r="F680" t="s">
        <v>21</v>
      </c>
      <c r="G680" s="23">
        <v>0.34</v>
      </c>
      <c r="H680" t="s">
        <v>42</v>
      </c>
      <c r="I680" t="s">
        <v>80</v>
      </c>
      <c r="J680" t="s">
        <v>58</v>
      </c>
      <c r="K680" t="s">
        <v>102</v>
      </c>
      <c r="L680" t="s">
        <v>26</v>
      </c>
      <c r="M680" t="s">
        <v>123</v>
      </c>
      <c r="N680" t="s">
        <v>28</v>
      </c>
      <c r="O680">
        <v>0</v>
      </c>
      <c r="P680">
        <v>33519</v>
      </c>
      <c r="Q680">
        <f t="shared" si="12"/>
        <v>3.3519E-2</v>
      </c>
      <c r="R680">
        <v>43252</v>
      </c>
      <c r="S680" t="s">
        <v>122</v>
      </c>
    </row>
    <row r="681" spans="1:19">
      <c r="A681">
        <v>60000046</v>
      </c>
      <c r="B681">
        <v>29</v>
      </c>
      <c r="C681" t="s">
        <v>33</v>
      </c>
      <c r="D681" t="s">
        <v>40</v>
      </c>
      <c r="E681" t="s">
        <v>67</v>
      </c>
      <c r="F681" t="s">
        <v>21</v>
      </c>
      <c r="G681" s="23">
        <v>0.23</v>
      </c>
      <c r="H681" t="s">
        <v>29</v>
      </c>
      <c r="I681" t="s">
        <v>86</v>
      </c>
      <c r="J681" t="s">
        <v>38</v>
      </c>
      <c r="K681" t="s">
        <v>25</v>
      </c>
      <c r="L681" t="s">
        <v>26</v>
      </c>
      <c r="M681" t="s">
        <v>123</v>
      </c>
      <c r="N681" t="s">
        <v>28</v>
      </c>
      <c r="O681">
        <v>0</v>
      </c>
      <c r="P681">
        <v>47392</v>
      </c>
      <c r="Q681">
        <f t="shared" si="12"/>
        <v>4.7391999999999997E-2</v>
      </c>
      <c r="R681">
        <v>43252</v>
      </c>
      <c r="S681" t="s">
        <v>122</v>
      </c>
    </row>
    <row r="682" spans="1:19">
      <c r="A682">
        <v>60000047</v>
      </c>
      <c r="B682">
        <v>21</v>
      </c>
      <c r="C682" t="s">
        <v>18</v>
      </c>
      <c r="D682" t="s">
        <v>19</v>
      </c>
      <c r="E682" t="s">
        <v>20</v>
      </c>
      <c r="F682" t="s">
        <v>21</v>
      </c>
      <c r="G682" s="23">
        <v>0.16</v>
      </c>
      <c r="H682" t="s">
        <v>22</v>
      </c>
      <c r="I682" t="s">
        <v>62</v>
      </c>
      <c r="J682" t="s">
        <v>46</v>
      </c>
      <c r="K682" t="s">
        <v>93</v>
      </c>
      <c r="L682" t="s">
        <v>26</v>
      </c>
      <c r="M682" t="s">
        <v>123</v>
      </c>
      <c r="N682" t="s">
        <v>28</v>
      </c>
      <c r="O682">
        <v>7</v>
      </c>
      <c r="P682">
        <v>81471</v>
      </c>
      <c r="Q682">
        <f t="shared" si="12"/>
        <v>8.1471000000000002E-2</v>
      </c>
      <c r="R682">
        <v>43252</v>
      </c>
      <c r="S682" t="s">
        <v>122</v>
      </c>
    </row>
    <row r="683" spans="1:19">
      <c r="A683">
        <v>60000048</v>
      </c>
      <c r="B683">
        <v>65</v>
      </c>
      <c r="C683" t="s">
        <v>18</v>
      </c>
      <c r="D683" t="s">
        <v>19</v>
      </c>
      <c r="E683" t="s">
        <v>85</v>
      </c>
      <c r="F683" t="s">
        <v>21</v>
      </c>
      <c r="G683" s="23">
        <v>0.36</v>
      </c>
      <c r="H683" t="s">
        <v>42</v>
      </c>
      <c r="I683" t="s">
        <v>65</v>
      </c>
      <c r="J683" t="s">
        <v>24</v>
      </c>
      <c r="K683" t="s">
        <v>102</v>
      </c>
      <c r="L683" t="s">
        <v>26</v>
      </c>
      <c r="M683" t="s">
        <v>123</v>
      </c>
      <c r="N683" t="s">
        <v>28</v>
      </c>
      <c r="O683">
        <v>4</v>
      </c>
      <c r="P683">
        <v>46613</v>
      </c>
      <c r="Q683">
        <f t="shared" si="12"/>
        <v>4.6613000000000002E-2</v>
      </c>
      <c r="R683">
        <v>43252</v>
      </c>
      <c r="S683" t="s">
        <v>122</v>
      </c>
    </row>
    <row r="684" spans="1:19">
      <c r="A684">
        <v>60000049</v>
      </c>
      <c r="B684">
        <v>47</v>
      </c>
      <c r="C684" t="s">
        <v>33</v>
      </c>
      <c r="D684" t="s">
        <v>40</v>
      </c>
      <c r="E684" t="s">
        <v>52</v>
      </c>
      <c r="F684" t="s">
        <v>21</v>
      </c>
      <c r="G684" s="23">
        <v>0.12</v>
      </c>
      <c r="H684" t="s">
        <v>22</v>
      </c>
      <c r="I684" t="s">
        <v>68</v>
      </c>
      <c r="J684" t="s">
        <v>74</v>
      </c>
      <c r="K684" t="s">
        <v>87</v>
      </c>
      <c r="L684" t="s">
        <v>26</v>
      </c>
      <c r="M684" t="s">
        <v>123</v>
      </c>
      <c r="N684" t="s">
        <v>28</v>
      </c>
      <c r="O684">
        <v>0</v>
      </c>
      <c r="P684">
        <v>75842</v>
      </c>
      <c r="Q684">
        <f t="shared" si="12"/>
        <v>7.5842000000000007E-2</v>
      </c>
      <c r="R684">
        <v>43252</v>
      </c>
      <c r="S684" t="s">
        <v>122</v>
      </c>
    </row>
    <row r="685" spans="1:19">
      <c r="A685">
        <v>60000050</v>
      </c>
      <c r="B685">
        <v>47</v>
      </c>
      <c r="C685" t="s">
        <v>18</v>
      </c>
      <c r="D685" t="s">
        <v>40</v>
      </c>
      <c r="E685" t="s">
        <v>52</v>
      </c>
      <c r="F685" t="s">
        <v>21</v>
      </c>
      <c r="G685" s="23">
        <v>0.18</v>
      </c>
      <c r="H685" t="s">
        <v>22</v>
      </c>
      <c r="I685" t="s">
        <v>65</v>
      </c>
      <c r="J685" t="s">
        <v>31</v>
      </c>
      <c r="K685" t="s">
        <v>94</v>
      </c>
      <c r="L685" t="s">
        <v>26</v>
      </c>
      <c r="M685" t="s">
        <v>123</v>
      </c>
      <c r="N685" t="s">
        <v>28</v>
      </c>
      <c r="O685">
        <v>0</v>
      </c>
      <c r="P685">
        <v>77615</v>
      </c>
      <c r="Q685">
        <f t="shared" si="12"/>
        <v>7.7615000000000003E-2</v>
      </c>
      <c r="R685">
        <v>43252</v>
      </c>
      <c r="S685" t="s">
        <v>122</v>
      </c>
    </row>
    <row r="686" spans="1:19">
      <c r="A686">
        <v>60000051</v>
      </c>
      <c r="B686">
        <v>48</v>
      </c>
      <c r="C686" t="s">
        <v>33</v>
      </c>
      <c r="D686" t="s">
        <v>19</v>
      </c>
      <c r="E686" t="s">
        <v>67</v>
      </c>
      <c r="F686" t="s">
        <v>21</v>
      </c>
      <c r="G686" s="23">
        <v>0.31</v>
      </c>
      <c r="H686" t="s">
        <v>53</v>
      </c>
      <c r="I686" t="s">
        <v>45</v>
      </c>
      <c r="J686" t="s">
        <v>78</v>
      </c>
      <c r="K686" t="s">
        <v>62</v>
      </c>
      <c r="L686" t="s">
        <v>26</v>
      </c>
      <c r="M686" t="s">
        <v>123</v>
      </c>
      <c r="N686" t="s">
        <v>28</v>
      </c>
      <c r="O686">
        <v>0</v>
      </c>
      <c r="P686">
        <v>46121</v>
      </c>
      <c r="Q686">
        <f t="shared" si="12"/>
        <v>4.6121000000000002E-2</v>
      </c>
      <c r="R686">
        <v>43252</v>
      </c>
      <c r="S686" t="s">
        <v>122</v>
      </c>
    </row>
    <row r="687" spans="1:19">
      <c r="A687">
        <v>60000052</v>
      </c>
      <c r="B687">
        <v>24</v>
      </c>
      <c r="C687" t="s">
        <v>18</v>
      </c>
      <c r="D687" t="s">
        <v>19</v>
      </c>
      <c r="E687" t="s">
        <v>75</v>
      </c>
      <c r="F687" t="s">
        <v>21</v>
      </c>
      <c r="G687" s="23">
        <v>0.25</v>
      </c>
      <c r="H687" t="s">
        <v>53</v>
      </c>
      <c r="I687" t="s">
        <v>45</v>
      </c>
      <c r="J687" t="s">
        <v>91</v>
      </c>
      <c r="K687" t="s">
        <v>109</v>
      </c>
      <c r="L687" t="s">
        <v>26</v>
      </c>
      <c r="M687" t="s">
        <v>123</v>
      </c>
      <c r="N687" t="s">
        <v>28</v>
      </c>
      <c r="O687">
        <v>6</v>
      </c>
      <c r="P687">
        <v>39270</v>
      </c>
      <c r="Q687">
        <f t="shared" si="12"/>
        <v>3.9269999999999999E-2</v>
      </c>
      <c r="R687">
        <v>43252</v>
      </c>
      <c r="S687" t="s">
        <v>122</v>
      </c>
    </row>
    <row r="688" spans="1:19">
      <c r="A688">
        <v>60000053</v>
      </c>
      <c r="B688">
        <v>61</v>
      </c>
      <c r="C688" t="s">
        <v>18</v>
      </c>
      <c r="D688" t="s">
        <v>19</v>
      </c>
      <c r="E688" t="s">
        <v>56</v>
      </c>
      <c r="F688" t="s">
        <v>21</v>
      </c>
      <c r="G688" s="23">
        <v>0.1</v>
      </c>
      <c r="H688" t="s">
        <v>36</v>
      </c>
      <c r="I688" t="s">
        <v>65</v>
      </c>
      <c r="J688" t="s">
        <v>61</v>
      </c>
      <c r="K688" t="s">
        <v>39</v>
      </c>
      <c r="L688" t="s">
        <v>26</v>
      </c>
      <c r="M688" t="s">
        <v>123</v>
      </c>
      <c r="N688" t="s">
        <v>28</v>
      </c>
      <c r="O688">
        <v>5</v>
      </c>
      <c r="P688">
        <v>77754</v>
      </c>
      <c r="Q688">
        <f t="shared" si="12"/>
        <v>7.7754000000000004E-2</v>
      </c>
      <c r="R688">
        <v>43252</v>
      </c>
      <c r="S688" t="s">
        <v>122</v>
      </c>
    </row>
    <row r="689" spans="1:19">
      <c r="A689">
        <v>60000054</v>
      </c>
      <c r="B689">
        <v>45</v>
      </c>
      <c r="C689" t="s">
        <v>18</v>
      </c>
      <c r="D689" t="s">
        <v>19</v>
      </c>
      <c r="E689" t="s">
        <v>44</v>
      </c>
      <c r="F689" t="s">
        <v>21</v>
      </c>
      <c r="G689" s="23">
        <v>0.15</v>
      </c>
      <c r="H689" t="s">
        <v>22</v>
      </c>
      <c r="I689" t="s">
        <v>45</v>
      </c>
      <c r="J689" t="s">
        <v>66</v>
      </c>
      <c r="K689" t="s">
        <v>62</v>
      </c>
      <c r="L689" t="s">
        <v>26</v>
      </c>
      <c r="M689" t="s">
        <v>123</v>
      </c>
      <c r="N689" t="s">
        <v>28</v>
      </c>
      <c r="O689">
        <v>3</v>
      </c>
      <c r="P689">
        <v>55314</v>
      </c>
      <c r="Q689">
        <f t="shared" si="12"/>
        <v>5.5314000000000002E-2</v>
      </c>
      <c r="R689">
        <v>43252</v>
      </c>
      <c r="S689" t="s">
        <v>122</v>
      </c>
    </row>
    <row r="690" spans="1:19">
      <c r="A690">
        <v>60000055</v>
      </c>
      <c r="B690">
        <v>60</v>
      </c>
      <c r="C690" t="s">
        <v>18</v>
      </c>
      <c r="D690" t="s">
        <v>40</v>
      </c>
      <c r="E690" t="s">
        <v>44</v>
      </c>
      <c r="F690" t="s">
        <v>21</v>
      </c>
      <c r="G690" s="23">
        <v>0.28000000000000003</v>
      </c>
      <c r="H690" t="s">
        <v>53</v>
      </c>
      <c r="I690" t="s">
        <v>83</v>
      </c>
      <c r="J690" t="s">
        <v>69</v>
      </c>
      <c r="K690" t="s">
        <v>71</v>
      </c>
      <c r="L690" t="s">
        <v>26</v>
      </c>
      <c r="M690" t="s">
        <v>123</v>
      </c>
      <c r="N690" t="s">
        <v>28</v>
      </c>
      <c r="O690">
        <v>5</v>
      </c>
      <c r="P690">
        <v>44686</v>
      </c>
      <c r="Q690">
        <f t="shared" si="12"/>
        <v>4.4685999999999997E-2</v>
      </c>
      <c r="R690">
        <v>43252</v>
      </c>
      <c r="S690" t="s">
        <v>122</v>
      </c>
    </row>
    <row r="691" spans="1:19">
      <c r="A691">
        <v>60000056</v>
      </c>
      <c r="B691">
        <v>27</v>
      </c>
      <c r="C691" t="s">
        <v>33</v>
      </c>
      <c r="D691" t="s">
        <v>19</v>
      </c>
      <c r="E691" t="s">
        <v>85</v>
      </c>
      <c r="F691" t="s">
        <v>21</v>
      </c>
      <c r="G691" s="23">
        <v>0.16</v>
      </c>
      <c r="H691" t="s">
        <v>22</v>
      </c>
      <c r="I691" t="s">
        <v>45</v>
      </c>
      <c r="J691" t="s">
        <v>46</v>
      </c>
      <c r="K691" t="s">
        <v>49</v>
      </c>
      <c r="L691" t="s">
        <v>26</v>
      </c>
      <c r="M691" t="s">
        <v>123</v>
      </c>
      <c r="N691" t="s">
        <v>28</v>
      </c>
      <c r="O691">
        <v>0</v>
      </c>
      <c r="P691">
        <v>79381</v>
      </c>
      <c r="Q691">
        <f t="shared" si="12"/>
        <v>7.9380999999999993E-2</v>
      </c>
      <c r="R691">
        <v>43252</v>
      </c>
      <c r="S691" t="s">
        <v>122</v>
      </c>
    </row>
    <row r="692" spans="1:19">
      <c r="A692">
        <v>60000057</v>
      </c>
      <c r="B692">
        <v>29</v>
      </c>
      <c r="C692" t="s">
        <v>18</v>
      </c>
      <c r="D692" t="s">
        <v>19</v>
      </c>
      <c r="E692" t="s">
        <v>67</v>
      </c>
      <c r="F692" t="s">
        <v>21</v>
      </c>
      <c r="G692" s="23">
        <v>0.25</v>
      </c>
      <c r="H692" t="s">
        <v>53</v>
      </c>
      <c r="I692" t="s">
        <v>49</v>
      </c>
      <c r="J692" t="s">
        <v>31</v>
      </c>
      <c r="K692" t="s">
        <v>97</v>
      </c>
      <c r="L692" t="s">
        <v>26</v>
      </c>
      <c r="M692" t="s">
        <v>123</v>
      </c>
      <c r="N692" t="s">
        <v>28</v>
      </c>
      <c r="O692">
        <v>4</v>
      </c>
      <c r="P692">
        <v>55151</v>
      </c>
      <c r="Q692">
        <f t="shared" si="12"/>
        <v>5.5150999999999999E-2</v>
      </c>
      <c r="R692">
        <v>43252</v>
      </c>
      <c r="S692" t="s">
        <v>122</v>
      </c>
    </row>
    <row r="693" spans="1:19">
      <c r="A693">
        <v>60000058</v>
      </c>
      <c r="B693">
        <v>59</v>
      </c>
      <c r="C693" t="s">
        <v>18</v>
      </c>
      <c r="D693" t="s">
        <v>40</v>
      </c>
      <c r="E693" t="s">
        <v>85</v>
      </c>
      <c r="F693" t="s">
        <v>21</v>
      </c>
      <c r="G693" s="23">
        <v>0.27</v>
      </c>
      <c r="H693" t="s">
        <v>53</v>
      </c>
      <c r="I693" t="s">
        <v>83</v>
      </c>
      <c r="J693" t="s">
        <v>88</v>
      </c>
      <c r="K693" t="s">
        <v>96</v>
      </c>
      <c r="L693" t="s">
        <v>26</v>
      </c>
      <c r="M693" t="s">
        <v>123</v>
      </c>
      <c r="N693" t="s">
        <v>28</v>
      </c>
      <c r="O693">
        <v>1</v>
      </c>
      <c r="P693">
        <v>65029</v>
      </c>
      <c r="Q693">
        <f t="shared" si="12"/>
        <v>6.5029000000000003E-2</v>
      </c>
      <c r="R693">
        <v>43252</v>
      </c>
      <c r="S693" t="s">
        <v>122</v>
      </c>
    </row>
    <row r="694" spans="1:19">
      <c r="A694">
        <v>60000059</v>
      </c>
      <c r="B694">
        <v>56</v>
      </c>
      <c r="C694" t="s">
        <v>33</v>
      </c>
      <c r="D694" t="s">
        <v>19</v>
      </c>
      <c r="E694" t="s">
        <v>67</v>
      </c>
      <c r="F694" t="s">
        <v>21</v>
      </c>
      <c r="G694" s="23">
        <v>0.2</v>
      </c>
      <c r="H694" t="s">
        <v>29</v>
      </c>
      <c r="I694" t="s">
        <v>37</v>
      </c>
      <c r="J694" t="s">
        <v>54</v>
      </c>
      <c r="K694" t="s">
        <v>39</v>
      </c>
      <c r="L694" t="s">
        <v>26</v>
      </c>
      <c r="M694" t="s">
        <v>123</v>
      </c>
      <c r="N694" t="s">
        <v>28</v>
      </c>
      <c r="O694">
        <v>5</v>
      </c>
      <c r="P694">
        <v>26628</v>
      </c>
      <c r="Q694">
        <f t="shared" si="12"/>
        <v>2.6627999999999999E-2</v>
      </c>
      <c r="R694">
        <v>43252</v>
      </c>
      <c r="S694" t="s">
        <v>122</v>
      </c>
    </row>
    <row r="695" spans="1:19">
      <c r="A695">
        <v>60000060</v>
      </c>
      <c r="B695">
        <v>42</v>
      </c>
      <c r="C695" t="s">
        <v>18</v>
      </c>
      <c r="D695" t="s">
        <v>19</v>
      </c>
      <c r="E695" t="s">
        <v>56</v>
      </c>
      <c r="F695" t="s">
        <v>21</v>
      </c>
      <c r="G695" s="23">
        <v>0.19</v>
      </c>
      <c r="H695" t="s">
        <v>29</v>
      </c>
      <c r="I695" t="s">
        <v>60</v>
      </c>
      <c r="J695" t="s">
        <v>61</v>
      </c>
      <c r="K695" t="s">
        <v>47</v>
      </c>
      <c r="L695" t="s">
        <v>26</v>
      </c>
      <c r="M695" t="s">
        <v>123</v>
      </c>
      <c r="N695" t="s">
        <v>28</v>
      </c>
      <c r="O695">
        <v>0</v>
      </c>
      <c r="P695">
        <v>49132</v>
      </c>
      <c r="Q695">
        <f t="shared" si="12"/>
        <v>4.9132000000000002E-2</v>
      </c>
      <c r="R695">
        <v>43252</v>
      </c>
      <c r="S695" t="s">
        <v>122</v>
      </c>
    </row>
    <row r="696" spans="1:19">
      <c r="A696">
        <v>60000061</v>
      </c>
      <c r="B696">
        <v>52</v>
      </c>
      <c r="C696" t="s">
        <v>33</v>
      </c>
      <c r="D696" t="s">
        <v>19</v>
      </c>
      <c r="E696" t="s">
        <v>75</v>
      </c>
      <c r="F696" t="s">
        <v>21</v>
      </c>
      <c r="G696" s="23">
        <v>0.31</v>
      </c>
      <c r="H696" t="s">
        <v>53</v>
      </c>
      <c r="I696" t="s">
        <v>57</v>
      </c>
      <c r="J696" t="s">
        <v>24</v>
      </c>
      <c r="K696" t="s">
        <v>103</v>
      </c>
      <c r="L696" t="s">
        <v>26</v>
      </c>
      <c r="M696" t="s">
        <v>123</v>
      </c>
      <c r="N696" t="s">
        <v>28</v>
      </c>
      <c r="O696">
        <v>2</v>
      </c>
      <c r="P696">
        <v>75641</v>
      </c>
      <c r="Q696">
        <f t="shared" si="12"/>
        <v>7.5641E-2</v>
      </c>
      <c r="R696">
        <v>43252</v>
      </c>
      <c r="S696" t="s">
        <v>122</v>
      </c>
    </row>
    <row r="697" spans="1:19">
      <c r="A697">
        <v>60000062</v>
      </c>
      <c r="B697">
        <v>44</v>
      </c>
      <c r="C697" t="s">
        <v>33</v>
      </c>
      <c r="D697" t="s">
        <v>40</v>
      </c>
      <c r="E697" t="s">
        <v>56</v>
      </c>
      <c r="F697" t="s">
        <v>21</v>
      </c>
      <c r="G697" s="23">
        <v>0.18</v>
      </c>
      <c r="H697" t="s">
        <v>22</v>
      </c>
      <c r="I697" t="s">
        <v>45</v>
      </c>
      <c r="J697" t="s">
        <v>69</v>
      </c>
      <c r="K697" t="s">
        <v>71</v>
      </c>
      <c r="L697" t="s">
        <v>26</v>
      </c>
      <c r="M697" t="s">
        <v>123</v>
      </c>
      <c r="N697" t="s">
        <v>28</v>
      </c>
      <c r="O697">
        <v>0</v>
      </c>
      <c r="P697">
        <v>46107</v>
      </c>
      <c r="Q697">
        <f t="shared" si="12"/>
        <v>4.6107000000000002E-2</v>
      </c>
      <c r="R697">
        <v>43252</v>
      </c>
      <c r="S697" t="s">
        <v>122</v>
      </c>
    </row>
    <row r="698" spans="1:19">
      <c r="A698">
        <v>60000063</v>
      </c>
      <c r="B698">
        <v>37</v>
      </c>
      <c r="C698" t="s">
        <v>33</v>
      </c>
      <c r="D698" t="s">
        <v>40</v>
      </c>
      <c r="E698" t="s">
        <v>52</v>
      </c>
      <c r="F698" t="s">
        <v>21</v>
      </c>
      <c r="G698" s="23">
        <v>0.28999999999999998</v>
      </c>
      <c r="H698" t="s">
        <v>53</v>
      </c>
      <c r="I698" t="s">
        <v>60</v>
      </c>
      <c r="J698" t="s">
        <v>38</v>
      </c>
      <c r="K698" t="s">
        <v>98</v>
      </c>
      <c r="L698" t="s">
        <v>26</v>
      </c>
      <c r="M698" t="s">
        <v>123</v>
      </c>
      <c r="N698" t="s">
        <v>28</v>
      </c>
      <c r="O698">
        <v>5</v>
      </c>
      <c r="P698">
        <v>54603</v>
      </c>
      <c r="Q698">
        <f t="shared" si="12"/>
        <v>5.4602999999999999E-2</v>
      </c>
      <c r="R698">
        <v>43252</v>
      </c>
      <c r="S698" t="s">
        <v>122</v>
      </c>
    </row>
    <row r="699" spans="1:19">
      <c r="A699">
        <v>60000064</v>
      </c>
      <c r="B699">
        <v>20</v>
      </c>
      <c r="C699" t="s">
        <v>33</v>
      </c>
      <c r="D699" t="s">
        <v>40</v>
      </c>
      <c r="E699" t="s">
        <v>85</v>
      </c>
      <c r="F699" t="s">
        <v>21</v>
      </c>
      <c r="G699" s="23">
        <v>0.12</v>
      </c>
      <c r="H699" t="s">
        <v>22</v>
      </c>
      <c r="I699" t="s">
        <v>86</v>
      </c>
      <c r="J699" t="s">
        <v>61</v>
      </c>
      <c r="K699" t="s">
        <v>102</v>
      </c>
      <c r="L699" t="s">
        <v>26</v>
      </c>
      <c r="M699" t="s">
        <v>123</v>
      </c>
      <c r="N699" t="s">
        <v>28</v>
      </c>
      <c r="O699">
        <v>2</v>
      </c>
      <c r="P699">
        <v>76546</v>
      </c>
      <c r="Q699">
        <f t="shared" si="12"/>
        <v>7.6546000000000003E-2</v>
      </c>
      <c r="R699">
        <v>43252</v>
      </c>
      <c r="S699" t="s">
        <v>122</v>
      </c>
    </row>
    <row r="700" spans="1:19">
      <c r="A700">
        <v>60000065</v>
      </c>
      <c r="B700">
        <v>20</v>
      </c>
      <c r="C700" t="s">
        <v>18</v>
      </c>
      <c r="D700" t="s">
        <v>19</v>
      </c>
      <c r="E700" t="s">
        <v>56</v>
      </c>
      <c r="F700" t="s">
        <v>21</v>
      </c>
      <c r="G700" s="23">
        <v>0.14000000000000001</v>
      </c>
      <c r="H700" t="s">
        <v>22</v>
      </c>
      <c r="I700" t="s">
        <v>62</v>
      </c>
      <c r="J700" t="s">
        <v>74</v>
      </c>
      <c r="K700" t="s">
        <v>60</v>
      </c>
      <c r="L700" t="s">
        <v>26</v>
      </c>
      <c r="M700" t="s">
        <v>123</v>
      </c>
      <c r="N700" t="s">
        <v>28</v>
      </c>
      <c r="O700">
        <v>4</v>
      </c>
      <c r="P700">
        <v>51693</v>
      </c>
      <c r="Q700">
        <f t="shared" si="12"/>
        <v>5.1693000000000003E-2</v>
      </c>
      <c r="R700">
        <v>43252</v>
      </c>
      <c r="S700" t="s">
        <v>122</v>
      </c>
    </row>
    <row r="701" spans="1:19">
      <c r="A701">
        <v>60000066</v>
      </c>
      <c r="B701">
        <v>43</v>
      </c>
      <c r="C701" t="s">
        <v>18</v>
      </c>
      <c r="D701" t="s">
        <v>19</v>
      </c>
      <c r="E701" t="s">
        <v>75</v>
      </c>
      <c r="F701" t="s">
        <v>21</v>
      </c>
      <c r="G701" s="23">
        <v>0.21</v>
      </c>
      <c r="H701" t="s">
        <v>29</v>
      </c>
      <c r="I701" t="s">
        <v>83</v>
      </c>
      <c r="J701" t="s">
        <v>54</v>
      </c>
      <c r="K701" t="s">
        <v>77</v>
      </c>
      <c r="L701" t="s">
        <v>26</v>
      </c>
      <c r="M701" t="s">
        <v>123</v>
      </c>
      <c r="N701" t="s">
        <v>28</v>
      </c>
      <c r="O701">
        <v>2</v>
      </c>
      <c r="P701">
        <v>74562</v>
      </c>
      <c r="Q701">
        <f t="shared" si="12"/>
        <v>7.4562000000000003E-2</v>
      </c>
      <c r="R701">
        <v>43252</v>
      </c>
      <c r="S701" t="s">
        <v>122</v>
      </c>
    </row>
    <row r="702" spans="1:19">
      <c r="A702">
        <v>60000067</v>
      </c>
      <c r="B702">
        <v>48</v>
      </c>
      <c r="C702" t="s">
        <v>33</v>
      </c>
      <c r="D702" t="s">
        <v>19</v>
      </c>
      <c r="E702" t="s">
        <v>56</v>
      </c>
      <c r="F702" t="s">
        <v>21</v>
      </c>
      <c r="G702" s="23">
        <v>0.15</v>
      </c>
      <c r="H702" t="s">
        <v>22</v>
      </c>
      <c r="I702" t="s">
        <v>70</v>
      </c>
      <c r="J702" t="s">
        <v>78</v>
      </c>
      <c r="K702" t="s">
        <v>118</v>
      </c>
      <c r="L702" t="s">
        <v>26</v>
      </c>
      <c r="M702" t="s">
        <v>123</v>
      </c>
      <c r="N702" t="s">
        <v>28</v>
      </c>
      <c r="O702">
        <v>0</v>
      </c>
      <c r="P702">
        <v>23033</v>
      </c>
      <c r="Q702">
        <f t="shared" si="12"/>
        <v>2.3033000000000001E-2</v>
      </c>
      <c r="R702">
        <v>43252</v>
      </c>
      <c r="S702" t="s">
        <v>122</v>
      </c>
    </row>
    <row r="703" spans="1:19">
      <c r="A703">
        <v>60000068</v>
      </c>
      <c r="B703">
        <v>57</v>
      </c>
      <c r="C703" t="s">
        <v>33</v>
      </c>
      <c r="D703" t="s">
        <v>40</v>
      </c>
      <c r="E703" t="s">
        <v>67</v>
      </c>
      <c r="F703" t="s">
        <v>21</v>
      </c>
      <c r="G703" s="23">
        <v>0.32</v>
      </c>
      <c r="H703" t="s">
        <v>42</v>
      </c>
      <c r="I703" t="s">
        <v>60</v>
      </c>
      <c r="J703" t="s">
        <v>38</v>
      </c>
      <c r="K703" t="s">
        <v>55</v>
      </c>
      <c r="L703" t="s">
        <v>26</v>
      </c>
      <c r="M703" t="s">
        <v>123</v>
      </c>
      <c r="N703" t="s">
        <v>28</v>
      </c>
      <c r="O703">
        <v>7</v>
      </c>
      <c r="P703">
        <v>49487</v>
      </c>
      <c r="Q703">
        <f t="shared" si="12"/>
        <v>4.9487000000000003E-2</v>
      </c>
      <c r="R703">
        <v>43252</v>
      </c>
      <c r="S703" t="s">
        <v>122</v>
      </c>
    </row>
    <row r="704" spans="1:19">
      <c r="A704">
        <v>60000069</v>
      </c>
      <c r="B704">
        <v>20</v>
      </c>
      <c r="C704" t="s">
        <v>18</v>
      </c>
      <c r="D704" t="s">
        <v>40</v>
      </c>
      <c r="E704" t="s">
        <v>41</v>
      </c>
      <c r="F704" t="s">
        <v>21</v>
      </c>
      <c r="G704" s="23">
        <v>0.13</v>
      </c>
      <c r="H704" t="s">
        <v>22</v>
      </c>
      <c r="I704" t="s">
        <v>37</v>
      </c>
      <c r="J704" t="s">
        <v>66</v>
      </c>
      <c r="K704" t="s">
        <v>116</v>
      </c>
      <c r="L704" t="s">
        <v>26</v>
      </c>
      <c r="M704" t="s">
        <v>123</v>
      </c>
      <c r="N704" t="s">
        <v>28</v>
      </c>
      <c r="O704">
        <v>6</v>
      </c>
      <c r="P704">
        <v>81554</v>
      </c>
      <c r="Q704">
        <f t="shared" si="12"/>
        <v>8.1554000000000001E-2</v>
      </c>
      <c r="R704">
        <v>43252</v>
      </c>
      <c r="S704" t="s">
        <v>122</v>
      </c>
    </row>
    <row r="705" spans="1:19">
      <c r="A705">
        <v>60000070</v>
      </c>
      <c r="B705">
        <v>63</v>
      </c>
      <c r="C705" t="s">
        <v>33</v>
      </c>
      <c r="D705" t="s">
        <v>40</v>
      </c>
      <c r="E705" t="s">
        <v>41</v>
      </c>
      <c r="F705" t="s">
        <v>21</v>
      </c>
      <c r="G705" s="23">
        <v>0.23</v>
      </c>
      <c r="H705" t="s">
        <v>29</v>
      </c>
      <c r="I705" t="s">
        <v>80</v>
      </c>
      <c r="J705" t="s">
        <v>58</v>
      </c>
      <c r="K705" t="s">
        <v>79</v>
      </c>
      <c r="L705" t="s">
        <v>26</v>
      </c>
      <c r="M705" t="s">
        <v>123</v>
      </c>
      <c r="N705" t="s">
        <v>28</v>
      </c>
      <c r="O705">
        <v>0</v>
      </c>
      <c r="P705">
        <v>50937</v>
      </c>
      <c r="Q705">
        <f t="shared" si="12"/>
        <v>5.0937000000000003E-2</v>
      </c>
      <c r="R705">
        <v>43252</v>
      </c>
      <c r="S705" t="s">
        <v>122</v>
      </c>
    </row>
    <row r="706" spans="1:19">
      <c r="A706">
        <v>60000071</v>
      </c>
      <c r="B706">
        <v>54</v>
      </c>
      <c r="C706" t="s">
        <v>18</v>
      </c>
      <c r="D706" t="s">
        <v>19</v>
      </c>
      <c r="E706" t="s">
        <v>72</v>
      </c>
      <c r="F706" t="s">
        <v>21</v>
      </c>
      <c r="G706" s="23">
        <v>0.38</v>
      </c>
      <c r="H706" t="s">
        <v>42</v>
      </c>
      <c r="I706" t="s">
        <v>23</v>
      </c>
      <c r="J706" t="s">
        <v>74</v>
      </c>
      <c r="K706" t="s">
        <v>111</v>
      </c>
      <c r="L706" t="s">
        <v>26</v>
      </c>
      <c r="M706" t="s">
        <v>123</v>
      </c>
      <c r="N706" t="s">
        <v>28</v>
      </c>
      <c r="O706">
        <v>0</v>
      </c>
      <c r="P706">
        <v>50926</v>
      </c>
      <c r="Q706">
        <f t="shared" si="12"/>
        <v>5.0925999999999999E-2</v>
      </c>
      <c r="R706">
        <v>43252</v>
      </c>
      <c r="S706" t="s">
        <v>122</v>
      </c>
    </row>
    <row r="707" spans="1:19">
      <c r="A707">
        <v>60000072</v>
      </c>
      <c r="B707">
        <v>34</v>
      </c>
      <c r="C707" t="s">
        <v>18</v>
      </c>
      <c r="D707" t="s">
        <v>19</v>
      </c>
      <c r="E707" t="s">
        <v>56</v>
      </c>
      <c r="F707" t="s">
        <v>21</v>
      </c>
      <c r="G707" s="23">
        <v>0.2</v>
      </c>
      <c r="H707" t="s">
        <v>29</v>
      </c>
      <c r="I707" t="s">
        <v>30</v>
      </c>
      <c r="J707" t="s">
        <v>78</v>
      </c>
      <c r="K707" t="s">
        <v>71</v>
      </c>
      <c r="L707" t="s">
        <v>26</v>
      </c>
      <c r="M707" t="s">
        <v>123</v>
      </c>
      <c r="N707" t="s">
        <v>28</v>
      </c>
      <c r="O707">
        <v>0</v>
      </c>
      <c r="P707">
        <v>65453</v>
      </c>
      <c r="Q707">
        <f t="shared" si="12"/>
        <v>6.5452999999999997E-2</v>
      </c>
      <c r="R707">
        <v>43252</v>
      </c>
      <c r="S707" t="s">
        <v>122</v>
      </c>
    </row>
    <row r="708" spans="1:19">
      <c r="A708">
        <v>60000073</v>
      </c>
      <c r="B708">
        <v>26</v>
      </c>
      <c r="C708" t="s">
        <v>33</v>
      </c>
      <c r="D708" t="s">
        <v>40</v>
      </c>
      <c r="E708" t="s">
        <v>52</v>
      </c>
      <c r="F708" t="s">
        <v>21</v>
      </c>
      <c r="G708" s="23">
        <v>0.15</v>
      </c>
      <c r="H708" t="s">
        <v>22</v>
      </c>
      <c r="I708" t="s">
        <v>80</v>
      </c>
      <c r="J708" t="s">
        <v>78</v>
      </c>
      <c r="K708" t="s">
        <v>109</v>
      </c>
      <c r="L708" t="s">
        <v>26</v>
      </c>
      <c r="M708" t="s">
        <v>123</v>
      </c>
      <c r="N708" t="s">
        <v>28</v>
      </c>
      <c r="O708">
        <v>4</v>
      </c>
      <c r="P708">
        <v>60126</v>
      </c>
      <c r="Q708">
        <f t="shared" si="12"/>
        <v>6.0125999999999999E-2</v>
      </c>
      <c r="R708">
        <v>43252</v>
      </c>
      <c r="S708" t="s">
        <v>122</v>
      </c>
    </row>
    <row r="709" spans="1:19">
      <c r="A709">
        <v>60000074</v>
      </c>
      <c r="B709">
        <v>40</v>
      </c>
      <c r="C709" t="s">
        <v>18</v>
      </c>
      <c r="D709" t="s">
        <v>19</v>
      </c>
      <c r="E709" t="s">
        <v>64</v>
      </c>
      <c r="F709" t="s">
        <v>21</v>
      </c>
      <c r="G709" s="23">
        <v>0.13</v>
      </c>
      <c r="H709" t="s">
        <v>22</v>
      </c>
      <c r="I709" t="s">
        <v>80</v>
      </c>
      <c r="J709" t="s">
        <v>31</v>
      </c>
      <c r="K709" t="s">
        <v>94</v>
      </c>
      <c r="L709" t="s">
        <v>26</v>
      </c>
      <c r="M709" t="s">
        <v>123</v>
      </c>
      <c r="N709" t="s">
        <v>28</v>
      </c>
      <c r="O709">
        <v>0</v>
      </c>
      <c r="P709">
        <v>23711</v>
      </c>
      <c r="Q709">
        <f t="shared" si="12"/>
        <v>2.3710999999999999E-2</v>
      </c>
      <c r="R709">
        <v>43252</v>
      </c>
      <c r="S709" t="s">
        <v>122</v>
      </c>
    </row>
    <row r="710" spans="1:19">
      <c r="A710">
        <v>60000075</v>
      </c>
      <c r="B710">
        <v>57</v>
      </c>
      <c r="C710" t="s">
        <v>33</v>
      </c>
      <c r="D710" t="s">
        <v>19</v>
      </c>
      <c r="E710" t="s">
        <v>72</v>
      </c>
      <c r="F710" t="s">
        <v>21</v>
      </c>
      <c r="G710" s="23">
        <v>0.33</v>
      </c>
      <c r="H710" t="s">
        <v>42</v>
      </c>
      <c r="I710" t="s">
        <v>62</v>
      </c>
      <c r="J710" t="s">
        <v>66</v>
      </c>
      <c r="K710" t="s">
        <v>118</v>
      </c>
      <c r="L710" t="s">
        <v>26</v>
      </c>
      <c r="M710" t="s">
        <v>123</v>
      </c>
      <c r="N710" t="s">
        <v>28</v>
      </c>
      <c r="O710">
        <v>0</v>
      </c>
      <c r="P710">
        <v>77308</v>
      </c>
      <c r="Q710">
        <f t="shared" si="12"/>
        <v>7.7308000000000002E-2</v>
      </c>
      <c r="R710">
        <v>43252</v>
      </c>
      <c r="S710" t="s">
        <v>122</v>
      </c>
    </row>
    <row r="711" spans="1:19">
      <c r="A711">
        <v>60000076</v>
      </c>
      <c r="B711">
        <v>21</v>
      </c>
      <c r="C711" t="s">
        <v>18</v>
      </c>
      <c r="D711" t="s">
        <v>40</v>
      </c>
      <c r="E711" t="s">
        <v>41</v>
      </c>
      <c r="F711" t="s">
        <v>21</v>
      </c>
      <c r="G711" s="23">
        <v>0.1</v>
      </c>
      <c r="H711" t="s">
        <v>36</v>
      </c>
      <c r="I711" t="s">
        <v>62</v>
      </c>
      <c r="J711" t="s">
        <v>91</v>
      </c>
      <c r="K711" t="s">
        <v>55</v>
      </c>
      <c r="L711" t="s">
        <v>26</v>
      </c>
      <c r="M711" t="s">
        <v>123</v>
      </c>
      <c r="N711" t="s">
        <v>28</v>
      </c>
      <c r="O711">
        <v>0</v>
      </c>
      <c r="P711">
        <v>34801</v>
      </c>
      <c r="Q711">
        <f t="shared" si="12"/>
        <v>3.4800999999999999E-2</v>
      </c>
      <c r="R711">
        <v>43252</v>
      </c>
      <c r="S711" t="s">
        <v>122</v>
      </c>
    </row>
    <row r="712" spans="1:19">
      <c r="A712">
        <v>60000077</v>
      </c>
      <c r="B712">
        <v>27</v>
      </c>
      <c r="C712" t="s">
        <v>33</v>
      </c>
      <c r="D712" t="s">
        <v>40</v>
      </c>
      <c r="E712" t="s">
        <v>52</v>
      </c>
      <c r="F712" t="s">
        <v>21</v>
      </c>
      <c r="G712" s="23">
        <v>0.16</v>
      </c>
      <c r="H712" t="s">
        <v>22</v>
      </c>
      <c r="I712" t="s">
        <v>37</v>
      </c>
      <c r="J712" t="s">
        <v>91</v>
      </c>
      <c r="K712" t="s">
        <v>60</v>
      </c>
      <c r="L712" t="s">
        <v>26</v>
      </c>
      <c r="M712" t="s">
        <v>123</v>
      </c>
      <c r="N712" t="s">
        <v>28</v>
      </c>
      <c r="O712">
        <v>2</v>
      </c>
      <c r="P712">
        <v>79253</v>
      </c>
      <c r="Q712">
        <f t="shared" si="12"/>
        <v>7.9253000000000004E-2</v>
      </c>
      <c r="R712">
        <v>43252</v>
      </c>
      <c r="S712" t="s">
        <v>122</v>
      </c>
    </row>
    <row r="713" spans="1:19">
      <c r="A713">
        <v>60000078</v>
      </c>
      <c r="B713">
        <v>59</v>
      </c>
      <c r="C713" t="s">
        <v>33</v>
      </c>
      <c r="D713" t="s">
        <v>40</v>
      </c>
      <c r="E713" t="s">
        <v>34</v>
      </c>
      <c r="F713" t="s">
        <v>21</v>
      </c>
      <c r="G713" s="23">
        <v>0.38</v>
      </c>
      <c r="H713" t="s">
        <v>42</v>
      </c>
      <c r="I713" t="s">
        <v>76</v>
      </c>
      <c r="J713" t="s">
        <v>66</v>
      </c>
      <c r="K713" t="s">
        <v>81</v>
      </c>
      <c r="L713" t="s">
        <v>26</v>
      </c>
      <c r="M713" t="s">
        <v>123</v>
      </c>
      <c r="N713" t="s">
        <v>28</v>
      </c>
      <c r="O713">
        <v>0</v>
      </c>
      <c r="P713">
        <v>74467</v>
      </c>
      <c r="Q713">
        <f t="shared" si="12"/>
        <v>7.4467000000000005E-2</v>
      </c>
      <c r="R713">
        <v>43252</v>
      </c>
      <c r="S713" t="s">
        <v>122</v>
      </c>
    </row>
    <row r="714" spans="1:19">
      <c r="A714">
        <v>60000079</v>
      </c>
      <c r="B714">
        <v>50</v>
      </c>
      <c r="C714" t="s">
        <v>33</v>
      </c>
      <c r="D714" t="s">
        <v>40</v>
      </c>
      <c r="E714" t="s">
        <v>72</v>
      </c>
      <c r="F714" t="s">
        <v>21</v>
      </c>
      <c r="G714" s="23">
        <v>0.31</v>
      </c>
      <c r="H714" t="s">
        <v>53</v>
      </c>
      <c r="I714" t="s">
        <v>73</v>
      </c>
      <c r="J714" t="s">
        <v>58</v>
      </c>
      <c r="K714" t="s">
        <v>25</v>
      </c>
      <c r="L714" t="s">
        <v>26</v>
      </c>
      <c r="M714" t="s">
        <v>123</v>
      </c>
      <c r="N714" t="s">
        <v>28</v>
      </c>
      <c r="O714">
        <v>0</v>
      </c>
      <c r="P714">
        <v>71270</v>
      </c>
      <c r="Q714">
        <f t="shared" si="12"/>
        <v>7.127E-2</v>
      </c>
      <c r="R714">
        <v>43252</v>
      </c>
      <c r="S714" t="s">
        <v>122</v>
      </c>
    </row>
    <row r="715" spans="1:19">
      <c r="A715">
        <v>60000080</v>
      </c>
      <c r="B715">
        <v>51</v>
      </c>
      <c r="C715" t="s">
        <v>33</v>
      </c>
      <c r="D715" t="s">
        <v>19</v>
      </c>
      <c r="E715" t="s">
        <v>85</v>
      </c>
      <c r="F715" t="s">
        <v>21</v>
      </c>
      <c r="G715" s="23">
        <v>0.35</v>
      </c>
      <c r="H715" t="s">
        <v>42</v>
      </c>
      <c r="I715" t="s">
        <v>60</v>
      </c>
      <c r="J715" t="s">
        <v>74</v>
      </c>
      <c r="K715" t="s">
        <v>84</v>
      </c>
      <c r="L715" t="s">
        <v>26</v>
      </c>
      <c r="M715" t="s">
        <v>123</v>
      </c>
      <c r="N715" t="s">
        <v>28</v>
      </c>
      <c r="O715">
        <v>0</v>
      </c>
      <c r="P715">
        <v>84560</v>
      </c>
      <c r="Q715">
        <f t="shared" si="12"/>
        <v>8.4559999999999996E-2</v>
      </c>
      <c r="R715">
        <v>43252</v>
      </c>
      <c r="S715" t="s">
        <v>122</v>
      </c>
    </row>
    <row r="716" spans="1:19">
      <c r="A716">
        <v>60000081</v>
      </c>
      <c r="B716">
        <v>44</v>
      </c>
      <c r="C716" t="s">
        <v>33</v>
      </c>
      <c r="D716" t="s">
        <v>19</v>
      </c>
      <c r="E716" t="s">
        <v>44</v>
      </c>
      <c r="F716" t="s">
        <v>21</v>
      </c>
      <c r="G716" s="23">
        <v>0.19</v>
      </c>
      <c r="H716" t="s">
        <v>29</v>
      </c>
      <c r="I716" t="s">
        <v>49</v>
      </c>
      <c r="J716" t="s">
        <v>61</v>
      </c>
      <c r="K716" t="s">
        <v>96</v>
      </c>
      <c r="L716" t="s">
        <v>26</v>
      </c>
      <c r="M716" t="s">
        <v>123</v>
      </c>
      <c r="N716" t="s">
        <v>28</v>
      </c>
      <c r="O716">
        <v>0</v>
      </c>
      <c r="P716">
        <v>67808</v>
      </c>
      <c r="Q716">
        <f t="shared" si="12"/>
        <v>6.7807999999999993E-2</v>
      </c>
      <c r="R716">
        <v>43252</v>
      </c>
      <c r="S716" t="s">
        <v>122</v>
      </c>
    </row>
    <row r="717" spans="1:19">
      <c r="A717">
        <v>60000082</v>
      </c>
      <c r="B717">
        <v>22</v>
      </c>
      <c r="C717" t="s">
        <v>18</v>
      </c>
      <c r="D717" t="s">
        <v>40</v>
      </c>
      <c r="E717" t="s">
        <v>41</v>
      </c>
      <c r="F717" t="s">
        <v>21</v>
      </c>
      <c r="G717" s="23">
        <v>0.13</v>
      </c>
      <c r="H717" t="s">
        <v>22</v>
      </c>
      <c r="I717" t="s">
        <v>23</v>
      </c>
      <c r="J717" t="s">
        <v>46</v>
      </c>
      <c r="K717" t="s">
        <v>95</v>
      </c>
      <c r="L717" t="s">
        <v>26</v>
      </c>
      <c r="M717" t="s">
        <v>123</v>
      </c>
      <c r="N717" t="s">
        <v>28</v>
      </c>
      <c r="O717">
        <v>0</v>
      </c>
      <c r="P717">
        <v>35771</v>
      </c>
      <c r="Q717">
        <f t="shared" si="12"/>
        <v>3.5770999999999997E-2</v>
      </c>
      <c r="R717">
        <v>43252</v>
      </c>
      <c r="S717" t="s">
        <v>122</v>
      </c>
    </row>
    <row r="718" spans="1:19">
      <c r="A718">
        <v>60000083</v>
      </c>
      <c r="B718">
        <v>30</v>
      </c>
      <c r="C718" t="s">
        <v>18</v>
      </c>
      <c r="D718" t="s">
        <v>40</v>
      </c>
      <c r="E718" t="s">
        <v>34</v>
      </c>
      <c r="F718" t="s">
        <v>21</v>
      </c>
      <c r="G718" s="23">
        <v>0.17</v>
      </c>
      <c r="H718" t="s">
        <v>22</v>
      </c>
      <c r="I718" t="s">
        <v>49</v>
      </c>
      <c r="J718" t="s">
        <v>38</v>
      </c>
      <c r="K718" t="s">
        <v>97</v>
      </c>
      <c r="L718" t="s">
        <v>26</v>
      </c>
      <c r="M718" t="s">
        <v>123</v>
      </c>
      <c r="N718" t="s">
        <v>28</v>
      </c>
      <c r="O718">
        <v>0</v>
      </c>
      <c r="P718">
        <v>28257</v>
      </c>
      <c r="Q718">
        <f t="shared" si="12"/>
        <v>2.8257000000000001E-2</v>
      </c>
      <c r="R718">
        <v>43252</v>
      </c>
      <c r="S718" t="s">
        <v>122</v>
      </c>
    </row>
    <row r="719" spans="1:19">
      <c r="A719">
        <v>60000084</v>
      </c>
      <c r="B719">
        <v>52</v>
      </c>
      <c r="C719" t="s">
        <v>33</v>
      </c>
      <c r="D719" t="s">
        <v>19</v>
      </c>
      <c r="E719" t="s">
        <v>64</v>
      </c>
      <c r="F719" t="s">
        <v>21</v>
      </c>
      <c r="G719" s="23">
        <v>0.12</v>
      </c>
      <c r="H719" t="s">
        <v>22</v>
      </c>
      <c r="I719" t="s">
        <v>45</v>
      </c>
      <c r="J719" t="s">
        <v>46</v>
      </c>
      <c r="K719" t="s">
        <v>79</v>
      </c>
      <c r="L719" t="s">
        <v>26</v>
      </c>
      <c r="M719" t="s">
        <v>123</v>
      </c>
      <c r="N719" t="s">
        <v>28</v>
      </c>
      <c r="O719">
        <v>0</v>
      </c>
      <c r="P719">
        <v>65096</v>
      </c>
      <c r="Q719">
        <f t="shared" si="12"/>
        <v>6.5096000000000001E-2</v>
      </c>
      <c r="R719">
        <v>43252</v>
      </c>
      <c r="S719" t="s">
        <v>122</v>
      </c>
    </row>
    <row r="720" spans="1:19">
      <c r="A720">
        <v>60000085</v>
      </c>
      <c r="B720">
        <v>51</v>
      </c>
      <c r="C720" t="s">
        <v>33</v>
      </c>
      <c r="D720" t="s">
        <v>40</v>
      </c>
      <c r="E720" t="s">
        <v>75</v>
      </c>
      <c r="F720" t="s">
        <v>21</v>
      </c>
      <c r="G720" s="23">
        <v>0.27</v>
      </c>
      <c r="H720" t="s">
        <v>53</v>
      </c>
      <c r="I720" t="s">
        <v>60</v>
      </c>
      <c r="J720" t="s">
        <v>74</v>
      </c>
      <c r="K720" t="s">
        <v>105</v>
      </c>
      <c r="L720" t="s">
        <v>26</v>
      </c>
      <c r="M720" t="s">
        <v>123</v>
      </c>
      <c r="N720" t="s">
        <v>28</v>
      </c>
      <c r="O720">
        <v>0</v>
      </c>
      <c r="P720">
        <v>46817</v>
      </c>
      <c r="Q720">
        <f t="shared" si="12"/>
        <v>4.6816999999999998E-2</v>
      </c>
      <c r="R720">
        <v>43252</v>
      </c>
      <c r="S720" t="s">
        <v>122</v>
      </c>
    </row>
    <row r="721" spans="1:19">
      <c r="A721">
        <v>60000086</v>
      </c>
      <c r="B721">
        <v>60</v>
      </c>
      <c r="C721" t="s">
        <v>33</v>
      </c>
      <c r="D721" t="s">
        <v>19</v>
      </c>
      <c r="E721" t="s">
        <v>75</v>
      </c>
      <c r="F721" t="s">
        <v>21</v>
      </c>
      <c r="G721" s="23">
        <v>0.17</v>
      </c>
      <c r="H721" t="s">
        <v>22</v>
      </c>
      <c r="I721" t="s">
        <v>68</v>
      </c>
      <c r="J721" t="s">
        <v>31</v>
      </c>
      <c r="K721" t="s">
        <v>115</v>
      </c>
      <c r="L721" t="s">
        <v>26</v>
      </c>
      <c r="M721" t="s">
        <v>123</v>
      </c>
      <c r="N721" t="s">
        <v>28</v>
      </c>
      <c r="O721">
        <v>3</v>
      </c>
      <c r="P721">
        <v>70068</v>
      </c>
      <c r="Q721">
        <f t="shared" si="12"/>
        <v>7.0068000000000005E-2</v>
      </c>
      <c r="R721">
        <v>43252</v>
      </c>
      <c r="S721" t="s">
        <v>122</v>
      </c>
    </row>
    <row r="722" spans="1:19">
      <c r="A722">
        <v>60000087</v>
      </c>
      <c r="B722">
        <v>40</v>
      </c>
      <c r="C722" t="s">
        <v>18</v>
      </c>
      <c r="D722" t="s">
        <v>40</v>
      </c>
      <c r="E722" t="s">
        <v>52</v>
      </c>
      <c r="F722" t="s">
        <v>21</v>
      </c>
      <c r="G722" s="23">
        <v>0.26</v>
      </c>
      <c r="H722" t="s">
        <v>53</v>
      </c>
      <c r="I722" t="s">
        <v>60</v>
      </c>
      <c r="J722" t="s">
        <v>69</v>
      </c>
      <c r="K722" t="s">
        <v>109</v>
      </c>
      <c r="L722" t="s">
        <v>26</v>
      </c>
      <c r="M722" t="s">
        <v>123</v>
      </c>
      <c r="N722" t="s">
        <v>28</v>
      </c>
      <c r="O722">
        <v>0</v>
      </c>
      <c r="P722">
        <v>64035</v>
      </c>
      <c r="Q722">
        <f t="shared" si="12"/>
        <v>6.4034999999999995E-2</v>
      </c>
      <c r="R722">
        <v>43252</v>
      </c>
      <c r="S722" t="s">
        <v>122</v>
      </c>
    </row>
    <row r="723" spans="1:19">
      <c r="A723">
        <v>60000088</v>
      </c>
      <c r="B723">
        <v>48</v>
      </c>
      <c r="C723" t="s">
        <v>18</v>
      </c>
      <c r="D723" t="s">
        <v>40</v>
      </c>
      <c r="E723" t="s">
        <v>44</v>
      </c>
      <c r="F723" t="s">
        <v>21</v>
      </c>
      <c r="G723" s="23">
        <v>0.26</v>
      </c>
      <c r="H723" t="s">
        <v>53</v>
      </c>
      <c r="I723" t="s">
        <v>73</v>
      </c>
      <c r="J723" t="s">
        <v>66</v>
      </c>
      <c r="K723" t="s">
        <v>77</v>
      </c>
      <c r="L723" t="s">
        <v>26</v>
      </c>
      <c r="M723" t="s">
        <v>123</v>
      </c>
      <c r="N723" t="s">
        <v>28</v>
      </c>
      <c r="O723">
        <v>0</v>
      </c>
      <c r="P723">
        <v>59746</v>
      </c>
      <c r="Q723">
        <f t="shared" si="12"/>
        <v>5.9746E-2</v>
      </c>
      <c r="R723">
        <v>43252</v>
      </c>
      <c r="S723" t="s">
        <v>122</v>
      </c>
    </row>
    <row r="724" spans="1:19">
      <c r="A724">
        <v>60000089</v>
      </c>
      <c r="B724">
        <v>32</v>
      </c>
      <c r="C724" t="s">
        <v>18</v>
      </c>
      <c r="D724" t="s">
        <v>40</v>
      </c>
      <c r="E724" t="s">
        <v>75</v>
      </c>
      <c r="F724" t="s">
        <v>21</v>
      </c>
      <c r="G724" s="23">
        <v>0.38</v>
      </c>
      <c r="H724" t="s">
        <v>42</v>
      </c>
      <c r="I724" t="s">
        <v>49</v>
      </c>
      <c r="J724" t="s">
        <v>91</v>
      </c>
      <c r="K724" t="s">
        <v>118</v>
      </c>
      <c r="L724" t="s">
        <v>26</v>
      </c>
      <c r="M724" t="s">
        <v>123</v>
      </c>
      <c r="N724" t="s">
        <v>28</v>
      </c>
      <c r="O724">
        <v>0</v>
      </c>
      <c r="P724">
        <v>65443</v>
      </c>
      <c r="Q724">
        <f t="shared" si="12"/>
        <v>6.5443000000000001E-2</v>
      </c>
      <c r="R724">
        <v>43252</v>
      </c>
      <c r="S724" t="s">
        <v>122</v>
      </c>
    </row>
    <row r="725" spans="1:19">
      <c r="A725">
        <v>60000090</v>
      </c>
      <c r="B725">
        <v>65</v>
      </c>
      <c r="C725" t="s">
        <v>33</v>
      </c>
      <c r="D725" t="s">
        <v>19</v>
      </c>
      <c r="E725" t="s">
        <v>75</v>
      </c>
      <c r="F725" t="s">
        <v>21</v>
      </c>
      <c r="G725" s="23">
        <v>0.28999999999999998</v>
      </c>
      <c r="H725" t="s">
        <v>53</v>
      </c>
      <c r="I725" t="s">
        <v>37</v>
      </c>
      <c r="J725" t="s">
        <v>46</v>
      </c>
      <c r="K725" t="s">
        <v>99</v>
      </c>
      <c r="L725" t="s">
        <v>26</v>
      </c>
      <c r="M725" t="s">
        <v>123</v>
      </c>
      <c r="N725" t="s">
        <v>28</v>
      </c>
      <c r="O725">
        <v>7</v>
      </c>
      <c r="P725">
        <v>77471</v>
      </c>
      <c r="Q725">
        <f t="shared" si="12"/>
        <v>7.7470999999999998E-2</v>
      </c>
      <c r="R725">
        <v>43252</v>
      </c>
      <c r="S725" t="s">
        <v>122</v>
      </c>
    </row>
    <row r="726" spans="1:19">
      <c r="A726">
        <v>60000091</v>
      </c>
      <c r="B726">
        <v>62</v>
      </c>
      <c r="C726" t="s">
        <v>33</v>
      </c>
      <c r="D726" t="s">
        <v>19</v>
      </c>
      <c r="E726" t="s">
        <v>75</v>
      </c>
      <c r="F726" t="s">
        <v>21</v>
      </c>
      <c r="G726" s="23">
        <v>0.13</v>
      </c>
      <c r="H726" t="s">
        <v>22</v>
      </c>
      <c r="I726" t="s">
        <v>70</v>
      </c>
      <c r="J726" t="s">
        <v>88</v>
      </c>
      <c r="K726" t="s">
        <v>101</v>
      </c>
      <c r="L726" t="s">
        <v>26</v>
      </c>
      <c r="M726" t="s">
        <v>123</v>
      </c>
      <c r="N726" t="s">
        <v>28</v>
      </c>
      <c r="O726">
        <v>1</v>
      </c>
      <c r="P726">
        <v>62047</v>
      </c>
      <c r="Q726">
        <f t="shared" si="12"/>
        <v>6.2046999999999998E-2</v>
      </c>
      <c r="R726">
        <v>43252</v>
      </c>
      <c r="S726" t="s">
        <v>122</v>
      </c>
    </row>
    <row r="727" spans="1:19">
      <c r="A727">
        <v>60000092</v>
      </c>
      <c r="B727">
        <v>49</v>
      </c>
      <c r="C727" t="s">
        <v>18</v>
      </c>
      <c r="D727" t="s">
        <v>40</v>
      </c>
      <c r="E727" t="s">
        <v>64</v>
      </c>
      <c r="F727" t="s">
        <v>21</v>
      </c>
      <c r="G727" s="23">
        <v>0.35</v>
      </c>
      <c r="H727" t="s">
        <v>42</v>
      </c>
      <c r="I727" t="s">
        <v>68</v>
      </c>
      <c r="J727" t="s">
        <v>74</v>
      </c>
      <c r="K727" t="s">
        <v>60</v>
      </c>
      <c r="L727" t="s">
        <v>26</v>
      </c>
      <c r="M727" t="s">
        <v>123</v>
      </c>
      <c r="N727" t="s">
        <v>28</v>
      </c>
      <c r="O727">
        <v>3</v>
      </c>
      <c r="P727">
        <v>72608</v>
      </c>
      <c r="Q727">
        <f t="shared" si="12"/>
        <v>7.2608000000000006E-2</v>
      </c>
      <c r="R727">
        <v>43252</v>
      </c>
      <c r="S727" t="s">
        <v>122</v>
      </c>
    </row>
    <row r="728" spans="1:19">
      <c r="A728">
        <v>60000093</v>
      </c>
      <c r="B728">
        <v>33</v>
      </c>
      <c r="C728" t="s">
        <v>18</v>
      </c>
      <c r="D728" t="s">
        <v>19</v>
      </c>
      <c r="E728" t="s">
        <v>64</v>
      </c>
      <c r="F728" t="s">
        <v>21</v>
      </c>
      <c r="G728" s="23">
        <v>0.35</v>
      </c>
      <c r="H728" t="s">
        <v>42</v>
      </c>
      <c r="I728" t="s">
        <v>62</v>
      </c>
      <c r="J728" t="s">
        <v>38</v>
      </c>
      <c r="K728" t="s">
        <v>111</v>
      </c>
      <c r="L728" t="s">
        <v>26</v>
      </c>
      <c r="M728" t="s">
        <v>123</v>
      </c>
      <c r="N728" t="s">
        <v>28</v>
      </c>
      <c r="O728">
        <v>6</v>
      </c>
      <c r="P728">
        <v>33947</v>
      </c>
      <c r="Q728">
        <f t="shared" si="12"/>
        <v>3.3946999999999998E-2</v>
      </c>
      <c r="R728">
        <v>43252</v>
      </c>
      <c r="S728" t="s">
        <v>122</v>
      </c>
    </row>
    <row r="729" spans="1:19">
      <c r="A729">
        <v>60000094</v>
      </c>
      <c r="B729">
        <v>37</v>
      </c>
      <c r="C729" t="s">
        <v>18</v>
      </c>
      <c r="D729" t="s">
        <v>19</v>
      </c>
      <c r="E729" t="s">
        <v>85</v>
      </c>
      <c r="F729" t="s">
        <v>21</v>
      </c>
      <c r="G729" s="23">
        <v>0.25</v>
      </c>
      <c r="H729" t="s">
        <v>53</v>
      </c>
      <c r="I729" t="s">
        <v>60</v>
      </c>
      <c r="J729" t="s">
        <v>61</v>
      </c>
      <c r="K729" t="s">
        <v>113</v>
      </c>
      <c r="L729" t="s">
        <v>26</v>
      </c>
      <c r="M729" t="s">
        <v>123</v>
      </c>
      <c r="N729" t="s">
        <v>28</v>
      </c>
      <c r="O729">
        <v>6</v>
      </c>
      <c r="P729">
        <v>37975</v>
      </c>
      <c r="Q729">
        <f t="shared" ref="Q729:Q792" si="13">+P729/1000000</f>
        <v>3.7975000000000002E-2</v>
      </c>
      <c r="R729">
        <v>43252</v>
      </c>
      <c r="S729" t="s">
        <v>122</v>
      </c>
    </row>
    <row r="730" spans="1:19">
      <c r="A730">
        <v>60000095</v>
      </c>
      <c r="B730">
        <v>23</v>
      </c>
      <c r="C730" t="s">
        <v>18</v>
      </c>
      <c r="D730" t="s">
        <v>19</v>
      </c>
      <c r="E730" t="s">
        <v>44</v>
      </c>
      <c r="F730" t="s">
        <v>21</v>
      </c>
      <c r="G730" s="23">
        <v>0.12</v>
      </c>
      <c r="H730" t="s">
        <v>22</v>
      </c>
      <c r="I730" t="s">
        <v>45</v>
      </c>
      <c r="J730" t="s">
        <v>74</v>
      </c>
      <c r="K730" t="s">
        <v>39</v>
      </c>
      <c r="L730" t="s">
        <v>26</v>
      </c>
      <c r="M730" t="s">
        <v>123</v>
      </c>
      <c r="N730" t="s">
        <v>28</v>
      </c>
      <c r="O730">
        <v>0</v>
      </c>
      <c r="P730">
        <v>29675</v>
      </c>
      <c r="Q730">
        <f t="shared" si="13"/>
        <v>2.9675E-2</v>
      </c>
      <c r="R730">
        <v>43252</v>
      </c>
      <c r="S730" t="s">
        <v>122</v>
      </c>
    </row>
    <row r="731" spans="1:19">
      <c r="A731">
        <v>60000096</v>
      </c>
      <c r="B731">
        <v>40</v>
      </c>
      <c r="C731" t="s">
        <v>33</v>
      </c>
      <c r="D731" t="s">
        <v>40</v>
      </c>
      <c r="E731" t="s">
        <v>20</v>
      </c>
      <c r="F731" t="s">
        <v>21</v>
      </c>
      <c r="G731" s="23">
        <v>0.31</v>
      </c>
      <c r="H731" t="s">
        <v>53</v>
      </c>
      <c r="I731" t="s">
        <v>68</v>
      </c>
      <c r="J731" t="s">
        <v>58</v>
      </c>
      <c r="K731" t="s">
        <v>25</v>
      </c>
      <c r="L731" t="s">
        <v>26</v>
      </c>
      <c r="M731" t="s">
        <v>123</v>
      </c>
      <c r="N731" t="s">
        <v>28</v>
      </c>
      <c r="O731">
        <v>0</v>
      </c>
      <c r="P731">
        <v>51903</v>
      </c>
      <c r="Q731">
        <f t="shared" si="13"/>
        <v>5.1902999999999998E-2</v>
      </c>
      <c r="R731">
        <v>43252</v>
      </c>
      <c r="S731" t="s">
        <v>122</v>
      </c>
    </row>
    <row r="732" spans="1:19">
      <c r="A732">
        <v>60000097</v>
      </c>
      <c r="B732">
        <v>40</v>
      </c>
      <c r="C732" t="s">
        <v>33</v>
      </c>
      <c r="D732" t="s">
        <v>40</v>
      </c>
      <c r="E732" t="s">
        <v>34</v>
      </c>
      <c r="F732" t="s">
        <v>21</v>
      </c>
      <c r="G732" s="23">
        <v>0.19</v>
      </c>
      <c r="H732" t="s">
        <v>29</v>
      </c>
      <c r="I732" t="s">
        <v>83</v>
      </c>
      <c r="J732" t="s">
        <v>88</v>
      </c>
      <c r="K732" t="s">
        <v>103</v>
      </c>
      <c r="L732" t="s">
        <v>26</v>
      </c>
      <c r="M732" t="s">
        <v>123</v>
      </c>
      <c r="N732" t="s">
        <v>28</v>
      </c>
      <c r="O732">
        <v>0</v>
      </c>
      <c r="P732">
        <v>75407</v>
      </c>
      <c r="Q732">
        <f t="shared" si="13"/>
        <v>7.5407000000000002E-2</v>
      </c>
      <c r="R732">
        <v>43252</v>
      </c>
      <c r="S732" t="s">
        <v>122</v>
      </c>
    </row>
    <row r="733" spans="1:19">
      <c r="A733">
        <v>60000098</v>
      </c>
      <c r="B733">
        <v>62</v>
      </c>
      <c r="C733" t="s">
        <v>33</v>
      </c>
      <c r="D733" t="s">
        <v>40</v>
      </c>
      <c r="E733" t="s">
        <v>72</v>
      </c>
      <c r="F733" t="s">
        <v>21</v>
      </c>
      <c r="G733" s="23">
        <v>0.35</v>
      </c>
      <c r="H733" t="s">
        <v>42</v>
      </c>
      <c r="I733" t="s">
        <v>37</v>
      </c>
      <c r="J733" t="s">
        <v>78</v>
      </c>
      <c r="K733" t="s">
        <v>99</v>
      </c>
      <c r="L733" t="s">
        <v>26</v>
      </c>
      <c r="M733" t="s">
        <v>123</v>
      </c>
      <c r="N733" t="s">
        <v>28</v>
      </c>
      <c r="O733">
        <v>0</v>
      </c>
      <c r="P733">
        <v>53325</v>
      </c>
      <c r="Q733">
        <f t="shared" si="13"/>
        <v>5.3324999999999997E-2</v>
      </c>
      <c r="R733">
        <v>43252</v>
      </c>
      <c r="S733" t="s">
        <v>122</v>
      </c>
    </row>
    <row r="734" spans="1:19">
      <c r="A734">
        <v>60000099</v>
      </c>
      <c r="B734">
        <v>45</v>
      </c>
      <c r="C734" t="s">
        <v>18</v>
      </c>
      <c r="D734" t="s">
        <v>19</v>
      </c>
      <c r="E734" t="s">
        <v>34</v>
      </c>
      <c r="F734" t="s">
        <v>21</v>
      </c>
      <c r="G734" s="23">
        <v>0.36</v>
      </c>
      <c r="H734" t="s">
        <v>42</v>
      </c>
      <c r="I734" t="s">
        <v>68</v>
      </c>
      <c r="J734" t="s">
        <v>74</v>
      </c>
      <c r="K734" t="s">
        <v>92</v>
      </c>
      <c r="L734" t="s">
        <v>26</v>
      </c>
      <c r="M734" t="s">
        <v>123</v>
      </c>
      <c r="N734" t="s">
        <v>28</v>
      </c>
      <c r="O734">
        <v>7</v>
      </c>
      <c r="P734">
        <v>67527</v>
      </c>
      <c r="Q734">
        <f t="shared" si="13"/>
        <v>6.7527000000000004E-2</v>
      </c>
      <c r="R734">
        <v>43252</v>
      </c>
      <c r="S734" t="s">
        <v>122</v>
      </c>
    </row>
    <row r="735" spans="1:19">
      <c r="A735">
        <v>60000100</v>
      </c>
      <c r="B735">
        <v>58</v>
      </c>
      <c r="C735" t="s">
        <v>33</v>
      </c>
      <c r="D735" t="s">
        <v>40</v>
      </c>
      <c r="E735" t="s">
        <v>85</v>
      </c>
      <c r="F735" t="s">
        <v>21</v>
      </c>
      <c r="G735" s="23">
        <v>0.17</v>
      </c>
      <c r="H735" t="s">
        <v>22</v>
      </c>
      <c r="I735" t="s">
        <v>83</v>
      </c>
      <c r="J735" t="s">
        <v>38</v>
      </c>
      <c r="K735" t="s">
        <v>84</v>
      </c>
      <c r="L735" t="s">
        <v>26</v>
      </c>
      <c r="M735" t="s">
        <v>123</v>
      </c>
      <c r="N735" t="s">
        <v>28</v>
      </c>
      <c r="O735">
        <v>5</v>
      </c>
      <c r="P735">
        <v>41676</v>
      </c>
      <c r="Q735">
        <f t="shared" si="13"/>
        <v>4.1675999999999998E-2</v>
      </c>
      <c r="R735">
        <v>43252</v>
      </c>
      <c r="S735" t="s">
        <v>122</v>
      </c>
    </row>
    <row r="736" spans="1:19">
      <c r="A736">
        <v>60000101</v>
      </c>
      <c r="B736">
        <v>28</v>
      </c>
      <c r="C736" t="s">
        <v>33</v>
      </c>
      <c r="D736" t="s">
        <v>19</v>
      </c>
      <c r="E736" t="s">
        <v>67</v>
      </c>
      <c r="F736" t="s">
        <v>21</v>
      </c>
      <c r="G736" s="23">
        <v>0.27</v>
      </c>
      <c r="H736" t="s">
        <v>53</v>
      </c>
      <c r="I736" t="s">
        <v>57</v>
      </c>
      <c r="J736" t="s">
        <v>58</v>
      </c>
      <c r="K736" t="s">
        <v>113</v>
      </c>
      <c r="L736" t="s">
        <v>26</v>
      </c>
      <c r="M736" t="s">
        <v>123</v>
      </c>
      <c r="N736" t="s">
        <v>28</v>
      </c>
      <c r="O736">
        <v>0</v>
      </c>
      <c r="P736">
        <v>83260</v>
      </c>
      <c r="Q736">
        <f t="shared" si="13"/>
        <v>8.3260000000000001E-2</v>
      </c>
      <c r="R736">
        <v>43252</v>
      </c>
      <c r="S736" t="s">
        <v>122</v>
      </c>
    </row>
    <row r="737" spans="1:19">
      <c r="A737">
        <v>60000102</v>
      </c>
      <c r="B737">
        <v>49</v>
      </c>
      <c r="C737" t="s">
        <v>33</v>
      </c>
      <c r="D737" t="s">
        <v>40</v>
      </c>
      <c r="E737" t="s">
        <v>64</v>
      </c>
      <c r="F737" t="s">
        <v>21</v>
      </c>
      <c r="G737" s="23">
        <v>0.28999999999999998</v>
      </c>
      <c r="H737" t="s">
        <v>53</v>
      </c>
      <c r="I737" t="s">
        <v>45</v>
      </c>
      <c r="J737" t="s">
        <v>69</v>
      </c>
      <c r="K737" t="s">
        <v>89</v>
      </c>
      <c r="L737" t="s">
        <v>26</v>
      </c>
      <c r="M737" t="s">
        <v>123</v>
      </c>
      <c r="N737" t="s">
        <v>28</v>
      </c>
      <c r="O737">
        <v>0</v>
      </c>
      <c r="P737">
        <v>42293</v>
      </c>
      <c r="Q737">
        <f t="shared" si="13"/>
        <v>4.2292999999999997E-2</v>
      </c>
      <c r="R737">
        <v>43252</v>
      </c>
      <c r="S737" t="s">
        <v>122</v>
      </c>
    </row>
    <row r="738" spans="1:19">
      <c r="A738">
        <v>60000103</v>
      </c>
      <c r="B738">
        <v>41</v>
      </c>
      <c r="C738" t="s">
        <v>33</v>
      </c>
      <c r="D738" t="s">
        <v>40</v>
      </c>
      <c r="E738" t="s">
        <v>67</v>
      </c>
      <c r="F738" t="s">
        <v>21</v>
      </c>
      <c r="G738" s="23">
        <v>0.23</v>
      </c>
      <c r="H738" t="s">
        <v>29</v>
      </c>
      <c r="I738" t="s">
        <v>30</v>
      </c>
      <c r="J738" t="s">
        <v>38</v>
      </c>
      <c r="K738" t="s">
        <v>39</v>
      </c>
      <c r="L738" t="s">
        <v>26</v>
      </c>
      <c r="M738" t="s">
        <v>123</v>
      </c>
      <c r="N738" t="s">
        <v>28</v>
      </c>
      <c r="O738">
        <v>4</v>
      </c>
      <c r="P738">
        <v>31530</v>
      </c>
      <c r="Q738">
        <f t="shared" si="13"/>
        <v>3.1530000000000002E-2</v>
      </c>
      <c r="R738">
        <v>43252</v>
      </c>
      <c r="S738" t="s">
        <v>122</v>
      </c>
    </row>
    <row r="739" spans="1:19">
      <c r="A739">
        <v>60000104</v>
      </c>
      <c r="B739">
        <v>57</v>
      </c>
      <c r="C739" t="s">
        <v>18</v>
      </c>
      <c r="D739" t="s">
        <v>19</v>
      </c>
      <c r="E739" t="s">
        <v>52</v>
      </c>
      <c r="F739" t="s">
        <v>21</v>
      </c>
      <c r="G739" s="23">
        <v>0.21</v>
      </c>
      <c r="H739" t="s">
        <v>29</v>
      </c>
      <c r="I739" t="s">
        <v>57</v>
      </c>
      <c r="J739" t="s">
        <v>58</v>
      </c>
      <c r="K739" t="s">
        <v>109</v>
      </c>
      <c r="L739" t="s">
        <v>26</v>
      </c>
      <c r="M739" t="s">
        <v>123</v>
      </c>
      <c r="N739" t="s">
        <v>28</v>
      </c>
      <c r="O739">
        <v>0</v>
      </c>
      <c r="P739">
        <v>80431</v>
      </c>
      <c r="Q739">
        <f t="shared" si="13"/>
        <v>8.0431000000000002E-2</v>
      </c>
      <c r="R739">
        <v>43252</v>
      </c>
      <c r="S739" t="s">
        <v>122</v>
      </c>
    </row>
    <row r="740" spans="1:19">
      <c r="A740">
        <v>60000105</v>
      </c>
      <c r="B740">
        <v>56</v>
      </c>
      <c r="C740" t="s">
        <v>18</v>
      </c>
      <c r="D740" t="s">
        <v>19</v>
      </c>
      <c r="E740" t="s">
        <v>44</v>
      </c>
      <c r="F740" t="s">
        <v>21</v>
      </c>
      <c r="G740" s="23">
        <v>0.36</v>
      </c>
      <c r="H740" t="s">
        <v>42</v>
      </c>
      <c r="I740" t="s">
        <v>70</v>
      </c>
      <c r="J740" t="s">
        <v>66</v>
      </c>
      <c r="K740" t="s">
        <v>106</v>
      </c>
      <c r="L740" t="s">
        <v>26</v>
      </c>
      <c r="M740" t="s">
        <v>123</v>
      </c>
      <c r="N740" t="s">
        <v>28</v>
      </c>
      <c r="O740">
        <v>2</v>
      </c>
      <c r="P740">
        <v>27023</v>
      </c>
      <c r="Q740">
        <f t="shared" si="13"/>
        <v>2.7022999999999998E-2</v>
      </c>
      <c r="R740">
        <v>43252</v>
      </c>
      <c r="S740" t="s">
        <v>122</v>
      </c>
    </row>
    <row r="741" spans="1:19">
      <c r="A741">
        <v>60000106</v>
      </c>
      <c r="B741">
        <v>34</v>
      </c>
      <c r="C741" t="s">
        <v>18</v>
      </c>
      <c r="D741" t="s">
        <v>19</v>
      </c>
      <c r="E741" t="s">
        <v>52</v>
      </c>
      <c r="F741" t="s">
        <v>21</v>
      </c>
      <c r="G741" s="23">
        <v>0.11</v>
      </c>
      <c r="H741" t="s">
        <v>36</v>
      </c>
      <c r="I741" t="s">
        <v>62</v>
      </c>
      <c r="J741" t="s">
        <v>74</v>
      </c>
      <c r="K741" t="s">
        <v>108</v>
      </c>
      <c r="L741" t="s">
        <v>26</v>
      </c>
      <c r="M741" t="s">
        <v>123</v>
      </c>
      <c r="N741" t="s">
        <v>28</v>
      </c>
      <c r="O741">
        <v>0</v>
      </c>
      <c r="P741">
        <v>30628</v>
      </c>
      <c r="Q741">
        <f t="shared" si="13"/>
        <v>3.0627999999999999E-2</v>
      </c>
      <c r="R741">
        <v>43252</v>
      </c>
      <c r="S741" t="s">
        <v>122</v>
      </c>
    </row>
    <row r="742" spans="1:19">
      <c r="A742">
        <v>60000107</v>
      </c>
      <c r="B742">
        <v>48</v>
      </c>
      <c r="C742" t="s">
        <v>33</v>
      </c>
      <c r="D742" t="s">
        <v>19</v>
      </c>
      <c r="E742" t="s">
        <v>34</v>
      </c>
      <c r="F742" t="s">
        <v>21</v>
      </c>
      <c r="G742" s="23">
        <v>0.11</v>
      </c>
      <c r="H742" t="s">
        <v>36</v>
      </c>
      <c r="I742" t="s">
        <v>80</v>
      </c>
      <c r="J742" t="s">
        <v>61</v>
      </c>
      <c r="K742" t="s">
        <v>90</v>
      </c>
      <c r="L742" t="s">
        <v>26</v>
      </c>
      <c r="M742" t="s">
        <v>123</v>
      </c>
      <c r="N742" t="s">
        <v>28</v>
      </c>
      <c r="O742">
        <v>7</v>
      </c>
      <c r="P742">
        <v>84173</v>
      </c>
      <c r="Q742">
        <f t="shared" si="13"/>
        <v>8.4172999999999998E-2</v>
      </c>
      <c r="R742">
        <v>43252</v>
      </c>
      <c r="S742" t="s">
        <v>122</v>
      </c>
    </row>
    <row r="743" spans="1:19">
      <c r="A743">
        <v>60000108</v>
      </c>
      <c r="B743">
        <v>63</v>
      </c>
      <c r="C743" t="s">
        <v>33</v>
      </c>
      <c r="D743" t="s">
        <v>19</v>
      </c>
      <c r="E743" t="s">
        <v>85</v>
      </c>
      <c r="F743" t="s">
        <v>21</v>
      </c>
      <c r="G743" s="23">
        <v>0.28000000000000003</v>
      </c>
      <c r="H743" t="s">
        <v>53</v>
      </c>
      <c r="I743" t="s">
        <v>45</v>
      </c>
      <c r="J743" t="s">
        <v>61</v>
      </c>
      <c r="K743" t="s">
        <v>102</v>
      </c>
      <c r="L743" t="s">
        <v>26</v>
      </c>
      <c r="M743" t="s">
        <v>123</v>
      </c>
      <c r="N743" t="s">
        <v>28</v>
      </c>
      <c r="O743">
        <v>4</v>
      </c>
      <c r="P743">
        <v>40057</v>
      </c>
      <c r="Q743">
        <f t="shared" si="13"/>
        <v>4.0057000000000002E-2</v>
      </c>
      <c r="R743">
        <v>43252</v>
      </c>
      <c r="S743" t="s">
        <v>122</v>
      </c>
    </row>
    <row r="744" spans="1:19">
      <c r="A744">
        <v>60000109</v>
      </c>
      <c r="B744">
        <v>20</v>
      </c>
      <c r="C744" t="s">
        <v>33</v>
      </c>
      <c r="D744" t="s">
        <v>40</v>
      </c>
      <c r="E744" t="s">
        <v>75</v>
      </c>
      <c r="F744" t="s">
        <v>21</v>
      </c>
      <c r="G744" s="23">
        <v>0.32</v>
      </c>
      <c r="H744" t="s">
        <v>42</v>
      </c>
      <c r="I744" t="s">
        <v>62</v>
      </c>
      <c r="J744" t="s">
        <v>88</v>
      </c>
      <c r="K744" t="s">
        <v>39</v>
      </c>
      <c r="L744" t="s">
        <v>26</v>
      </c>
      <c r="M744" t="s">
        <v>123</v>
      </c>
      <c r="N744" t="s">
        <v>28</v>
      </c>
      <c r="O744">
        <v>0</v>
      </c>
      <c r="P744">
        <v>31074</v>
      </c>
      <c r="Q744">
        <f t="shared" si="13"/>
        <v>3.1074000000000001E-2</v>
      </c>
      <c r="R744">
        <v>43252</v>
      </c>
      <c r="S744" t="s">
        <v>122</v>
      </c>
    </row>
    <row r="745" spans="1:19">
      <c r="A745">
        <v>60000110</v>
      </c>
      <c r="B745">
        <v>50</v>
      </c>
      <c r="C745" t="s">
        <v>18</v>
      </c>
      <c r="D745" t="s">
        <v>40</v>
      </c>
      <c r="E745" t="s">
        <v>20</v>
      </c>
      <c r="F745" t="s">
        <v>21</v>
      </c>
      <c r="G745" s="23">
        <v>0.35</v>
      </c>
      <c r="H745" t="s">
        <v>42</v>
      </c>
      <c r="I745" t="s">
        <v>80</v>
      </c>
      <c r="J745" t="s">
        <v>91</v>
      </c>
      <c r="K745" t="s">
        <v>114</v>
      </c>
      <c r="L745" t="s">
        <v>26</v>
      </c>
      <c r="M745" t="s">
        <v>123</v>
      </c>
      <c r="N745" t="s">
        <v>28</v>
      </c>
      <c r="O745">
        <v>5</v>
      </c>
      <c r="P745">
        <v>40029</v>
      </c>
      <c r="Q745">
        <f t="shared" si="13"/>
        <v>4.0029000000000002E-2</v>
      </c>
      <c r="R745">
        <v>43252</v>
      </c>
      <c r="S745" t="s">
        <v>122</v>
      </c>
    </row>
    <row r="746" spans="1:19">
      <c r="A746">
        <v>60000111</v>
      </c>
      <c r="B746">
        <v>51</v>
      </c>
      <c r="C746" t="s">
        <v>18</v>
      </c>
      <c r="D746" t="s">
        <v>19</v>
      </c>
      <c r="E746" t="s">
        <v>56</v>
      </c>
      <c r="F746" t="s">
        <v>21</v>
      </c>
      <c r="G746" s="23">
        <v>0.22</v>
      </c>
      <c r="H746" t="s">
        <v>29</v>
      </c>
      <c r="I746" t="s">
        <v>76</v>
      </c>
      <c r="J746" t="s">
        <v>91</v>
      </c>
      <c r="K746" t="s">
        <v>62</v>
      </c>
      <c r="L746" t="s">
        <v>26</v>
      </c>
      <c r="M746" t="s">
        <v>123</v>
      </c>
      <c r="N746" t="s">
        <v>28</v>
      </c>
      <c r="O746">
        <v>0</v>
      </c>
      <c r="P746">
        <v>63650</v>
      </c>
      <c r="Q746">
        <f t="shared" si="13"/>
        <v>6.3649999999999998E-2</v>
      </c>
      <c r="R746">
        <v>43252</v>
      </c>
      <c r="S746" t="s">
        <v>122</v>
      </c>
    </row>
    <row r="747" spans="1:19">
      <c r="A747">
        <v>60000112</v>
      </c>
      <c r="B747">
        <v>63</v>
      </c>
      <c r="C747" t="s">
        <v>18</v>
      </c>
      <c r="D747" t="s">
        <v>40</v>
      </c>
      <c r="E747" t="s">
        <v>34</v>
      </c>
      <c r="F747" t="s">
        <v>21</v>
      </c>
      <c r="G747" s="23">
        <v>0.28000000000000003</v>
      </c>
      <c r="H747" t="s">
        <v>53</v>
      </c>
      <c r="I747" t="s">
        <v>60</v>
      </c>
      <c r="J747" t="s">
        <v>38</v>
      </c>
      <c r="K747" t="s">
        <v>84</v>
      </c>
      <c r="L747" t="s">
        <v>26</v>
      </c>
      <c r="M747" t="s">
        <v>123</v>
      </c>
      <c r="N747" t="s">
        <v>28</v>
      </c>
      <c r="O747">
        <v>0</v>
      </c>
      <c r="P747">
        <v>78866</v>
      </c>
      <c r="Q747">
        <f t="shared" si="13"/>
        <v>7.8866000000000006E-2</v>
      </c>
      <c r="R747">
        <v>43252</v>
      </c>
      <c r="S747" t="s">
        <v>122</v>
      </c>
    </row>
    <row r="748" spans="1:19">
      <c r="A748">
        <v>60000113</v>
      </c>
      <c r="B748">
        <v>53</v>
      </c>
      <c r="C748" t="s">
        <v>33</v>
      </c>
      <c r="D748" t="s">
        <v>40</v>
      </c>
      <c r="E748" t="s">
        <v>20</v>
      </c>
      <c r="F748" t="s">
        <v>21</v>
      </c>
      <c r="G748" s="23">
        <v>0.25</v>
      </c>
      <c r="H748" t="s">
        <v>53</v>
      </c>
      <c r="I748" t="s">
        <v>30</v>
      </c>
      <c r="J748" t="s">
        <v>88</v>
      </c>
      <c r="K748" t="s">
        <v>62</v>
      </c>
      <c r="L748" t="s">
        <v>26</v>
      </c>
      <c r="M748" t="s">
        <v>123</v>
      </c>
      <c r="N748" t="s">
        <v>28</v>
      </c>
      <c r="O748">
        <v>3</v>
      </c>
      <c r="P748">
        <v>51138</v>
      </c>
      <c r="Q748">
        <f t="shared" si="13"/>
        <v>5.1138000000000003E-2</v>
      </c>
      <c r="R748">
        <v>43252</v>
      </c>
      <c r="S748" t="s">
        <v>122</v>
      </c>
    </row>
    <row r="749" spans="1:19">
      <c r="A749">
        <v>60000114</v>
      </c>
      <c r="B749">
        <v>50</v>
      </c>
      <c r="C749" t="s">
        <v>33</v>
      </c>
      <c r="D749" t="s">
        <v>19</v>
      </c>
      <c r="E749" t="s">
        <v>75</v>
      </c>
      <c r="F749" t="s">
        <v>21</v>
      </c>
      <c r="G749" s="23">
        <v>0.19</v>
      </c>
      <c r="H749" t="s">
        <v>29</v>
      </c>
      <c r="I749" t="s">
        <v>70</v>
      </c>
      <c r="J749" t="s">
        <v>91</v>
      </c>
      <c r="K749" t="s">
        <v>117</v>
      </c>
      <c r="L749" t="s">
        <v>26</v>
      </c>
      <c r="M749" t="s">
        <v>123</v>
      </c>
      <c r="N749" t="s">
        <v>28</v>
      </c>
      <c r="O749">
        <v>6</v>
      </c>
      <c r="P749">
        <v>66491</v>
      </c>
      <c r="Q749">
        <f t="shared" si="13"/>
        <v>6.6490999999999995E-2</v>
      </c>
      <c r="R749">
        <v>43252</v>
      </c>
      <c r="S749" t="s">
        <v>122</v>
      </c>
    </row>
    <row r="750" spans="1:19">
      <c r="A750">
        <v>60000115</v>
      </c>
      <c r="B750">
        <v>31</v>
      </c>
      <c r="C750" t="s">
        <v>33</v>
      </c>
      <c r="D750" t="s">
        <v>19</v>
      </c>
      <c r="E750" t="s">
        <v>44</v>
      </c>
      <c r="F750" t="s">
        <v>21</v>
      </c>
      <c r="G750" s="23">
        <v>0.17</v>
      </c>
      <c r="H750" t="s">
        <v>22</v>
      </c>
      <c r="I750" t="s">
        <v>45</v>
      </c>
      <c r="J750" t="s">
        <v>88</v>
      </c>
      <c r="K750" t="s">
        <v>113</v>
      </c>
      <c r="L750" t="s">
        <v>26</v>
      </c>
      <c r="M750" t="s">
        <v>123</v>
      </c>
      <c r="N750" t="s">
        <v>28</v>
      </c>
      <c r="O750">
        <v>3</v>
      </c>
      <c r="P750">
        <v>48516</v>
      </c>
      <c r="Q750">
        <f t="shared" si="13"/>
        <v>4.8515999999999997E-2</v>
      </c>
      <c r="R750">
        <v>43252</v>
      </c>
      <c r="S750" t="s">
        <v>122</v>
      </c>
    </row>
    <row r="751" spans="1:19">
      <c r="A751">
        <v>60000116</v>
      </c>
      <c r="B751">
        <v>36</v>
      </c>
      <c r="C751" t="s">
        <v>18</v>
      </c>
      <c r="D751" t="s">
        <v>40</v>
      </c>
      <c r="E751" t="s">
        <v>72</v>
      </c>
      <c r="F751" t="s">
        <v>21</v>
      </c>
      <c r="G751" s="23">
        <v>0.23</v>
      </c>
      <c r="H751" t="s">
        <v>29</v>
      </c>
      <c r="I751" t="s">
        <v>80</v>
      </c>
      <c r="J751" t="s">
        <v>61</v>
      </c>
      <c r="K751" t="s">
        <v>97</v>
      </c>
      <c r="L751" t="s">
        <v>26</v>
      </c>
      <c r="M751" t="s">
        <v>123</v>
      </c>
      <c r="N751" t="s">
        <v>28</v>
      </c>
      <c r="O751">
        <v>0</v>
      </c>
      <c r="P751">
        <v>58625</v>
      </c>
      <c r="Q751">
        <f t="shared" si="13"/>
        <v>5.8624999999999997E-2</v>
      </c>
      <c r="R751">
        <v>43252</v>
      </c>
      <c r="S751" t="s">
        <v>122</v>
      </c>
    </row>
    <row r="752" spans="1:19">
      <c r="A752">
        <v>60000117</v>
      </c>
      <c r="B752">
        <v>38</v>
      </c>
      <c r="C752" t="s">
        <v>33</v>
      </c>
      <c r="D752" t="s">
        <v>19</v>
      </c>
      <c r="E752" t="s">
        <v>52</v>
      </c>
      <c r="F752" t="s">
        <v>21</v>
      </c>
      <c r="G752" s="23">
        <v>0.2</v>
      </c>
      <c r="H752" t="s">
        <v>29</v>
      </c>
      <c r="I752" t="s">
        <v>76</v>
      </c>
      <c r="J752" t="s">
        <v>54</v>
      </c>
      <c r="K752" t="s">
        <v>97</v>
      </c>
      <c r="L752" t="s">
        <v>26</v>
      </c>
      <c r="M752" t="s">
        <v>123</v>
      </c>
      <c r="N752" t="s">
        <v>28</v>
      </c>
      <c r="O752">
        <v>1</v>
      </c>
      <c r="P752">
        <v>35181</v>
      </c>
      <c r="Q752">
        <f t="shared" si="13"/>
        <v>3.5180999999999997E-2</v>
      </c>
      <c r="R752">
        <v>43252</v>
      </c>
      <c r="S752" t="s">
        <v>122</v>
      </c>
    </row>
    <row r="753" spans="1:19">
      <c r="A753">
        <v>60000118</v>
      </c>
      <c r="B753">
        <v>26</v>
      </c>
      <c r="C753" t="s">
        <v>18</v>
      </c>
      <c r="D753" t="s">
        <v>19</v>
      </c>
      <c r="E753" t="s">
        <v>64</v>
      </c>
      <c r="F753" t="s">
        <v>21</v>
      </c>
      <c r="G753" s="23">
        <v>0.28000000000000003</v>
      </c>
      <c r="H753" t="s">
        <v>53</v>
      </c>
      <c r="I753" t="s">
        <v>83</v>
      </c>
      <c r="J753" t="s">
        <v>66</v>
      </c>
      <c r="K753" t="s">
        <v>43</v>
      </c>
      <c r="L753" t="s">
        <v>26</v>
      </c>
      <c r="M753" t="s">
        <v>123</v>
      </c>
      <c r="N753" t="s">
        <v>28</v>
      </c>
      <c r="O753">
        <v>0</v>
      </c>
      <c r="P753">
        <v>30585</v>
      </c>
      <c r="Q753">
        <f t="shared" si="13"/>
        <v>3.0585000000000001E-2</v>
      </c>
      <c r="R753">
        <v>43252</v>
      </c>
      <c r="S753" t="s">
        <v>122</v>
      </c>
    </row>
    <row r="754" spans="1:19">
      <c r="A754">
        <v>60000119</v>
      </c>
      <c r="B754">
        <v>34</v>
      </c>
      <c r="C754" t="s">
        <v>18</v>
      </c>
      <c r="D754" t="s">
        <v>40</v>
      </c>
      <c r="E754" t="s">
        <v>48</v>
      </c>
      <c r="F754" t="s">
        <v>21</v>
      </c>
      <c r="G754" s="23">
        <v>0.37</v>
      </c>
      <c r="H754" t="s">
        <v>42</v>
      </c>
      <c r="I754" t="s">
        <v>23</v>
      </c>
      <c r="J754" t="s">
        <v>54</v>
      </c>
      <c r="K754" t="s">
        <v>104</v>
      </c>
      <c r="L754" t="s">
        <v>26</v>
      </c>
      <c r="M754" t="s">
        <v>123</v>
      </c>
      <c r="N754" t="s">
        <v>28</v>
      </c>
      <c r="O754">
        <v>0</v>
      </c>
      <c r="P754">
        <v>52519</v>
      </c>
      <c r="Q754">
        <f t="shared" si="13"/>
        <v>5.2519000000000003E-2</v>
      </c>
      <c r="R754">
        <v>43252</v>
      </c>
      <c r="S754" t="s">
        <v>122</v>
      </c>
    </row>
    <row r="755" spans="1:19">
      <c r="A755">
        <v>60000120</v>
      </c>
      <c r="B755">
        <v>35</v>
      </c>
      <c r="C755" t="s">
        <v>18</v>
      </c>
      <c r="D755" t="s">
        <v>19</v>
      </c>
      <c r="E755" t="s">
        <v>34</v>
      </c>
      <c r="F755" t="s">
        <v>21</v>
      </c>
      <c r="G755" s="23">
        <v>0.37</v>
      </c>
      <c r="H755" t="s">
        <v>42</v>
      </c>
      <c r="I755" t="s">
        <v>65</v>
      </c>
      <c r="J755" t="s">
        <v>54</v>
      </c>
      <c r="K755" t="s">
        <v>47</v>
      </c>
      <c r="L755" t="s">
        <v>26</v>
      </c>
      <c r="M755" t="s">
        <v>123</v>
      </c>
      <c r="N755" t="s">
        <v>28</v>
      </c>
      <c r="O755">
        <v>0</v>
      </c>
      <c r="P755">
        <v>33470</v>
      </c>
      <c r="Q755">
        <f t="shared" si="13"/>
        <v>3.347E-2</v>
      </c>
      <c r="R755">
        <v>43252</v>
      </c>
      <c r="S755" t="s">
        <v>122</v>
      </c>
    </row>
    <row r="756" spans="1:19">
      <c r="A756">
        <v>60000121</v>
      </c>
      <c r="B756">
        <v>48</v>
      </c>
      <c r="C756" t="s">
        <v>18</v>
      </c>
      <c r="D756" t="s">
        <v>19</v>
      </c>
      <c r="E756" t="s">
        <v>56</v>
      </c>
      <c r="F756" t="s">
        <v>21</v>
      </c>
      <c r="G756" s="23">
        <v>0.2</v>
      </c>
      <c r="H756" t="s">
        <v>29</v>
      </c>
      <c r="I756" t="s">
        <v>70</v>
      </c>
      <c r="J756" t="s">
        <v>31</v>
      </c>
      <c r="K756" t="s">
        <v>111</v>
      </c>
      <c r="L756" t="s">
        <v>26</v>
      </c>
      <c r="M756" t="s">
        <v>123</v>
      </c>
      <c r="N756" t="s">
        <v>28</v>
      </c>
      <c r="O756">
        <v>0</v>
      </c>
      <c r="P756">
        <v>35876</v>
      </c>
      <c r="Q756">
        <f t="shared" si="13"/>
        <v>3.5875999999999998E-2</v>
      </c>
      <c r="R756">
        <v>43252</v>
      </c>
      <c r="S756" t="s">
        <v>122</v>
      </c>
    </row>
    <row r="757" spans="1:19">
      <c r="A757">
        <v>60000122</v>
      </c>
      <c r="B757">
        <v>62</v>
      </c>
      <c r="C757" t="s">
        <v>33</v>
      </c>
      <c r="D757" t="s">
        <v>40</v>
      </c>
      <c r="E757" t="s">
        <v>56</v>
      </c>
      <c r="F757" t="s">
        <v>21</v>
      </c>
      <c r="G757" s="23">
        <v>0.1</v>
      </c>
      <c r="H757" t="s">
        <v>36</v>
      </c>
      <c r="I757" t="s">
        <v>68</v>
      </c>
      <c r="J757" t="s">
        <v>46</v>
      </c>
      <c r="K757" t="s">
        <v>32</v>
      </c>
      <c r="L757" t="s">
        <v>26</v>
      </c>
      <c r="M757" t="s">
        <v>123</v>
      </c>
      <c r="N757" t="s">
        <v>28</v>
      </c>
      <c r="O757">
        <v>0</v>
      </c>
      <c r="P757">
        <v>27806</v>
      </c>
      <c r="Q757">
        <f t="shared" si="13"/>
        <v>2.7806000000000001E-2</v>
      </c>
      <c r="R757">
        <v>43252</v>
      </c>
      <c r="S757" t="s">
        <v>122</v>
      </c>
    </row>
    <row r="758" spans="1:19">
      <c r="A758">
        <v>60000123</v>
      </c>
      <c r="B758">
        <v>63</v>
      </c>
      <c r="C758" t="s">
        <v>33</v>
      </c>
      <c r="D758" t="s">
        <v>19</v>
      </c>
      <c r="E758" t="s">
        <v>48</v>
      </c>
      <c r="F758" t="s">
        <v>21</v>
      </c>
      <c r="G758" s="23">
        <v>0.21</v>
      </c>
      <c r="H758" t="s">
        <v>29</v>
      </c>
      <c r="I758" t="s">
        <v>45</v>
      </c>
      <c r="J758" t="s">
        <v>91</v>
      </c>
      <c r="K758" t="s">
        <v>99</v>
      </c>
      <c r="L758" t="s">
        <v>26</v>
      </c>
      <c r="M758" t="s">
        <v>123</v>
      </c>
      <c r="N758" t="s">
        <v>28</v>
      </c>
      <c r="O758">
        <v>7</v>
      </c>
      <c r="P758">
        <v>63422</v>
      </c>
      <c r="Q758">
        <f t="shared" si="13"/>
        <v>6.3422000000000006E-2</v>
      </c>
      <c r="R758">
        <v>43252</v>
      </c>
      <c r="S758" t="s">
        <v>122</v>
      </c>
    </row>
    <row r="759" spans="1:19">
      <c r="A759">
        <v>60000124</v>
      </c>
      <c r="B759">
        <v>40</v>
      </c>
      <c r="C759" t="s">
        <v>33</v>
      </c>
      <c r="D759" t="s">
        <v>19</v>
      </c>
      <c r="E759" t="s">
        <v>85</v>
      </c>
      <c r="F759" t="s">
        <v>21</v>
      </c>
      <c r="G759" s="23">
        <v>0.21</v>
      </c>
      <c r="H759" t="s">
        <v>29</v>
      </c>
      <c r="I759" t="s">
        <v>70</v>
      </c>
      <c r="J759" t="s">
        <v>66</v>
      </c>
      <c r="K759" t="s">
        <v>100</v>
      </c>
      <c r="L759" t="s">
        <v>26</v>
      </c>
      <c r="M759" t="s">
        <v>123</v>
      </c>
      <c r="N759" t="s">
        <v>28</v>
      </c>
      <c r="O759">
        <v>4</v>
      </c>
      <c r="P759">
        <v>52615</v>
      </c>
      <c r="Q759">
        <f t="shared" si="13"/>
        <v>5.2615000000000002E-2</v>
      </c>
      <c r="R759">
        <v>43252</v>
      </c>
      <c r="S759" t="s">
        <v>122</v>
      </c>
    </row>
    <row r="760" spans="1:19">
      <c r="A760">
        <v>60000125</v>
      </c>
      <c r="B760">
        <v>32</v>
      </c>
      <c r="C760" t="s">
        <v>33</v>
      </c>
      <c r="D760" t="s">
        <v>19</v>
      </c>
      <c r="E760" t="s">
        <v>41</v>
      </c>
      <c r="F760" t="s">
        <v>21</v>
      </c>
      <c r="G760" s="23">
        <v>0.35</v>
      </c>
      <c r="H760" t="s">
        <v>42</v>
      </c>
      <c r="I760" t="s">
        <v>45</v>
      </c>
      <c r="J760" t="s">
        <v>74</v>
      </c>
      <c r="K760" t="s">
        <v>93</v>
      </c>
      <c r="L760" t="s">
        <v>26</v>
      </c>
      <c r="M760" t="s">
        <v>123</v>
      </c>
      <c r="N760" t="s">
        <v>28</v>
      </c>
      <c r="O760">
        <v>0</v>
      </c>
      <c r="P760">
        <v>77731</v>
      </c>
      <c r="Q760">
        <f t="shared" si="13"/>
        <v>7.7730999999999995E-2</v>
      </c>
      <c r="R760">
        <v>43252</v>
      </c>
      <c r="S760" t="s">
        <v>122</v>
      </c>
    </row>
    <row r="761" spans="1:19">
      <c r="A761">
        <v>60000126</v>
      </c>
      <c r="B761">
        <v>54</v>
      </c>
      <c r="C761" t="s">
        <v>33</v>
      </c>
      <c r="D761" t="s">
        <v>40</v>
      </c>
      <c r="E761" t="s">
        <v>75</v>
      </c>
      <c r="F761" t="s">
        <v>21</v>
      </c>
      <c r="G761" s="23">
        <v>0.33</v>
      </c>
      <c r="H761" t="s">
        <v>42</v>
      </c>
      <c r="I761" t="s">
        <v>76</v>
      </c>
      <c r="J761" t="s">
        <v>54</v>
      </c>
      <c r="K761" t="s">
        <v>89</v>
      </c>
      <c r="L761" t="s">
        <v>26</v>
      </c>
      <c r="M761" t="s">
        <v>123</v>
      </c>
      <c r="N761" t="s">
        <v>28</v>
      </c>
      <c r="O761">
        <v>0</v>
      </c>
      <c r="P761">
        <v>58121</v>
      </c>
      <c r="Q761">
        <f t="shared" si="13"/>
        <v>5.8120999999999999E-2</v>
      </c>
      <c r="R761">
        <v>43252</v>
      </c>
      <c r="S761" t="s">
        <v>122</v>
      </c>
    </row>
    <row r="762" spans="1:19">
      <c r="A762">
        <v>60000127</v>
      </c>
      <c r="B762">
        <v>21</v>
      </c>
      <c r="C762" t="s">
        <v>33</v>
      </c>
      <c r="D762" t="s">
        <v>40</v>
      </c>
      <c r="E762" t="s">
        <v>75</v>
      </c>
      <c r="F762" t="s">
        <v>21</v>
      </c>
      <c r="G762" s="23">
        <v>0.23</v>
      </c>
      <c r="H762" t="s">
        <v>29</v>
      </c>
      <c r="I762" t="s">
        <v>30</v>
      </c>
      <c r="J762" t="s">
        <v>24</v>
      </c>
      <c r="K762" t="s">
        <v>62</v>
      </c>
      <c r="L762" t="s">
        <v>26</v>
      </c>
      <c r="M762" t="s">
        <v>123</v>
      </c>
      <c r="N762" t="s">
        <v>28</v>
      </c>
      <c r="O762">
        <v>4</v>
      </c>
      <c r="P762">
        <v>48154</v>
      </c>
      <c r="Q762">
        <f t="shared" si="13"/>
        <v>4.8154000000000002E-2</v>
      </c>
      <c r="R762">
        <v>43252</v>
      </c>
      <c r="S762" t="s">
        <v>122</v>
      </c>
    </row>
    <row r="763" spans="1:19">
      <c r="A763">
        <v>60000128</v>
      </c>
      <c r="B763">
        <v>33</v>
      </c>
      <c r="C763" t="s">
        <v>18</v>
      </c>
      <c r="D763" t="s">
        <v>19</v>
      </c>
      <c r="E763" t="s">
        <v>44</v>
      </c>
      <c r="F763" t="s">
        <v>21</v>
      </c>
      <c r="G763" s="23">
        <v>0.13</v>
      </c>
      <c r="H763" t="s">
        <v>22</v>
      </c>
      <c r="I763" t="s">
        <v>68</v>
      </c>
      <c r="J763" t="s">
        <v>61</v>
      </c>
      <c r="K763" t="s">
        <v>59</v>
      </c>
      <c r="L763" t="s">
        <v>26</v>
      </c>
      <c r="M763" t="s">
        <v>123</v>
      </c>
      <c r="N763" t="s">
        <v>28</v>
      </c>
      <c r="O763">
        <v>4</v>
      </c>
      <c r="P763">
        <v>30044</v>
      </c>
      <c r="Q763">
        <f t="shared" si="13"/>
        <v>3.0044000000000001E-2</v>
      </c>
      <c r="R763">
        <v>43252</v>
      </c>
      <c r="S763" t="s">
        <v>122</v>
      </c>
    </row>
    <row r="764" spans="1:19">
      <c r="A764">
        <v>60000129</v>
      </c>
      <c r="B764">
        <v>41</v>
      </c>
      <c r="C764" t="s">
        <v>33</v>
      </c>
      <c r="D764" t="s">
        <v>40</v>
      </c>
      <c r="E764" t="s">
        <v>72</v>
      </c>
      <c r="F764" t="s">
        <v>21</v>
      </c>
      <c r="G764" s="23">
        <v>0.12</v>
      </c>
      <c r="H764" t="s">
        <v>22</v>
      </c>
      <c r="I764" t="s">
        <v>60</v>
      </c>
      <c r="J764" t="s">
        <v>38</v>
      </c>
      <c r="K764" t="s">
        <v>83</v>
      </c>
      <c r="L764" t="s">
        <v>26</v>
      </c>
      <c r="M764" t="s">
        <v>123</v>
      </c>
      <c r="N764" t="s">
        <v>28</v>
      </c>
      <c r="O764">
        <v>1</v>
      </c>
      <c r="P764">
        <v>70847</v>
      </c>
      <c r="Q764">
        <f t="shared" si="13"/>
        <v>7.0846999999999993E-2</v>
      </c>
      <c r="R764">
        <v>43252</v>
      </c>
      <c r="S764" t="s">
        <v>122</v>
      </c>
    </row>
    <row r="765" spans="1:19">
      <c r="A765">
        <v>60000130</v>
      </c>
      <c r="B765">
        <v>62</v>
      </c>
      <c r="C765" t="s">
        <v>18</v>
      </c>
      <c r="D765" t="s">
        <v>40</v>
      </c>
      <c r="E765" t="s">
        <v>44</v>
      </c>
      <c r="F765" t="s">
        <v>21</v>
      </c>
      <c r="G765" s="23">
        <v>0.15</v>
      </c>
      <c r="H765" t="s">
        <v>22</v>
      </c>
      <c r="I765" t="s">
        <v>37</v>
      </c>
      <c r="J765" t="s">
        <v>54</v>
      </c>
      <c r="K765" t="s">
        <v>25</v>
      </c>
      <c r="L765" t="s">
        <v>26</v>
      </c>
      <c r="M765" t="s">
        <v>123</v>
      </c>
      <c r="N765" t="s">
        <v>28</v>
      </c>
      <c r="O765">
        <v>1</v>
      </c>
      <c r="P765">
        <v>73043</v>
      </c>
      <c r="Q765">
        <f t="shared" si="13"/>
        <v>7.3042999999999997E-2</v>
      </c>
      <c r="R765">
        <v>43252</v>
      </c>
      <c r="S765" t="s">
        <v>122</v>
      </c>
    </row>
    <row r="766" spans="1:19">
      <c r="A766">
        <v>60000131</v>
      </c>
      <c r="B766">
        <v>55</v>
      </c>
      <c r="C766" t="s">
        <v>33</v>
      </c>
      <c r="D766" t="s">
        <v>19</v>
      </c>
      <c r="E766" t="s">
        <v>48</v>
      </c>
      <c r="F766" t="s">
        <v>21</v>
      </c>
      <c r="G766" s="23">
        <v>0.21</v>
      </c>
      <c r="H766" t="s">
        <v>29</v>
      </c>
      <c r="I766" t="s">
        <v>76</v>
      </c>
      <c r="J766" t="s">
        <v>78</v>
      </c>
      <c r="K766" t="s">
        <v>109</v>
      </c>
      <c r="L766" t="s">
        <v>26</v>
      </c>
      <c r="M766" t="s">
        <v>123</v>
      </c>
      <c r="N766" t="s">
        <v>28</v>
      </c>
      <c r="O766">
        <v>0</v>
      </c>
      <c r="P766">
        <v>31925</v>
      </c>
      <c r="Q766">
        <f t="shared" si="13"/>
        <v>3.1925000000000002E-2</v>
      </c>
      <c r="R766">
        <v>43252</v>
      </c>
      <c r="S766" t="s">
        <v>122</v>
      </c>
    </row>
    <row r="767" spans="1:19">
      <c r="A767">
        <v>60000132</v>
      </c>
      <c r="B767">
        <v>60</v>
      </c>
      <c r="C767" t="s">
        <v>33</v>
      </c>
      <c r="D767" t="s">
        <v>19</v>
      </c>
      <c r="E767" t="s">
        <v>41</v>
      </c>
      <c r="F767" t="s">
        <v>21</v>
      </c>
      <c r="G767" s="23">
        <v>0.11</v>
      </c>
      <c r="H767" t="s">
        <v>36</v>
      </c>
      <c r="I767" t="s">
        <v>80</v>
      </c>
      <c r="J767" t="s">
        <v>58</v>
      </c>
      <c r="K767" t="s">
        <v>87</v>
      </c>
      <c r="L767" t="s">
        <v>26</v>
      </c>
      <c r="M767" t="s">
        <v>123</v>
      </c>
      <c r="N767" t="s">
        <v>28</v>
      </c>
      <c r="O767">
        <v>0</v>
      </c>
      <c r="P767">
        <v>75752</v>
      </c>
      <c r="Q767">
        <f t="shared" si="13"/>
        <v>7.5752E-2</v>
      </c>
      <c r="R767">
        <v>43252</v>
      </c>
      <c r="S767" t="s">
        <v>122</v>
      </c>
    </row>
    <row r="768" spans="1:19">
      <c r="A768">
        <v>60000133</v>
      </c>
      <c r="B768">
        <v>43</v>
      </c>
      <c r="C768" t="s">
        <v>33</v>
      </c>
      <c r="D768" t="s">
        <v>19</v>
      </c>
      <c r="E768" t="s">
        <v>72</v>
      </c>
      <c r="F768" t="s">
        <v>21</v>
      </c>
      <c r="G768" s="23">
        <v>0.21</v>
      </c>
      <c r="H768" t="s">
        <v>29</v>
      </c>
      <c r="I768" t="s">
        <v>45</v>
      </c>
      <c r="J768" t="s">
        <v>69</v>
      </c>
      <c r="K768" t="s">
        <v>97</v>
      </c>
      <c r="L768" t="s">
        <v>26</v>
      </c>
      <c r="M768" t="s">
        <v>123</v>
      </c>
      <c r="N768" t="s">
        <v>28</v>
      </c>
      <c r="O768">
        <v>0</v>
      </c>
      <c r="P768">
        <v>24793</v>
      </c>
      <c r="Q768">
        <f t="shared" si="13"/>
        <v>2.4792999999999999E-2</v>
      </c>
      <c r="R768">
        <v>43252</v>
      </c>
      <c r="S768" t="s">
        <v>122</v>
      </c>
    </row>
    <row r="769" spans="1:19">
      <c r="A769">
        <v>60000134</v>
      </c>
      <c r="B769">
        <v>26</v>
      </c>
      <c r="C769" t="s">
        <v>18</v>
      </c>
      <c r="D769" t="s">
        <v>40</v>
      </c>
      <c r="E769" t="s">
        <v>85</v>
      </c>
      <c r="F769" t="s">
        <v>21</v>
      </c>
      <c r="G769" s="23">
        <v>0.28999999999999998</v>
      </c>
      <c r="H769" t="s">
        <v>53</v>
      </c>
      <c r="I769" t="s">
        <v>86</v>
      </c>
      <c r="J769" t="s">
        <v>74</v>
      </c>
      <c r="K769" t="s">
        <v>49</v>
      </c>
      <c r="L769" t="s">
        <v>26</v>
      </c>
      <c r="M769" t="s">
        <v>123</v>
      </c>
      <c r="N769" t="s">
        <v>28</v>
      </c>
      <c r="O769">
        <v>0</v>
      </c>
      <c r="P769">
        <v>58103</v>
      </c>
      <c r="Q769">
        <f t="shared" si="13"/>
        <v>5.8103000000000002E-2</v>
      </c>
      <c r="R769">
        <v>43252</v>
      </c>
      <c r="S769" t="s">
        <v>122</v>
      </c>
    </row>
    <row r="770" spans="1:19">
      <c r="A770">
        <v>60000135</v>
      </c>
      <c r="B770">
        <v>60</v>
      </c>
      <c r="C770" t="s">
        <v>18</v>
      </c>
      <c r="D770" t="s">
        <v>40</v>
      </c>
      <c r="E770" t="s">
        <v>56</v>
      </c>
      <c r="F770" t="s">
        <v>21</v>
      </c>
      <c r="G770" s="23">
        <v>0.33</v>
      </c>
      <c r="H770" t="s">
        <v>42</v>
      </c>
      <c r="I770" t="s">
        <v>70</v>
      </c>
      <c r="J770" t="s">
        <v>91</v>
      </c>
      <c r="K770" t="s">
        <v>96</v>
      </c>
      <c r="L770" t="s">
        <v>26</v>
      </c>
      <c r="M770" t="s">
        <v>123</v>
      </c>
      <c r="N770" t="s">
        <v>28</v>
      </c>
      <c r="O770">
        <v>1</v>
      </c>
      <c r="P770">
        <v>46478</v>
      </c>
      <c r="Q770">
        <f t="shared" si="13"/>
        <v>4.6477999999999998E-2</v>
      </c>
      <c r="R770">
        <v>43252</v>
      </c>
      <c r="S770" t="s">
        <v>122</v>
      </c>
    </row>
    <row r="771" spans="1:19">
      <c r="A771">
        <v>60000136</v>
      </c>
      <c r="B771">
        <v>34</v>
      </c>
      <c r="C771" t="s">
        <v>18</v>
      </c>
      <c r="D771" t="s">
        <v>19</v>
      </c>
      <c r="E771" t="s">
        <v>20</v>
      </c>
      <c r="F771" t="s">
        <v>21</v>
      </c>
      <c r="G771" s="23">
        <v>0.3</v>
      </c>
      <c r="H771" t="s">
        <v>53</v>
      </c>
      <c r="I771" t="s">
        <v>70</v>
      </c>
      <c r="J771" t="s">
        <v>24</v>
      </c>
      <c r="K771" t="s">
        <v>109</v>
      </c>
      <c r="L771" t="s">
        <v>26</v>
      </c>
      <c r="M771" t="s">
        <v>123</v>
      </c>
      <c r="N771" t="s">
        <v>28</v>
      </c>
      <c r="O771">
        <v>3</v>
      </c>
      <c r="P771">
        <v>83401</v>
      </c>
      <c r="Q771">
        <f t="shared" si="13"/>
        <v>8.3401000000000003E-2</v>
      </c>
      <c r="R771">
        <v>43252</v>
      </c>
      <c r="S771" t="s">
        <v>122</v>
      </c>
    </row>
    <row r="772" spans="1:19">
      <c r="A772">
        <v>60000137</v>
      </c>
      <c r="B772">
        <v>55</v>
      </c>
      <c r="C772" t="s">
        <v>18</v>
      </c>
      <c r="D772" t="s">
        <v>19</v>
      </c>
      <c r="E772" t="s">
        <v>75</v>
      </c>
      <c r="F772" t="s">
        <v>21</v>
      </c>
      <c r="G772" s="23">
        <v>0.25</v>
      </c>
      <c r="H772" t="s">
        <v>53</v>
      </c>
      <c r="I772" t="s">
        <v>60</v>
      </c>
      <c r="J772" t="s">
        <v>74</v>
      </c>
      <c r="K772" t="s">
        <v>71</v>
      </c>
      <c r="L772" t="s">
        <v>26</v>
      </c>
      <c r="M772" t="s">
        <v>123</v>
      </c>
      <c r="N772" t="s">
        <v>28</v>
      </c>
      <c r="O772">
        <v>0</v>
      </c>
      <c r="P772">
        <v>61812</v>
      </c>
      <c r="Q772">
        <f t="shared" si="13"/>
        <v>6.1811999999999999E-2</v>
      </c>
      <c r="R772">
        <v>43252</v>
      </c>
      <c r="S772" t="s">
        <v>122</v>
      </c>
    </row>
    <row r="773" spans="1:19">
      <c r="A773">
        <v>60000138</v>
      </c>
      <c r="B773">
        <v>26</v>
      </c>
      <c r="C773" t="s">
        <v>18</v>
      </c>
      <c r="D773" t="s">
        <v>19</v>
      </c>
      <c r="E773" t="s">
        <v>85</v>
      </c>
      <c r="F773" t="s">
        <v>21</v>
      </c>
      <c r="G773" s="23">
        <v>0.33</v>
      </c>
      <c r="H773" t="s">
        <v>42</v>
      </c>
      <c r="I773" t="s">
        <v>62</v>
      </c>
      <c r="J773" t="s">
        <v>31</v>
      </c>
      <c r="K773" t="s">
        <v>108</v>
      </c>
      <c r="L773" t="s">
        <v>26</v>
      </c>
      <c r="M773" t="s">
        <v>123</v>
      </c>
      <c r="N773" t="s">
        <v>28</v>
      </c>
      <c r="O773">
        <v>0</v>
      </c>
      <c r="P773">
        <v>58973</v>
      </c>
      <c r="Q773">
        <f t="shared" si="13"/>
        <v>5.8972999999999998E-2</v>
      </c>
      <c r="R773">
        <v>43252</v>
      </c>
      <c r="S773" t="s">
        <v>122</v>
      </c>
    </row>
    <row r="774" spans="1:19">
      <c r="A774">
        <v>60000139</v>
      </c>
      <c r="B774">
        <v>31</v>
      </c>
      <c r="C774" t="s">
        <v>18</v>
      </c>
      <c r="D774" t="s">
        <v>40</v>
      </c>
      <c r="E774" t="s">
        <v>52</v>
      </c>
      <c r="F774" t="s">
        <v>21</v>
      </c>
      <c r="G774" s="23">
        <v>0.23</v>
      </c>
      <c r="H774" t="s">
        <v>29</v>
      </c>
      <c r="I774" t="s">
        <v>83</v>
      </c>
      <c r="J774" t="s">
        <v>66</v>
      </c>
      <c r="K774" t="s">
        <v>95</v>
      </c>
      <c r="L774" t="s">
        <v>26</v>
      </c>
      <c r="M774" t="s">
        <v>123</v>
      </c>
      <c r="N774" t="s">
        <v>28</v>
      </c>
      <c r="O774">
        <v>0</v>
      </c>
      <c r="P774">
        <v>36477</v>
      </c>
      <c r="Q774">
        <f t="shared" si="13"/>
        <v>3.6477000000000002E-2</v>
      </c>
      <c r="R774">
        <v>43252</v>
      </c>
      <c r="S774" t="s">
        <v>122</v>
      </c>
    </row>
    <row r="775" spans="1:19">
      <c r="A775">
        <v>60000140</v>
      </c>
      <c r="B775">
        <v>43</v>
      </c>
      <c r="C775" t="s">
        <v>33</v>
      </c>
      <c r="D775" t="s">
        <v>40</v>
      </c>
      <c r="E775" t="s">
        <v>56</v>
      </c>
      <c r="F775" t="s">
        <v>21</v>
      </c>
      <c r="G775" s="23">
        <v>0.33</v>
      </c>
      <c r="H775" t="s">
        <v>42</v>
      </c>
      <c r="I775" t="s">
        <v>37</v>
      </c>
      <c r="J775" t="s">
        <v>54</v>
      </c>
      <c r="K775" t="s">
        <v>92</v>
      </c>
      <c r="L775" t="s">
        <v>26</v>
      </c>
      <c r="M775" t="s">
        <v>123</v>
      </c>
      <c r="N775" t="s">
        <v>28</v>
      </c>
      <c r="O775">
        <v>4</v>
      </c>
      <c r="P775">
        <v>33098</v>
      </c>
      <c r="Q775">
        <f t="shared" si="13"/>
        <v>3.3098000000000002E-2</v>
      </c>
      <c r="R775">
        <v>43252</v>
      </c>
      <c r="S775" t="s">
        <v>122</v>
      </c>
    </row>
    <row r="776" spans="1:19">
      <c r="A776">
        <v>60000141</v>
      </c>
      <c r="B776">
        <v>55</v>
      </c>
      <c r="C776" t="s">
        <v>18</v>
      </c>
      <c r="D776" t="s">
        <v>40</v>
      </c>
      <c r="E776" t="s">
        <v>72</v>
      </c>
      <c r="F776" t="s">
        <v>21</v>
      </c>
      <c r="G776" s="23">
        <v>0.12</v>
      </c>
      <c r="H776" t="s">
        <v>22</v>
      </c>
      <c r="I776" t="s">
        <v>62</v>
      </c>
      <c r="J776" t="s">
        <v>58</v>
      </c>
      <c r="K776" t="s">
        <v>32</v>
      </c>
      <c r="L776" t="s">
        <v>26</v>
      </c>
      <c r="M776" t="s">
        <v>123</v>
      </c>
      <c r="N776" t="s">
        <v>28</v>
      </c>
      <c r="O776">
        <v>0</v>
      </c>
      <c r="P776">
        <v>71611</v>
      </c>
      <c r="Q776">
        <f t="shared" si="13"/>
        <v>7.1610999999999994E-2</v>
      </c>
      <c r="R776">
        <v>43252</v>
      </c>
      <c r="S776" t="s">
        <v>122</v>
      </c>
    </row>
    <row r="777" spans="1:19">
      <c r="A777">
        <v>60000142</v>
      </c>
      <c r="B777">
        <v>22</v>
      </c>
      <c r="C777" t="s">
        <v>33</v>
      </c>
      <c r="D777" t="s">
        <v>40</v>
      </c>
      <c r="E777" t="s">
        <v>41</v>
      </c>
      <c r="F777" t="s">
        <v>21</v>
      </c>
      <c r="G777" s="23">
        <v>0.38</v>
      </c>
      <c r="H777" t="s">
        <v>42</v>
      </c>
      <c r="I777" t="s">
        <v>80</v>
      </c>
      <c r="J777" t="s">
        <v>58</v>
      </c>
      <c r="K777" t="s">
        <v>104</v>
      </c>
      <c r="L777" t="s">
        <v>26</v>
      </c>
      <c r="M777" t="s">
        <v>123</v>
      </c>
      <c r="N777" t="s">
        <v>28</v>
      </c>
      <c r="O777">
        <v>0</v>
      </c>
      <c r="P777">
        <v>29276</v>
      </c>
      <c r="Q777">
        <f t="shared" si="13"/>
        <v>2.9276E-2</v>
      </c>
      <c r="R777">
        <v>43252</v>
      </c>
      <c r="S777" t="s">
        <v>122</v>
      </c>
    </row>
    <row r="778" spans="1:19">
      <c r="A778">
        <v>60000143</v>
      </c>
      <c r="B778">
        <v>44</v>
      </c>
      <c r="C778" t="s">
        <v>18</v>
      </c>
      <c r="D778" t="s">
        <v>40</v>
      </c>
      <c r="E778" t="s">
        <v>41</v>
      </c>
      <c r="F778" t="s">
        <v>21</v>
      </c>
      <c r="G778" s="23">
        <v>0.35</v>
      </c>
      <c r="H778" t="s">
        <v>42</v>
      </c>
      <c r="I778" t="s">
        <v>73</v>
      </c>
      <c r="J778" t="s">
        <v>24</v>
      </c>
      <c r="K778" t="s">
        <v>112</v>
      </c>
      <c r="L778" t="s">
        <v>26</v>
      </c>
      <c r="M778" t="s">
        <v>123</v>
      </c>
      <c r="N778" t="s">
        <v>28</v>
      </c>
      <c r="O778">
        <v>2</v>
      </c>
      <c r="P778">
        <v>26313</v>
      </c>
      <c r="Q778">
        <f t="shared" si="13"/>
        <v>2.6313E-2</v>
      </c>
      <c r="R778">
        <v>43252</v>
      </c>
      <c r="S778" t="s">
        <v>122</v>
      </c>
    </row>
    <row r="779" spans="1:19">
      <c r="A779">
        <v>60000144</v>
      </c>
      <c r="B779">
        <v>51</v>
      </c>
      <c r="C779" t="s">
        <v>33</v>
      </c>
      <c r="D779" t="s">
        <v>19</v>
      </c>
      <c r="E779" t="s">
        <v>64</v>
      </c>
      <c r="F779" t="s">
        <v>21</v>
      </c>
      <c r="G779" s="23">
        <v>0.15</v>
      </c>
      <c r="H779" t="s">
        <v>22</v>
      </c>
      <c r="I779" t="s">
        <v>76</v>
      </c>
      <c r="J779" t="s">
        <v>78</v>
      </c>
      <c r="K779" t="s">
        <v>105</v>
      </c>
      <c r="L779" t="s">
        <v>26</v>
      </c>
      <c r="M779" t="s">
        <v>123</v>
      </c>
      <c r="N779" t="s">
        <v>28</v>
      </c>
      <c r="O779">
        <v>0</v>
      </c>
      <c r="P779">
        <v>35278</v>
      </c>
      <c r="Q779">
        <f t="shared" si="13"/>
        <v>3.5277999999999997E-2</v>
      </c>
      <c r="R779">
        <v>43252</v>
      </c>
      <c r="S779" t="s">
        <v>122</v>
      </c>
    </row>
    <row r="780" spans="1:19">
      <c r="A780">
        <v>60000145</v>
      </c>
      <c r="B780">
        <v>62</v>
      </c>
      <c r="C780" t="s">
        <v>33</v>
      </c>
      <c r="D780" t="s">
        <v>19</v>
      </c>
      <c r="E780" t="s">
        <v>72</v>
      </c>
      <c r="F780" t="s">
        <v>21</v>
      </c>
      <c r="G780" s="23">
        <v>0.16</v>
      </c>
      <c r="H780" t="s">
        <v>22</v>
      </c>
      <c r="I780" t="s">
        <v>80</v>
      </c>
      <c r="J780" t="s">
        <v>91</v>
      </c>
      <c r="K780" t="s">
        <v>112</v>
      </c>
      <c r="L780" t="s">
        <v>26</v>
      </c>
      <c r="M780" t="s">
        <v>123</v>
      </c>
      <c r="N780" t="s">
        <v>28</v>
      </c>
      <c r="O780">
        <v>2</v>
      </c>
      <c r="P780">
        <v>72189</v>
      </c>
      <c r="Q780">
        <f t="shared" si="13"/>
        <v>7.2189000000000003E-2</v>
      </c>
      <c r="R780">
        <v>43252</v>
      </c>
      <c r="S780" t="s">
        <v>122</v>
      </c>
    </row>
    <row r="781" spans="1:19">
      <c r="A781">
        <v>60000146</v>
      </c>
      <c r="B781">
        <v>46</v>
      </c>
      <c r="C781" t="s">
        <v>18</v>
      </c>
      <c r="D781" t="s">
        <v>40</v>
      </c>
      <c r="E781" t="s">
        <v>72</v>
      </c>
      <c r="F781" t="s">
        <v>21</v>
      </c>
      <c r="G781" s="23">
        <v>0.19</v>
      </c>
      <c r="H781" t="s">
        <v>29</v>
      </c>
      <c r="I781" t="s">
        <v>68</v>
      </c>
      <c r="J781" t="s">
        <v>31</v>
      </c>
      <c r="K781" t="s">
        <v>106</v>
      </c>
      <c r="L781" t="s">
        <v>26</v>
      </c>
      <c r="M781" t="s">
        <v>123</v>
      </c>
      <c r="N781" t="s">
        <v>28</v>
      </c>
      <c r="O781">
        <v>0</v>
      </c>
      <c r="P781">
        <v>47169</v>
      </c>
      <c r="Q781">
        <f t="shared" si="13"/>
        <v>4.7169000000000003E-2</v>
      </c>
      <c r="R781">
        <v>43252</v>
      </c>
      <c r="S781" t="s">
        <v>122</v>
      </c>
    </row>
    <row r="782" spans="1:19">
      <c r="A782">
        <v>60000147</v>
      </c>
      <c r="B782">
        <v>22</v>
      </c>
      <c r="C782" t="s">
        <v>33</v>
      </c>
      <c r="D782" t="s">
        <v>19</v>
      </c>
      <c r="E782" t="s">
        <v>34</v>
      </c>
      <c r="F782" t="s">
        <v>21</v>
      </c>
      <c r="G782" s="23">
        <v>0.37</v>
      </c>
      <c r="H782" t="s">
        <v>42</v>
      </c>
      <c r="I782" t="s">
        <v>30</v>
      </c>
      <c r="J782" t="s">
        <v>58</v>
      </c>
      <c r="K782" t="s">
        <v>79</v>
      </c>
      <c r="L782" t="s">
        <v>26</v>
      </c>
      <c r="M782" t="s">
        <v>123</v>
      </c>
      <c r="N782" t="s">
        <v>28</v>
      </c>
      <c r="O782">
        <v>0</v>
      </c>
      <c r="P782">
        <v>33136</v>
      </c>
      <c r="Q782">
        <f t="shared" si="13"/>
        <v>3.3135999999999999E-2</v>
      </c>
      <c r="R782">
        <v>43252</v>
      </c>
      <c r="S782" t="s">
        <v>122</v>
      </c>
    </row>
    <row r="783" spans="1:19">
      <c r="A783">
        <v>60000148</v>
      </c>
      <c r="B783">
        <v>47</v>
      </c>
      <c r="C783" t="s">
        <v>18</v>
      </c>
      <c r="D783" t="s">
        <v>40</v>
      </c>
      <c r="E783" t="s">
        <v>72</v>
      </c>
      <c r="F783" t="s">
        <v>21</v>
      </c>
      <c r="G783" s="23">
        <v>0.18</v>
      </c>
      <c r="H783" t="s">
        <v>22</v>
      </c>
      <c r="I783" t="s">
        <v>76</v>
      </c>
      <c r="J783" t="s">
        <v>46</v>
      </c>
      <c r="K783" t="s">
        <v>93</v>
      </c>
      <c r="L783" t="s">
        <v>26</v>
      </c>
      <c r="M783" t="s">
        <v>123</v>
      </c>
      <c r="N783" t="s">
        <v>28</v>
      </c>
      <c r="O783">
        <v>7</v>
      </c>
      <c r="P783">
        <v>60885</v>
      </c>
      <c r="Q783">
        <f t="shared" si="13"/>
        <v>6.0885000000000002E-2</v>
      </c>
      <c r="R783">
        <v>43252</v>
      </c>
      <c r="S783" t="s">
        <v>122</v>
      </c>
    </row>
    <row r="784" spans="1:19">
      <c r="A784">
        <v>60000149</v>
      </c>
      <c r="B784">
        <v>63</v>
      </c>
      <c r="C784" t="s">
        <v>18</v>
      </c>
      <c r="D784" t="s">
        <v>19</v>
      </c>
      <c r="E784" t="s">
        <v>48</v>
      </c>
      <c r="F784" t="s">
        <v>21</v>
      </c>
      <c r="G784" s="23">
        <v>0.2</v>
      </c>
      <c r="H784" t="s">
        <v>29</v>
      </c>
      <c r="I784" t="s">
        <v>45</v>
      </c>
      <c r="J784" t="s">
        <v>78</v>
      </c>
      <c r="K784" t="s">
        <v>79</v>
      </c>
      <c r="L784" t="s">
        <v>26</v>
      </c>
      <c r="M784" t="s">
        <v>123</v>
      </c>
      <c r="N784" t="s">
        <v>28</v>
      </c>
      <c r="O784">
        <v>2</v>
      </c>
      <c r="P784">
        <v>74807</v>
      </c>
      <c r="Q784">
        <f t="shared" si="13"/>
        <v>7.4806999999999998E-2</v>
      </c>
      <c r="R784">
        <v>43252</v>
      </c>
      <c r="S784" t="s">
        <v>122</v>
      </c>
    </row>
    <row r="785" spans="1:19">
      <c r="A785">
        <v>60000150</v>
      </c>
      <c r="B785">
        <v>52</v>
      </c>
      <c r="C785" t="s">
        <v>33</v>
      </c>
      <c r="D785" t="s">
        <v>40</v>
      </c>
      <c r="E785" t="s">
        <v>72</v>
      </c>
      <c r="F785" t="s">
        <v>21</v>
      </c>
      <c r="G785" s="23">
        <v>0.1</v>
      </c>
      <c r="H785" t="s">
        <v>36</v>
      </c>
      <c r="I785" t="s">
        <v>80</v>
      </c>
      <c r="J785" t="s">
        <v>54</v>
      </c>
      <c r="K785" t="s">
        <v>82</v>
      </c>
      <c r="L785" t="s">
        <v>26</v>
      </c>
      <c r="M785" t="s">
        <v>123</v>
      </c>
      <c r="N785" t="s">
        <v>28</v>
      </c>
      <c r="O785">
        <v>5</v>
      </c>
      <c r="P785">
        <v>60944</v>
      </c>
      <c r="Q785">
        <f t="shared" si="13"/>
        <v>6.0943999999999998E-2</v>
      </c>
      <c r="R785">
        <v>43252</v>
      </c>
      <c r="S785" t="s">
        <v>122</v>
      </c>
    </row>
    <row r="786" spans="1:19">
      <c r="A786">
        <v>60000151</v>
      </c>
      <c r="B786">
        <v>31</v>
      </c>
      <c r="C786" t="s">
        <v>18</v>
      </c>
      <c r="D786" t="s">
        <v>19</v>
      </c>
      <c r="E786" t="s">
        <v>56</v>
      </c>
      <c r="F786" t="s">
        <v>21</v>
      </c>
      <c r="G786" s="23">
        <v>0.23</v>
      </c>
      <c r="H786" t="s">
        <v>29</v>
      </c>
      <c r="I786" t="s">
        <v>68</v>
      </c>
      <c r="J786" t="s">
        <v>58</v>
      </c>
      <c r="K786" t="s">
        <v>107</v>
      </c>
      <c r="L786" t="s">
        <v>26</v>
      </c>
      <c r="M786" t="s">
        <v>123</v>
      </c>
      <c r="N786" t="s">
        <v>28</v>
      </c>
      <c r="O786">
        <v>0</v>
      </c>
      <c r="P786">
        <v>58918</v>
      </c>
      <c r="Q786">
        <f t="shared" si="13"/>
        <v>5.8917999999999998E-2</v>
      </c>
      <c r="R786">
        <v>43252</v>
      </c>
      <c r="S786" t="s">
        <v>122</v>
      </c>
    </row>
    <row r="787" spans="1:19">
      <c r="A787">
        <v>60000152</v>
      </c>
      <c r="B787">
        <v>24</v>
      </c>
      <c r="C787" t="s">
        <v>18</v>
      </c>
      <c r="D787" t="s">
        <v>19</v>
      </c>
      <c r="E787" t="s">
        <v>56</v>
      </c>
      <c r="F787" t="s">
        <v>21</v>
      </c>
      <c r="G787" s="23">
        <v>0.35</v>
      </c>
      <c r="H787" t="s">
        <v>42</v>
      </c>
      <c r="I787" t="s">
        <v>86</v>
      </c>
      <c r="J787" t="s">
        <v>88</v>
      </c>
      <c r="K787" t="s">
        <v>47</v>
      </c>
      <c r="L787" t="s">
        <v>26</v>
      </c>
      <c r="M787" t="s">
        <v>123</v>
      </c>
      <c r="N787" t="s">
        <v>28</v>
      </c>
      <c r="O787">
        <v>0</v>
      </c>
      <c r="P787">
        <v>37923</v>
      </c>
      <c r="Q787">
        <f t="shared" si="13"/>
        <v>3.7922999999999998E-2</v>
      </c>
      <c r="R787">
        <v>43252</v>
      </c>
      <c r="S787" t="s">
        <v>122</v>
      </c>
    </row>
    <row r="788" spans="1:19">
      <c r="A788">
        <v>60000153</v>
      </c>
      <c r="B788">
        <v>38</v>
      </c>
      <c r="C788" t="s">
        <v>33</v>
      </c>
      <c r="D788" t="s">
        <v>19</v>
      </c>
      <c r="E788" t="s">
        <v>75</v>
      </c>
      <c r="F788" t="s">
        <v>21</v>
      </c>
      <c r="G788" s="23">
        <v>0.36</v>
      </c>
      <c r="H788" t="s">
        <v>42</v>
      </c>
      <c r="I788" t="s">
        <v>57</v>
      </c>
      <c r="J788" t="s">
        <v>38</v>
      </c>
      <c r="K788" t="s">
        <v>84</v>
      </c>
      <c r="L788" t="s">
        <v>26</v>
      </c>
      <c r="M788" t="s">
        <v>123</v>
      </c>
      <c r="N788" t="s">
        <v>28</v>
      </c>
      <c r="O788">
        <v>0</v>
      </c>
      <c r="P788">
        <v>75896</v>
      </c>
      <c r="Q788">
        <f t="shared" si="13"/>
        <v>7.5896000000000005E-2</v>
      </c>
      <c r="R788">
        <v>43252</v>
      </c>
      <c r="S788" t="s">
        <v>122</v>
      </c>
    </row>
    <row r="789" spans="1:19">
      <c r="A789">
        <v>60000154</v>
      </c>
      <c r="B789">
        <v>35</v>
      </c>
      <c r="C789" t="s">
        <v>33</v>
      </c>
      <c r="D789" t="s">
        <v>19</v>
      </c>
      <c r="E789" t="s">
        <v>75</v>
      </c>
      <c r="F789" t="s">
        <v>21</v>
      </c>
      <c r="G789" s="23">
        <v>0.16</v>
      </c>
      <c r="H789" t="s">
        <v>22</v>
      </c>
      <c r="I789" t="s">
        <v>65</v>
      </c>
      <c r="J789" t="s">
        <v>38</v>
      </c>
      <c r="K789" t="s">
        <v>118</v>
      </c>
      <c r="L789" t="s">
        <v>26</v>
      </c>
      <c r="M789" t="s">
        <v>123</v>
      </c>
      <c r="N789" t="s">
        <v>28</v>
      </c>
      <c r="O789">
        <v>0</v>
      </c>
      <c r="P789">
        <v>39248</v>
      </c>
      <c r="Q789">
        <f t="shared" si="13"/>
        <v>3.9247999999999998E-2</v>
      </c>
      <c r="R789">
        <v>43252</v>
      </c>
      <c r="S789" t="s">
        <v>122</v>
      </c>
    </row>
    <row r="790" spans="1:19">
      <c r="A790">
        <v>60000155</v>
      </c>
      <c r="B790">
        <v>58</v>
      </c>
      <c r="C790" t="s">
        <v>33</v>
      </c>
      <c r="D790" t="s">
        <v>40</v>
      </c>
      <c r="E790" t="s">
        <v>44</v>
      </c>
      <c r="F790" t="s">
        <v>21</v>
      </c>
      <c r="G790" s="23">
        <v>0.32</v>
      </c>
      <c r="H790" t="s">
        <v>42</v>
      </c>
      <c r="I790" t="s">
        <v>30</v>
      </c>
      <c r="J790" t="s">
        <v>31</v>
      </c>
      <c r="K790" t="s">
        <v>117</v>
      </c>
      <c r="L790" t="s">
        <v>26</v>
      </c>
      <c r="M790" t="s">
        <v>123</v>
      </c>
      <c r="N790" t="s">
        <v>28</v>
      </c>
      <c r="O790">
        <v>2</v>
      </c>
      <c r="P790">
        <v>61793</v>
      </c>
      <c r="Q790">
        <f t="shared" si="13"/>
        <v>6.1793000000000001E-2</v>
      </c>
      <c r="R790">
        <v>43252</v>
      </c>
      <c r="S790" t="s">
        <v>122</v>
      </c>
    </row>
    <row r="791" spans="1:19">
      <c r="A791">
        <v>60000156</v>
      </c>
      <c r="B791">
        <v>43</v>
      </c>
      <c r="C791" t="s">
        <v>33</v>
      </c>
      <c r="D791" t="s">
        <v>40</v>
      </c>
      <c r="E791" t="s">
        <v>48</v>
      </c>
      <c r="F791" t="s">
        <v>21</v>
      </c>
      <c r="G791" s="23">
        <v>0.35</v>
      </c>
      <c r="H791" t="s">
        <v>42</v>
      </c>
      <c r="I791" t="s">
        <v>57</v>
      </c>
      <c r="J791" t="s">
        <v>61</v>
      </c>
      <c r="K791" t="s">
        <v>60</v>
      </c>
      <c r="L791" t="s">
        <v>26</v>
      </c>
      <c r="M791" t="s">
        <v>123</v>
      </c>
      <c r="N791" t="s">
        <v>28</v>
      </c>
      <c r="O791">
        <v>0</v>
      </c>
      <c r="P791">
        <v>84062</v>
      </c>
      <c r="Q791">
        <f t="shared" si="13"/>
        <v>8.4061999999999998E-2</v>
      </c>
      <c r="R791">
        <v>43252</v>
      </c>
      <c r="S791" t="s">
        <v>122</v>
      </c>
    </row>
    <row r="792" spans="1:19">
      <c r="A792">
        <v>60000157</v>
      </c>
      <c r="B792">
        <v>36</v>
      </c>
      <c r="C792" t="s">
        <v>33</v>
      </c>
      <c r="D792" t="s">
        <v>40</v>
      </c>
      <c r="E792" t="s">
        <v>75</v>
      </c>
      <c r="F792" t="s">
        <v>21</v>
      </c>
      <c r="G792" s="23">
        <v>0.11</v>
      </c>
      <c r="H792" t="s">
        <v>36</v>
      </c>
      <c r="I792" t="s">
        <v>60</v>
      </c>
      <c r="J792" t="s">
        <v>31</v>
      </c>
      <c r="K792" t="s">
        <v>113</v>
      </c>
      <c r="L792" t="s">
        <v>26</v>
      </c>
      <c r="M792" t="s">
        <v>123</v>
      </c>
      <c r="N792" t="s">
        <v>28</v>
      </c>
      <c r="O792">
        <v>6</v>
      </c>
      <c r="P792">
        <v>50759</v>
      </c>
      <c r="Q792">
        <f t="shared" si="13"/>
        <v>5.0758999999999999E-2</v>
      </c>
      <c r="R792">
        <v>43252</v>
      </c>
      <c r="S792" t="s">
        <v>122</v>
      </c>
    </row>
    <row r="793" spans="1:19">
      <c r="A793">
        <v>60000158</v>
      </c>
      <c r="B793">
        <v>35</v>
      </c>
      <c r="C793" t="s">
        <v>33</v>
      </c>
      <c r="D793" t="s">
        <v>19</v>
      </c>
      <c r="E793" t="s">
        <v>64</v>
      </c>
      <c r="F793" t="s">
        <v>21</v>
      </c>
      <c r="G793" s="23">
        <v>0.31</v>
      </c>
      <c r="H793" t="s">
        <v>53</v>
      </c>
      <c r="I793" t="s">
        <v>23</v>
      </c>
      <c r="J793" t="s">
        <v>46</v>
      </c>
      <c r="K793" t="s">
        <v>113</v>
      </c>
      <c r="L793" t="s">
        <v>26</v>
      </c>
      <c r="M793" t="s">
        <v>123</v>
      </c>
      <c r="N793" t="s">
        <v>28</v>
      </c>
      <c r="O793">
        <v>6</v>
      </c>
      <c r="P793">
        <v>29568</v>
      </c>
      <c r="Q793">
        <f t="shared" ref="Q793:Q856" si="14">+P793/1000000</f>
        <v>2.9568000000000001E-2</v>
      </c>
      <c r="R793">
        <v>43252</v>
      </c>
      <c r="S793" t="s">
        <v>122</v>
      </c>
    </row>
    <row r="794" spans="1:19">
      <c r="A794">
        <v>60000159</v>
      </c>
      <c r="B794">
        <v>54</v>
      </c>
      <c r="C794" t="s">
        <v>18</v>
      </c>
      <c r="D794" t="s">
        <v>40</v>
      </c>
      <c r="E794" t="s">
        <v>52</v>
      </c>
      <c r="F794" t="s">
        <v>21</v>
      </c>
      <c r="G794" s="23">
        <v>0.27</v>
      </c>
      <c r="H794" t="s">
        <v>53</v>
      </c>
      <c r="I794" t="s">
        <v>76</v>
      </c>
      <c r="J794" t="s">
        <v>54</v>
      </c>
      <c r="K794" t="s">
        <v>83</v>
      </c>
      <c r="L794" t="s">
        <v>26</v>
      </c>
      <c r="M794" t="s">
        <v>123</v>
      </c>
      <c r="N794" t="s">
        <v>28</v>
      </c>
      <c r="O794">
        <v>3</v>
      </c>
      <c r="P794">
        <v>71682</v>
      </c>
      <c r="Q794">
        <f t="shared" si="14"/>
        <v>7.1681999999999996E-2</v>
      </c>
      <c r="R794">
        <v>43252</v>
      </c>
      <c r="S794" t="s">
        <v>122</v>
      </c>
    </row>
    <row r="795" spans="1:19">
      <c r="A795">
        <v>60000160</v>
      </c>
      <c r="B795">
        <v>52</v>
      </c>
      <c r="C795" t="s">
        <v>33</v>
      </c>
      <c r="D795" t="s">
        <v>40</v>
      </c>
      <c r="E795" t="s">
        <v>34</v>
      </c>
      <c r="F795" t="s">
        <v>21</v>
      </c>
      <c r="G795" s="23">
        <v>0.19</v>
      </c>
      <c r="H795" t="s">
        <v>29</v>
      </c>
      <c r="I795" t="s">
        <v>65</v>
      </c>
      <c r="J795" t="s">
        <v>58</v>
      </c>
      <c r="K795" t="s">
        <v>106</v>
      </c>
      <c r="L795" t="s">
        <v>26</v>
      </c>
      <c r="M795" t="s">
        <v>123</v>
      </c>
      <c r="N795" t="s">
        <v>28</v>
      </c>
      <c r="O795">
        <v>0</v>
      </c>
      <c r="P795">
        <v>70908</v>
      </c>
      <c r="Q795">
        <f t="shared" si="14"/>
        <v>7.0907999999999999E-2</v>
      </c>
      <c r="R795">
        <v>43252</v>
      </c>
      <c r="S795" t="s">
        <v>122</v>
      </c>
    </row>
    <row r="796" spans="1:19">
      <c r="A796">
        <v>60000161</v>
      </c>
      <c r="B796">
        <v>58</v>
      </c>
      <c r="C796" t="s">
        <v>33</v>
      </c>
      <c r="D796" t="s">
        <v>19</v>
      </c>
      <c r="E796" t="s">
        <v>20</v>
      </c>
      <c r="F796" t="s">
        <v>21</v>
      </c>
      <c r="G796" s="23">
        <v>0.27</v>
      </c>
      <c r="H796" t="s">
        <v>53</v>
      </c>
      <c r="I796" t="s">
        <v>68</v>
      </c>
      <c r="J796" t="s">
        <v>58</v>
      </c>
      <c r="K796" t="s">
        <v>50</v>
      </c>
      <c r="L796" t="s">
        <v>26</v>
      </c>
      <c r="M796" t="s">
        <v>123</v>
      </c>
      <c r="N796" t="s">
        <v>28</v>
      </c>
      <c r="O796">
        <v>4</v>
      </c>
      <c r="P796">
        <v>62729</v>
      </c>
      <c r="Q796">
        <f t="shared" si="14"/>
        <v>6.2728999999999993E-2</v>
      </c>
      <c r="R796">
        <v>43252</v>
      </c>
      <c r="S796" t="s">
        <v>122</v>
      </c>
    </row>
    <row r="797" spans="1:19">
      <c r="A797">
        <v>60000162</v>
      </c>
      <c r="B797">
        <v>25</v>
      </c>
      <c r="C797" t="s">
        <v>18</v>
      </c>
      <c r="D797" t="s">
        <v>19</v>
      </c>
      <c r="E797" t="s">
        <v>52</v>
      </c>
      <c r="F797" t="s">
        <v>21</v>
      </c>
      <c r="G797" s="23">
        <v>0.21</v>
      </c>
      <c r="H797" t="s">
        <v>29</v>
      </c>
      <c r="I797" t="s">
        <v>37</v>
      </c>
      <c r="J797" t="s">
        <v>58</v>
      </c>
      <c r="K797" t="s">
        <v>100</v>
      </c>
      <c r="L797" t="s">
        <v>26</v>
      </c>
      <c r="M797" t="s">
        <v>123</v>
      </c>
      <c r="N797" t="s">
        <v>28</v>
      </c>
      <c r="O797">
        <v>5</v>
      </c>
      <c r="P797">
        <v>51872</v>
      </c>
      <c r="Q797">
        <f t="shared" si="14"/>
        <v>5.1872000000000001E-2</v>
      </c>
      <c r="R797">
        <v>43252</v>
      </c>
      <c r="S797" t="s">
        <v>122</v>
      </c>
    </row>
    <row r="798" spans="1:19">
      <c r="A798">
        <v>60000163</v>
      </c>
      <c r="B798">
        <v>35</v>
      </c>
      <c r="C798" t="s">
        <v>18</v>
      </c>
      <c r="D798" t="s">
        <v>19</v>
      </c>
      <c r="E798" t="s">
        <v>41</v>
      </c>
      <c r="F798" t="s">
        <v>21</v>
      </c>
      <c r="G798" s="23">
        <v>0.37</v>
      </c>
      <c r="H798" t="s">
        <v>42</v>
      </c>
      <c r="I798" t="s">
        <v>70</v>
      </c>
      <c r="J798" t="s">
        <v>74</v>
      </c>
      <c r="K798" t="s">
        <v>107</v>
      </c>
      <c r="L798" t="s">
        <v>26</v>
      </c>
      <c r="M798" t="s">
        <v>123</v>
      </c>
      <c r="N798" t="s">
        <v>28</v>
      </c>
      <c r="O798">
        <v>0</v>
      </c>
      <c r="P798">
        <v>41202</v>
      </c>
      <c r="Q798">
        <f t="shared" si="14"/>
        <v>4.1202000000000003E-2</v>
      </c>
      <c r="R798">
        <v>43252</v>
      </c>
      <c r="S798" t="s">
        <v>122</v>
      </c>
    </row>
    <row r="799" spans="1:19">
      <c r="A799">
        <v>60000164</v>
      </c>
      <c r="B799">
        <v>21</v>
      </c>
      <c r="C799" t="s">
        <v>33</v>
      </c>
      <c r="D799" t="s">
        <v>40</v>
      </c>
      <c r="E799" t="s">
        <v>44</v>
      </c>
      <c r="F799" t="s">
        <v>21</v>
      </c>
      <c r="G799" s="23">
        <v>0.33</v>
      </c>
      <c r="H799" t="s">
        <v>42</v>
      </c>
      <c r="I799" t="s">
        <v>73</v>
      </c>
      <c r="J799" t="s">
        <v>46</v>
      </c>
      <c r="K799" t="s">
        <v>81</v>
      </c>
      <c r="L799" t="s">
        <v>26</v>
      </c>
      <c r="M799" t="s">
        <v>123</v>
      </c>
      <c r="N799" t="s">
        <v>28</v>
      </c>
      <c r="O799">
        <v>6</v>
      </c>
      <c r="P799">
        <v>54180</v>
      </c>
      <c r="Q799">
        <f t="shared" si="14"/>
        <v>5.4179999999999999E-2</v>
      </c>
      <c r="R799">
        <v>43252</v>
      </c>
      <c r="S799" t="s">
        <v>122</v>
      </c>
    </row>
    <row r="800" spans="1:19">
      <c r="A800">
        <v>60000165</v>
      </c>
      <c r="B800">
        <v>59</v>
      </c>
      <c r="C800" t="s">
        <v>33</v>
      </c>
      <c r="D800" t="s">
        <v>19</v>
      </c>
      <c r="E800" t="s">
        <v>34</v>
      </c>
      <c r="F800" t="s">
        <v>21</v>
      </c>
      <c r="G800" s="23">
        <v>0.12</v>
      </c>
      <c r="H800" t="s">
        <v>22</v>
      </c>
      <c r="I800" t="s">
        <v>83</v>
      </c>
      <c r="J800" t="s">
        <v>88</v>
      </c>
      <c r="K800" t="s">
        <v>83</v>
      </c>
      <c r="L800" t="s">
        <v>26</v>
      </c>
      <c r="M800" t="s">
        <v>123</v>
      </c>
      <c r="N800" t="s">
        <v>28</v>
      </c>
      <c r="O800">
        <v>6</v>
      </c>
      <c r="P800">
        <v>59795</v>
      </c>
      <c r="Q800">
        <f t="shared" si="14"/>
        <v>5.9795000000000001E-2</v>
      </c>
      <c r="R800">
        <v>43252</v>
      </c>
      <c r="S800" t="s">
        <v>122</v>
      </c>
    </row>
    <row r="801" spans="1:19">
      <c r="A801">
        <v>60000166</v>
      </c>
      <c r="B801">
        <v>27</v>
      </c>
      <c r="C801" t="s">
        <v>33</v>
      </c>
      <c r="D801" t="s">
        <v>19</v>
      </c>
      <c r="E801" t="s">
        <v>56</v>
      </c>
      <c r="F801" t="s">
        <v>21</v>
      </c>
      <c r="G801" s="23">
        <v>0.37</v>
      </c>
      <c r="H801" t="s">
        <v>42</v>
      </c>
      <c r="I801" t="s">
        <v>70</v>
      </c>
      <c r="J801" t="s">
        <v>91</v>
      </c>
      <c r="K801" t="s">
        <v>49</v>
      </c>
      <c r="L801" t="s">
        <v>26</v>
      </c>
      <c r="M801" t="s">
        <v>123</v>
      </c>
      <c r="N801" t="s">
        <v>28</v>
      </c>
      <c r="O801">
        <v>0</v>
      </c>
      <c r="P801">
        <v>26722</v>
      </c>
      <c r="Q801">
        <f t="shared" si="14"/>
        <v>2.6721999999999999E-2</v>
      </c>
      <c r="R801">
        <v>43252</v>
      </c>
      <c r="S801" t="s">
        <v>122</v>
      </c>
    </row>
    <row r="802" spans="1:19">
      <c r="A802">
        <v>60000167</v>
      </c>
      <c r="B802">
        <v>63</v>
      </c>
      <c r="C802" t="s">
        <v>33</v>
      </c>
      <c r="D802" t="s">
        <v>19</v>
      </c>
      <c r="E802" t="s">
        <v>41</v>
      </c>
      <c r="F802" t="s">
        <v>21</v>
      </c>
      <c r="G802" s="23">
        <v>0.36</v>
      </c>
      <c r="H802" t="s">
        <v>42</v>
      </c>
      <c r="I802" t="s">
        <v>60</v>
      </c>
      <c r="J802" t="s">
        <v>54</v>
      </c>
      <c r="K802" t="s">
        <v>89</v>
      </c>
      <c r="L802" t="s">
        <v>26</v>
      </c>
      <c r="M802" t="s">
        <v>123</v>
      </c>
      <c r="N802" t="s">
        <v>28</v>
      </c>
      <c r="O802">
        <v>0</v>
      </c>
      <c r="P802">
        <v>39648</v>
      </c>
      <c r="Q802">
        <f t="shared" si="14"/>
        <v>3.9648000000000003E-2</v>
      </c>
      <c r="R802">
        <v>43252</v>
      </c>
      <c r="S802" t="s">
        <v>122</v>
      </c>
    </row>
    <row r="803" spans="1:19">
      <c r="A803">
        <v>60000168</v>
      </c>
      <c r="B803">
        <v>45</v>
      </c>
      <c r="C803" t="s">
        <v>33</v>
      </c>
      <c r="D803" t="s">
        <v>40</v>
      </c>
      <c r="E803" t="s">
        <v>72</v>
      </c>
      <c r="F803" t="s">
        <v>21</v>
      </c>
      <c r="G803" s="23">
        <v>0.35</v>
      </c>
      <c r="H803" t="s">
        <v>42</v>
      </c>
      <c r="I803" t="s">
        <v>83</v>
      </c>
      <c r="J803" t="s">
        <v>46</v>
      </c>
      <c r="K803" t="s">
        <v>71</v>
      </c>
      <c r="L803" t="s">
        <v>26</v>
      </c>
      <c r="M803" t="s">
        <v>123</v>
      </c>
      <c r="N803" t="s">
        <v>28</v>
      </c>
      <c r="O803">
        <v>5</v>
      </c>
      <c r="P803">
        <v>63995</v>
      </c>
      <c r="Q803">
        <f t="shared" si="14"/>
        <v>6.3994999999999996E-2</v>
      </c>
      <c r="R803">
        <v>43252</v>
      </c>
      <c r="S803" t="s">
        <v>122</v>
      </c>
    </row>
    <row r="804" spans="1:19">
      <c r="A804">
        <v>60000169</v>
      </c>
      <c r="B804">
        <v>56</v>
      </c>
      <c r="C804" t="s">
        <v>33</v>
      </c>
      <c r="D804" t="s">
        <v>40</v>
      </c>
      <c r="E804" t="s">
        <v>20</v>
      </c>
      <c r="F804" t="s">
        <v>21</v>
      </c>
      <c r="G804" s="23">
        <v>0.25</v>
      </c>
      <c r="H804" t="s">
        <v>53</v>
      </c>
      <c r="I804" t="s">
        <v>73</v>
      </c>
      <c r="J804" t="s">
        <v>54</v>
      </c>
      <c r="K804" t="s">
        <v>87</v>
      </c>
      <c r="L804" t="s">
        <v>26</v>
      </c>
      <c r="M804" t="s">
        <v>123</v>
      </c>
      <c r="N804" t="s">
        <v>28</v>
      </c>
      <c r="O804">
        <v>5</v>
      </c>
      <c r="P804">
        <v>76037</v>
      </c>
      <c r="Q804">
        <f t="shared" si="14"/>
        <v>7.6036999999999993E-2</v>
      </c>
      <c r="R804">
        <v>43252</v>
      </c>
      <c r="S804" t="s">
        <v>122</v>
      </c>
    </row>
    <row r="805" spans="1:19">
      <c r="A805">
        <v>60000170</v>
      </c>
      <c r="B805">
        <v>26</v>
      </c>
      <c r="C805" t="s">
        <v>18</v>
      </c>
      <c r="D805" t="s">
        <v>40</v>
      </c>
      <c r="E805" t="s">
        <v>67</v>
      </c>
      <c r="F805" t="s">
        <v>21</v>
      </c>
      <c r="G805" s="23">
        <v>0.17</v>
      </c>
      <c r="H805" t="s">
        <v>22</v>
      </c>
      <c r="I805" t="s">
        <v>70</v>
      </c>
      <c r="J805" t="s">
        <v>38</v>
      </c>
      <c r="K805" t="s">
        <v>89</v>
      </c>
      <c r="L805" t="s">
        <v>26</v>
      </c>
      <c r="M805" t="s">
        <v>123</v>
      </c>
      <c r="N805" t="s">
        <v>28</v>
      </c>
      <c r="O805">
        <v>0</v>
      </c>
      <c r="P805">
        <v>56856</v>
      </c>
      <c r="Q805">
        <f t="shared" si="14"/>
        <v>5.6855999999999997E-2</v>
      </c>
      <c r="R805">
        <v>43252</v>
      </c>
      <c r="S805" t="s">
        <v>122</v>
      </c>
    </row>
    <row r="806" spans="1:19">
      <c r="A806">
        <v>60000171</v>
      </c>
      <c r="B806">
        <v>32</v>
      </c>
      <c r="C806" t="s">
        <v>18</v>
      </c>
      <c r="D806" t="s">
        <v>19</v>
      </c>
      <c r="E806" t="s">
        <v>44</v>
      </c>
      <c r="F806" t="s">
        <v>21</v>
      </c>
      <c r="G806" s="23">
        <v>0.33</v>
      </c>
      <c r="H806" t="s">
        <v>42</v>
      </c>
      <c r="I806" t="s">
        <v>45</v>
      </c>
      <c r="J806" t="s">
        <v>78</v>
      </c>
      <c r="K806" t="s">
        <v>107</v>
      </c>
      <c r="L806" t="s">
        <v>26</v>
      </c>
      <c r="M806" t="s">
        <v>123</v>
      </c>
      <c r="N806" t="s">
        <v>28</v>
      </c>
      <c r="O806">
        <v>0</v>
      </c>
      <c r="P806">
        <v>60704</v>
      </c>
      <c r="Q806">
        <f t="shared" si="14"/>
        <v>6.0704000000000001E-2</v>
      </c>
      <c r="R806">
        <v>43252</v>
      </c>
      <c r="S806" t="s">
        <v>122</v>
      </c>
    </row>
    <row r="807" spans="1:19">
      <c r="A807">
        <v>60000172</v>
      </c>
      <c r="B807">
        <v>55</v>
      </c>
      <c r="C807" t="s">
        <v>33</v>
      </c>
      <c r="D807" t="s">
        <v>19</v>
      </c>
      <c r="E807" t="s">
        <v>85</v>
      </c>
      <c r="F807" t="s">
        <v>21</v>
      </c>
      <c r="G807" s="23">
        <v>0.25</v>
      </c>
      <c r="H807" t="s">
        <v>53</v>
      </c>
      <c r="I807" t="s">
        <v>62</v>
      </c>
      <c r="J807" t="s">
        <v>24</v>
      </c>
      <c r="K807" t="s">
        <v>108</v>
      </c>
      <c r="L807" t="s">
        <v>26</v>
      </c>
      <c r="M807" t="s">
        <v>123</v>
      </c>
      <c r="N807" t="s">
        <v>28</v>
      </c>
      <c r="O807">
        <v>0</v>
      </c>
      <c r="P807">
        <v>50080</v>
      </c>
      <c r="Q807">
        <f t="shared" si="14"/>
        <v>5.008E-2</v>
      </c>
      <c r="R807">
        <v>43252</v>
      </c>
      <c r="S807" t="s">
        <v>122</v>
      </c>
    </row>
    <row r="808" spans="1:19">
      <c r="A808">
        <v>60000173</v>
      </c>
      <c r="B808">
        <v>50</v>
      </c>
      <c r="C808" t="s">
        <v>33</v>
      </c>
      <c r="D808" t="s">
        <v>19</v>
      </c>
      <c r="E808" t="s">
        <v>34</v>
      </c>
      <c r="F808" t="s">
        <v>21</v>
      </c>
      <c r="G808" s="23">
        <v>0.21</v>
      </c>
      <c r="H808" t="s">
        <v>29</v>
      </c>
      <c r="I808" t="s">
        <v>80</v>
      </c>
      <c r="J808" t="s">
        <v>31</v>
      </c>
      <c r="K808" t="s">
        <v>84</v>
      </c>
      <c r="L808" t="s">
        <v>26</v>
      </c>
      <c r="M808" t="s">
        <v>123</v>
      </c>
      <c r="N808" t="s">
        <v>28</v>
      </c>
      <c r="O808">
        <v>0</v>
      </c>
      <c r="P808">
        <v>26389</v>
      </c>
      <c r="Q808">
        <f t="shared" si="14"/>
        <v>2.6388999999999999E-2</v>
      </c>
      <c r="R808">
        <v>43252</v>
      </c>
      <c r="S808" t="s">
        <v>122</v>
      </c>
    </row>
    <row r="809" spans="1:19">
      <c r="A809">
        <v>60000174</v>
      </c>
      <c r="B809">
        <v>23</v>
      </c>
      <c r="C809" t="s">
        <v>33</v>
      </c>
      <c r="D809" t="s">
        <v>19</v>
      </c>
      <c r="E809" t="s">
        <v>85</v>
      </c>
      <c r="F809" t="s">
        <v>21</v>
      </c>
      <c r="G809" s="23">
        <v>0.25</v>
      </c>
      <c r="H809" t="s">
        <v>53</v>
      </c>
      <c r="I809" t="s">
        <v>57</v>
      </c>
      <c r="J809" t="s">
        <v>38</v>
      </c>
      <c r="K809" t="s">
        <v>98</v>
      </c>
      <c r="L809" t="s">
        <v>26</v>
      </c>
      <c r="M809" t="s">
        <v>123</v>
      </c>
      <c r="N809" t="s">
        <v>28</v>
      </c>
      <c r="O809">
        <v>0</v>
      </c>
      <c r="P809">
        <v>29057</v>
      </c>
      <c r="Q809">
        <f t="shared" si="14"/>
        <v>2.9056999999999999E-2</v>
      </c>
      <c r="R809">
        <v>43252</v>
      </c>
      <c r="S809" t="s">
        <v>122</v>
      </c>
    </row>
    <row r="810" spans="1:19">
      <c r="A810">
        <v>60000175</v>
      </c>
      <c r="B810">
        <v>45</v>
      </c>
      <c r="C810" t="s">
        <v>33</v>
      </c>
      <c r="D810" t="s">
        <v>40</v>
      </c>
      <c r="E810" t="s">
        <v>75</v>
      </c>
      <c r="F810" t="s">
        <v>21</v>
      </c>
      <c r="G810" s="23">
        <v>0.14000000000000001</v>
      </c>
      <c r="H810" t="s">
        <v>22</v>
      </c>
      <c r="I810" t="s">
        <v>37</v>
      </c>
      <c r="J810" t="s">
        <v>31</v>
      </c>
      <c r="K810" t="s">
        <v>114</v>
      </c>
      <c r="L810" t="s">
        <v>26</v>
      </c>
      <c r="M810" t="s">
        <v>123</v>
      </c>
      <c r="N810" t="s">
        <v>28</v>
      </c>
      <c r="O810">
        <v>6</v>
      </c>
      <c r="P810">
        <v>33747</v>
      </c>
      <c r="Q810">
        <f t="shared" si="14"/>
        <v>3.3746999999999999E-2</v>
      </c>
      <c r="R810">
        <v>43252</v>
      </c>
      <c r="S810" t="s">
        <v>122</v>
      </c>
    </row>
    <row r="811" spans="1:19">
      <c r="A811">
        <v>60000176</v>
      </c>
      <c r="B811">
        <v>32</v>
      </c>
      <c r="C811" t="s">
        <v>33</v>
      </c>
      <c r="D811" t="s">
        <v>40</v>
      </c>
      <c r="E811" t="s">
        <v>64</v>
      </c>
      <c r="F811" t="s">
        <v>21</v>
      </c>
      <c r="G811" s="23">
        <v>0.27</v>
      </c>
      <c r="H811" t="s">
        <v>53</v>
      </c>
      <c r="I811" t="s">
        <v>68</v>
      </c>
      <c r="J811" t="s">
        <v>88</v>
      </c>
      <c r="K811" t="s">
        <v>63</v>
      </c>
      <c r="L811" t="s">
        <v>26</v>
      </c>
      <c r="M811" t="s">
        <v>123</v>
      </c>
      <c r="N811" t="s">
        <v>28</v>
      </c>
      <c r="O811">
        <v>2</v>
      </c>
      <c r="P811">
        <v>39675</v>
      </c>
      <c r="Q811">
        <f t="shared" si="14"/>
        <v>3.9675000000000002E-2</v>
      </c>
      <c r="R811">
        <v>43252</v>
      </c>
      <c r="S811" t="s">
        <v>122</v>
      </c>
    </row>
    <row r="812" spans="1:19">
      <c r="A812">
        <v>60000177</v>
      </c>
      <c r="B812">
        <v>49</v>
      </c>
      <c r="C812" t="s">
        <v>18</v>
      </c>
      <c r="D812" t="s">
        <v>19</v>
      </c>
      <c r="E812" t="s">
        <v>67</v>
      </c>
      <c r="F812" t="s">
        <v>21</v>
      </c>
      <c r="G812" s="23">
        <v>0.34</v>
      </c>
      <c r="H812" t="s">
        <v>42</v>
      </c>
      <c r="I812" t="s">
        <v>80</v>
      </c>
      <c r="J812" t="s">
        <v>54</v>
      </c>
      <c r="K812" t="s">
        <v>96</v>
      </c>
      <c r="L812" t="s">
        <v>26</v>
      </c>
      <c r="M812" t="s">
        <v>123</v>
      </c>
      <c r="N812" t="s">
        <v>28</v>
      </c>
      <c r="O812">
        <v>3</v>
      </c>
      <c r="P812">
        <v>32052</v>
      </c>
      <c r="Q812">
        <f t="shared" si="14"/>
        <v>3.2051999999999997E-2</v>
      </c>
      <c r="R812">
        <v>43252</v>
      </c>
      <c r="S812" t="s">
        <v>122</v>
      </c>
    </row>
    <row r="813" spans="1:19">
      <c r="A813">
        <v>60000178</v>
      </c>
      <c r="B813">
        <v>49</v>
      </c>
      <c r="C813" t="s">
        <v>33</v>
      </c>
      <c r="D813" t="s">
        <v>40</v>
      </c>
      <c r="E813" t="s">
        <v>72</v>
      </c>
      <c r="F813" t="s">
        <v>21</v>
      </c>
      <c r="G813" s="23">
        <v>0.31</v>
      </c>
      <c r="H813" t="s">
        <v>53</v>
      </c>
      <c r="I813" t="s">
        <v>57</v>
      </c>
      <c r="J813" t="s">
        <v>78</v>
      </c>
      <c r="K813" t="s">
        <v>118</v>
      </c>
      <c r="L813" t="s">
        <v>26</v>
      </c>
      <c r="M813" t="s">
        <v>123</v>
      </c>
      <c r="N813" t="s">
        <v>28</v>
      </c>
      <c r="O813">
        <v>6</v>
      </c>
      <c r="P813">
        <v>84649</v>
      </c>
      <c r="Q813">
        <f t="shared" si="14"/>
        <v>8.4649000000000002E-2</v>
      </c>
      <c r="R813">
        <v>43252</v>
      </c>
      <c r="S813" t="s">
        <v>122</v>
      </c>
    </row>
    <row r="814" spans="1:19">
      <c r="A814">
        <v>60000179</v>
      </c>
      <c r="B814">
        <v>32</v>
      </c>
      <c r="C814" t="s">
        <v>18</v>
      </c>
      <c r="D814" t="s">
        <v>40</v>
      </c>
      <c r="E814" t="s">
        <v>48</v>
      </c>
      <c r="F814" t="s">
        <v>21</v>
      </c>
      <c r="G814" s="23">
        <v>0.27</v>
      </c>
      <c r="H814" t="s">
        <v>53</v>
      </c>
      <c r="I814" t="s">
        <v>65</v>
      </c>
      <c r="J814" t="s">
        <v>58</v>
      </c>
      <c r="K814" t="s">
        <v>83</v>
      </c>
      <c r="L814" t="s">
        <v>26</v>
      </c>
      <c r="M814" t="s">
        <v>123</v>
      </c>
      <c r="N814" t="s">
        <v>28</v>
      </c>
      <c r="O814">
        <v>0</v>
      </c>
      <c r="P814">
        <v>54095</v>
      </c>
      <c r="Q814">
        <f t="shared" si="14"/>
        <v>5.4094999999999997E-2</v>
      </c>
      <c r="R814">
        <v>43252</v>
      </c>
      <c r="S814" t="s">
        <v>122</v>
      </c>
    </row>
    <row r="815" spans="1:19">
      <c r="A815">
        <v>60000180</v>
      </c>
      <c r="B815">
        <v>33</v>
      </c>
      <c r="C815" t="s">
        <v>18</v>
      </c>
      <c r="D815" t="s">
        <v>40</v>
      </c>
      <c r="E815" t="s">
        <v>48</v>
      </c>
      <c r="F815" t="s">
        <v>21</v>
      </c>
      <c r="G815" s="23">
        <v>0.33</v>
      </c>
      <c r="H815" t="s">
        <v>42</v>
      </c>
      <c r="I815" t="s">
        <v>57</v>
      </c>
      <c r="J815" t="s">
        <v>38</v>
      </c>
      <c r="K815" t="s">
        <v>104</v>
      </c>
      <c r="L815" t="s">
        <v>26</v>
      </c>
      <c r="M815" t="s">
        <v>123</v>
      </c>
      <c r="N815" t="s">
        <v>28</v>
      </c>
      <c r="O815">
        <v>1</v>
      </c>
      <c r="P815">
        <v>77038</v>
      </c>
      <c r="Q815">
        <f t="shared" si="14"/>
        <v>7.7037999999999995E-2</v>
      </c>
      <c r="R815">
        <v>43252</v>
      </c>
      <c r="S815" t="s">
        <v>122</v>
      </c>
    </row>
    <row r="816" spans="1:19">
      <c r="A816">
        <v>60000181</v>
      </c>
      <c r="B816">
        <v>59</v>
      </c>
      <c r="C816" t="s">
        <v>33</v>
      </c>
      <c r="D816" t="s">
        <v>19</v>
      </c>
      <c r="E816" t="s">
        <v>41</v>
      </c>
      <c r="F816" t="s">
        <v>21</v>
      </c>
      <c r="G816" s="23">
        <v>0.12</v>
      </c>
      <c r="H816" t="s">
        <v>22</v>
      </c>
      <c r="I816" t="s">
        <v>57</v>
      </c>
      <c r="J816" t="s">
        <v>24</v>
      </c>
      <c r="K816" t="s">
        <v>105</v>
      </c>
      <c r="L816" t="s">
        <v>26</v>
      </c>
      <c r="M816" t="s">
        <v>123</v>
      </c>
      <c r="N816" t="s">
        <v>28</v>
      </c>
      <c r="O816">
        <v>0</v>
      </c>
      <c r="P816">
        <v>51058</v>
      </c>
      <c r="Q816">
        <f t="shared" si="14"/>
        <v>5.1057999999999999E-2</v>
      </c>
      <c r="R816">
        <v>43252</v>
      </c>
      <c r="S816" t="s">
        <v>122</v>
      </c>
    </row>
    <row r="817" spans="1:19">
      <c r="A817">
        <v>60000182</v>
      </c>
      <c r="B817">
        <v>57</v>
      </c>
      <c r="C817" t="s">
        <v>18</v>
      </c>
      <c r="D817" t="s">
        <v>40</v>
      </c>
      <c r="E817" t="s">
        <v>48</v>
      </c>
      <c r="F817" t="s">
        <v>21</v>
      </c>
      <c r="G817" s="23">
        <v>0.11</v>
      </c>
      <c r="H817" t="s">
        <v>36</v>
      </c>
      <c r="I817" t="s">
        <v>30</v>
      </c>
      <c r="J817" t="s">
        <v>24</v>
      </c>
      <c r="K817" t="s">
        <v>104</v>
      </c>
      <c r="L817" t="s">
        <v>26</v>
      </c>
      <c r="M817" t="s">
        <v>123</v>
      </c>
      <c r="N817" t="s">
        <v>28</v>
      </c>
      <c r="O817">
        <v>0</v>
      </c>
      <c r="P817">
        <v>84183</v>
      </c>
      <c r="Q817">
        <f t="shared" si="14"/>
        <v>8.4182999999999994E-2</v>
      </c>
      <c r="R817">
        <v>43252</v>
      </c>
      <c r="S817" t="s">
        <v>122</v>
      </c>
    </row>
    <row r="818" spans="1:19">
      <c r="A818">
        <v>60000183</v>
      </c>
      <c r="B818">
        <v>61</v>
      </c>
      <c r="C818" t="s">
        <v>18</v>
      </c>
      <c r="D818" t="s">
        <v>19</v>
      </c>
      <c r="E818" t="s">
        <v>85</v>
      </c>
      <c r="F818" t="s">
        <v>21</v>
      </c>
      <c r="G818" s="23">
        <v>0.33</v>
      </c>
      <c r="H818" t="s">
        <v>42</v>
      </c>
      <c r="I818" t="s">
        <v>62</v>
      </c>
      <c r="J818" t="s">
        <v>58</v>
      </c>
      <c r="K818" t="s">
        <v>105</v>
      </c>
      <c r="L818" t="s">
        <v>26</v>
      </c>
      <c r="M818" t="s">
        <v>123</v>
      </c>
      <c r="N818" t="s">
        <v>28</v>
      </c>
      <c r="O818">
        <v>0</v>
      </c>
      <c r="P818">
        <v>48307</v>
      </c>
      <c r="Q818">
        <f t="shared" si="14"/>
        <v>4.8307000000000003E-2</v>
      </c>
      <c r="R818">
        <v>43252</v>
      </c>
      <c r="S818" t="s">
        <v>122</v>
      </c>
    </row>
    <row r="819" spans="1:19">
      <c r="A819">
        <v>60000184</v>
      </c>
      <c r="B819">
        <v>41</v>
      </c>
      <c r="C819" t="s">
        <v>33</v>
      </c>
      <c r="D819" t="s">
        <v>19</v>
      </c>
      <c r="E819" t="s">
        <v>64</v>
      </c>
      <c r="F819" t="s">
        <v>21</v>
      </c>
      <c r="G819" s="23">
        <v>0.25</v>
      </c>
      <c r="H819" t="s">
        <v>53</v>
      </c>
      <c r="I819" t="s">
        <v>73</v>
      </c>
      <c r="J819" t="s">
        <v>46</v>
      </c>
      <c r="K819" t="s">
        <v>62</v>
      </c>
      <c r="L819" t="s">
        <v>26</v>
      </c>
      <c r="M819" t="s">
        <v>123</v>
      </c>
      <c r="N819" t="s">
        <v>28</v>
      </c>
      <c r="O819">
        <v>1</v>
      </c>
      <c r="P819">
        <v>26567</v>
      </c>
      <c r="Q819">
        <f t="shared" si="14"/>
        <v>2.6567E-2</v>
      </c>
      <c r="R819">
        <v>43252</v>
      </c>
      <c r="S819" t="s">
        <v>122</v>
      </c>
    </row>
    <row r="820" spans="1:19">
      <c r="A820">
        <v>60000185</v>
      </c>
      <c r="B820">
        <v>46</v>
      </c>
      <c r="C820" t="s">
        <v>33</v>
      </c>
      <c r="D820" t="s">
        <v>40</v>
      </c>
      <c r="E820" t="s">
        <v>34</v>
      </c>
      <c r="F820" t="s">
        <v>21</v>
      </c>
      <c r="G820" s="23">
        <v>0.37</v>
      </c>
      <c r="H820" t="s">
        <v>42</v>
      </c>
      <c r="I820" t="s">
        <v>73</v>
      </c>
      <c r="J820" t="s">
        <v>58</v>
      </c>
      <c r="K820" t="s">
        <v>117</v>
      </c>
      <c r="L820" t="s">
        <v>26</v>
      </c>
      <c r="M820" t="s">
        <v>123</v>
      </c>
      <c r="N820" t="s">
        <v>28</v>
      </c>
      <c r="O820">
        <v>0</v>
      </c>
      <c r="P820">
        <v>60974</v>
      </c>
      <c r="Q820">
        <f t="shared" si="14"/>
        <v>6.0974E-2</v>
      </c>
      <c r="R820">
        <v>43252</v>
      </c>
      <c r="S820" t="s">
        <v>122</v>
      </c>
    </row>
    <row r="821" spans="1:19">
      <c r="A821">
        <v>60000186</v>
      </c>
      <c r="B821">
        <v>43</v>
      </c>
      <c r="C821" t="s">
        <v>33</v>
      </c>
      <c r="D821" t="s">
        <v>19</v>
      </c>
      <c r="E821" t="s">
        <v>75</v>
      </c>
      <c r="F821" t="s">
        <v>21</v>
      </c>
      <c r="G821" s="23">
        <v>0.16</v>
      </c>
      <c r="H821" t="s">
        <v>22</v>
      </c>
      <c r="I821" t="s">
        <v>65</v>
      </c>
      <c r="J821" t="s">
        <v>46</v>
      </c>
      <c r="K821" t="s">
        <v>55</v>
      </c>
      <c r="L821" t="s">
        <v>26</v>
      </c>
      <c r="M821" t="s">
        <v>123</v>
      </c>
      <c r="N821" t="s">
        <v>28</v>
      </c>
      <c r="O821">
        <v>2</v>
      </c>
      <c r="P821">
        <v>42439</v>
      </c>
      <c r="Q821">
        <f t="shared" si="14"/>
        <v>4.2438999999999998E-2</v>
      </c>
      <c r="R821">
        <v>43252</v>
      </c>
      <c r="S821" t="s">
        <v>122</v>
      </c>
    </row>
    <row r="822" spans="1:19">
      <c r="A822">
        <v>60000187</v>
      </c>
      <c r="B822">
        <v>23</v>
      </c>
      <c r="C822" t="s">
        <v>33</v>
      </c>
      <c r="D822" t="s">
        <v>19</v>
      </c>
      <c r="E822" t="s">
        <v>72</v>
      </c>
      <c r="F822" t="s">
        <v>21</v>
      </c>
      <c r="G822" s="23">
        <v>0.38</v>
      </c>
      <c r="H822" t="s">
        <v>42</v>
      </c>
      <c r="I822" t="s">
        <v>49</v>
      </c>
      <c r="J822" t="s">
        <v>54</v>
      </c>
      <c r="K822" t="s">
        <v>32</v>
      </c>
      <c r="L822" t="s">
        <v>26</v>
      </c>
      <c r="M822" t="s">
        <v>123</v>
      </c>
      <c r="N822" t="s">
        <v>28</v>
      </c>
      <c r="O822">
        <v>0</v>
      </c>
      <c r="P822">
        <v>55285</v>
      </c>
      <c r="Q822">
        <f t="shared" si="14"/>
        <v>5.5285000000000001E-2</v>
      </c>
      <c r="R822">
        <v>43252</v>
      </c>
      <c r="S822" t="s">
        <v>122</v>
      </c>
    </row>
    <row r="823" spans="1:19">
      <c r="A823">
        <v>60000188</v>
      </c>
      <c r="B823">
        <v>31</v>
      </c>
      <c r="C823" t="s">
        <v>33</v>
      </c>
      <c r="D823" t="s">
        <v>40</v>
      </c>
      <c r="E823" t="s">
        <v>72</v>
      </c>
      <c r="F823" t="s">
        <v>21</v>
      </c>
      <c r="G823" s="23">
        <v>0.17</v>
      </c>
      <c r="H823" t="s">
        <v>22</v>
      </c>
      <c r="I823" t="s">
        <v>68</v>
      </c>
      <c r="J823" t="s">
        <v>46</v>
      </c>
      <c r="K823" t="s">
        <v>102</v>
      </c>
      <c r="L823" t="s">
        <v>26</v>
      </c>
      <c r="M823" t="s">
        <v>123</v>
      </c>
      <c r="N823" t="s">
        <v>28</v>
      </c>
      <c r="O823">
        <v>4</v>
      </c>
      <c r="P823">
        <v>53544</v>
      </c>
      <c r="Q823">
        <f t="shared" si="14"/>
        <v>5.3544000000000001E-2</v>
      </c>
      <c r="R823">
        <v>43252</v>
      </c>
      <c r="S823" t="s">
        <v>122</v>
      </c>
    </row>
    <row r="824" spans="1:19">
      <c r="A824">
        <v>60000189</v>
      </c>
      <c r="B824">
        <v>20</v>
      </c>
      <c r="C824" t="s">
        <v>33</v>
      </c>
      <c r="D824" t="s">
        <v>19</v>
      </c>
      <c r="E824" t="s">
        <v>41</v>
      </c>
      <c r="F824" t="s">
        <v>21</v>
      </c>
      <c r="G824" s="23">
        <v>0.26</v>
      </c>
      <c r="H824" t="s">
        <v>53</v>
      </c>
      <c r="I824" t="s">
        <v>83</v>
      </c>
      <c r="J824" t="s">
        <v>38</v>
      </c>
      <c r="K824" t="s">
        <v>115</v>
      </c>
      <c r="L824" t="s">
        <v>26</v>
      </c>
      <c r="M824" t="s">
        <v>123</v>
      </c>
      <c r="N824" t="s">
        <v>28</v>
      </c>
      <c r="O824">
        <v>7</v>
      </c>
      <c r="P824">
        <v>73705</v>
      </c>
      <c r="Q824">
        <f t="shared" si="14"/>
        <v>7.3705000000000007E-2</v>
      </c>
      <c r="R824">
        <v>43252</v>
      </c>
      <c r="S824" t="s">
        <v>122</v>
      </c>
    </row>
    <row r="825" spans="1:19">
      <c r="A825">
        <v>60000190</v>
      </c>
      <c r="B825">
        <v>64</v>
      </c>
      <c r="C825" t="s">
        <v>18</v>
      </c>
      <c r="D825" t="s">
        <v>40</v>
      </c>
      <c r="E825" t="s">
        <v>44</v>
      </c>
      <c r="F825" t="s">
        <v>21</v>
      </c>
      <c r="G825" s="23">
        <v>0.19</v>
      </c>
      <c r="H825" t="s">
        <v>29</v>
      </c>
      <c r="I825" t="s">
        <v>68</v>
      </c>
      <c r="J825" t="s">
        <v>24</v>
      </c>
      <c r="K825" t="s">
        <v>71</v>
      </c>
      <c r="L825" t="s">
        <v>26</v>
      </c>
      <c r="M825" t="s">
        <v>123</v>
      </c>
      <c r="N825" t="s">
        <v>28</v>
      </c>
      <c r="O825">
        <v>0</v>
      </c>
      <c r="P825">
        <v>45558</v>
      </c>
      <c r="Q825">
        <f t="shared" si="14"/>
        <v>4.5558000000000001E-2</v>
      </c>
      <c r="R825">
        <v>43252</v>
      </c>
      <c r="S825" t="s">
        <v>122</v>
      </c>
    </row>
    <row r="826" spans="1:19">
      <c r="A826">
        <v>60000191</v>
      </c>
      <c r="B826">
        <v>26</v>
      </c>
      <c r="C826" t="s">
        <v>33</v>
      </c>
      <c r="D826" t="s">
        <v>19</v>
      </c>
      <c r="E826" t="s">
        <v>44</v>
      </c>
      <c r="F826" t="s">
        <v>21</v>
      </c>
      <c r="G826" s="23">
        <v>0.22</v>
      </c>
      <c r="H826" t="s">
        <v>29</v>
      </c>
      <c r="I826" t="s">
        <v>73</v>
      </c>
      <c r="J826" t="s">
        <v>31</v>
      </c>
      <c r="K826" t="s">
        <v>102</v>
      </c>
      <c r="L826" t="s">
        <v>26</v>
      </c>
      <c r="M826" t="s">
        <v>123</v>
      </c>
      <c r="N826" t="s">
        <v>28</v>
      </c>
      <c r="O826">
        <v>0</v>
      </c>
      <c r="P826">
        <v>52826</v>
      </c>
      <c r="Q826">
        <f t="shared" si="14"/>
        <v>5.2825999999999998E-2</v>
      </c>
      <c r="R826">
        <v>43252</v>
      </c>
      <c r="S826" t="s">
        <v>122</v>
      </c>
    </row>
    <row r="827" spans="1:19">
      <c r="A827">
        <v>60000192</v>
      </c>
      <c r="B827">
        <v>46</v>
      </c>
      <c r="C827" t="s">
        <v>18</v>
      </c>
      <c r="D827" t="s">
        <v>19</v>
      </c>
      <c r="E827" t="s">
        <v>20</v>
      </c>
      <c r="F827" t="s">
        <v>21</v>
      </c>
      <c r="G827" s="23">
        <v>0.23</v>
      </c>
      <c r="H827" t="s">
        <v>29</v>
      </c>
      <c r="I827" t="s">
        <v>86</v>
      </c>
      <c r="J827" t="s">
        <v>31</v>
      </c>
      <c r="K827" t="s">
        <v>110</v>
      </c>
      <c r="L827" t="s">
        <v>26</v>
      </c>
      <c r="M827" t="s">
        <v>123</v>
      </c>
      <c r="N827" t="s">
        <v>28</v>
      </c>
      <c r="O827">
        <v>1</v>
      </c>
      <c r="P827">
        <v>82293</v>
      </c>
      <c r="Q827">
        <f t="shared" si="14"/>
        <v>8.2293000000000005E-2</v>
      </c>
      <c r="R827">
        <v>43252</v>
      </c>
      <c r="S827" t="s">
        <v>122</v>
      </c>
    </row>
    <row r="828" spans="1:19">
      <c r="A828">
        <v>60000193</v>
      </c>
      <c r="B828">
        <v>45</v>
      </c>
      <c r="C828" t="s">
        <v>33</v>
      </c>
      <c r="D828" t="s">
        <v>40</v>
      </c>
      <c r="E828" t="s">
        <v>85</v>
      </c>
      <c r="F828" t="s">
        <v>21</v>
      </c>
      <c r="G828" s="23">
        <v>0.21</v>
      </c>
      <c r="H828" t="s">
        <v>29</v>
      </c>
      <c r="I828" t="s">
        <v>23</v>
      </c>
      <c r="J828" t="s">
        <v>24</v>
      </c>
      <c r="K828" t="s">
        <v>87</v>
      </c>
      <c r="L828" t="s">
        <v>26</v>
      </c>
      <c r="M828" t="s">
        <v>123</v>
      </c>
      <c r="N828" t="s">
        <v>28</v>
      </c>
      <c r="O828">
        <v>0</v>
      </c>
      <c r="P828">
        <v>40443</v>
      </c>
      <c r="Q828">
        <f t="shared" si="14"/>
        <v>4.0443E-2</v>
      </c>
      <c r="R828">
        <v>43252</v>
      </c>
      <c r="S828" t="s">
        <v>122</v>
      </c>
    </row>
    <row r="829" spans="1:19">
      <c r="A829">
        <v>60000194</v>
      </c>
      <c r="B829">
        <v>45</v>
      </c>
      <c r="C829" t="s">
        <v>18</v>
      </c>
      <c r="D829" t="s">
        <v>19</v>
      </c>
      <c r="E829" t="s">
        <v>85</v>
      </c>
      <c r="F829" t="s">
        <v>21</v>
      </c>
      <c r="G829" s="23">
        <v>0.18</v>
      </c>
      <c r="H829" t="s">
        <v>22</v>
      </c>
      <c r="I829" t="s">
        <v>57</v>
      </c>
      <c r="J829" t="s">
        <v>78</v>
      </c>
      <c r="K829" t="s">
        <v>115</v>
      </c>
      <c r="L829" t="s">
        <v>26</v>
      </c>
      <c r="M829" t="s">
        <v>123</v>
      </c>
      <c r="N829" t="s">
        <v>28</v>
      </c>
      <c r="O829">
        <v>0</v>
      </c>
      <c r="P829">
        <v>43835</v>
      </c>
      <c r="Q829">
        <f t="shared" si="14"/>
        <v>4.3834999999999999E-2</v>
      </c>
      <c r="R829">
        <v>43252</v>
      </c>
      <c r="S829" t="s">
        <v>122</v>
      </c>
    </row>
    <row r="830" spans="1:19">
      <c r="A830">
        <v>60000195</v>
      </c>
      <c r="B830">
        <v>56</v>
      </c>
      <c r="C830" t="s">
        <v>33</v>
      </c>
      <c r="D830" t="s">
        <v>19</v>
      </c>
      <c r="E830" t="s">
        <v>85</v>
      </c>
      <c r="F830" t="s">
        <v>21</v>
      </c>
      <c r="G830" s="23">
        <v>0.3</v>
      </c>
      <c r="H830" t="s">
        <v>53</v>
      </c>
      <c r="I830" t="s">
        <v>30</v>
      </c>
      <c r="J830" t="s">
        <v>31</v>
      </c>
      <c r="K830" t="s">
        <v>102</v>
      </c>
      <c r="L830" t="s">
        <v>26</v>
      </c>
      <c r="M830" t="s">
        <v>123</v>
      </c>
      <c r="N830" t="s">
        <v>28</v>
      </c>
      <c r="O830">
        <v>3</v>
      </c>
      <c r="P830">
        <v>49676</v>
      </c>
      <c r="Q830">
        <f t="shared" si="14"/>
        <v>4.9675999999999998E-2</v>
      </c>
      <c r="R830">
        <v>43252</v>
      </c>
      <c r="S830" t="s">
        <v>122</v>
      </c>
    </row>
    <row r="831" spans="1:19">
      <c r="A831">
        <v>60000196</v>
      </c>
      <c r="B831">
        <v>25</v>
      </c>
      <c r="C831" t="s">
        <v>33</v>
      </c>
      <c r="D831" t="s">
        <v>19</v>
      </c>
      <c r="E831" t="s">
        <v>67</v>
      </c>
      <c r="F831" t="s">
        <v>21</v>
      </c>
      <c r="G831" s="23">
        <v>0.16</v>
      </c>
      <c r="H831" t="s">
        <v>22</v>
      </c>
      <c r="I831" t="s">
        <v>62</v>
      </c>
      <c r="J831" t="s">
        <v>69</v>
      </c>
      <c r="K831" t="s">
        <v>113</v>
      </c>
      <c r="L831" t="s">
        <v>26</v>
      </c>
      <c r="M831" t="s">
        <v>123</v>
      </c>
      <c r="N831" t="s">
        <v>28</v>
      </c>
      <c r="O831">
        <v>0</v>
      </c>
      <c r="P831">
        <v>58756</v>
      </c>
      <c r="Q831">
        <f t="shared" si="14"/>
        <v>5.8756000000000003E-2</v>
      </c>
      <c r="R831">
        <v>43252</v>
      </c>
      <c r="S831" t="s">
        <v>122</v>
      </c>
    </row>
    <row r="832" spans="1:19">
      <c r="A832">
        <v>60000197</v>
      </c>
      <c r="B832">
        <v>50</v>
      </c>
      <c r="C832" t="s">
        <v>33</v>
      </c>
      <c r="D832" t="s">
        <v>19</v>
      </c>
      <c r="E832" t="s">
        <v>41</v>
      </c>
      <c r="F832" t="s">
        <v>21</v>
      </c>
      <c r="G832" s="23">
        <v>0.22</v>
      </c>
      <c r="H832" t="s">
        <v>29</v>
      </c>
      <c r="I832" t="s">
        <v>65</v>
      </c>
      <c r="J832" t="s">
        <v>24</v>
      </c>
      <c r="K832" t="s">
        <v>106</v>
      </c>
      <c r="L832" t="s">
        <v>26</v>
      </c>
      <c r="M832" t="s">
        <v>123</v>
      </c>
      <c r="N832" t="s">
        <v>28</v>
      </c>
      <c r="O832">
        <v>0</v>
      </c>
      <c r="P832">
        <v>44749</v>
      </c>
      <c r="Q832">
        <f t="shared" si="14"/>
        <v>4.4748999999999997E-2</v>
      </c>
      <c r="R832">
        <v>43252</v>
      </c>
      <c r="S832" t="s">
        <v>122</v>
      </c>
    </row>
    <row r="833" spans="1:19">
      <c r="A833">
        <v>60000198</v>
      </c>
      <c r="B833">
        <v>21</v>
      </c>
      <c r="C833" t="s">
        <v>18</v>
      </c>
      <c r="D833" t="s">
        <v>19</v>
      </c>
      <c r="E833" t="s">
        <v>64</v>
      </c>
      <c r="F833" t="s">
        <v>21</v>
      </c>
      <c r="G833" s="23">
        <v>0.3</v>
      </c>
      <c r="H833" t="s">
        <v>53</v>
      </c>
      <c r="I833" t="s">
        <v>68</v>
      </c>
      <c r="J833" t="s">
        <v>66</v>
      </c>
      <c r="K833" t="s">
        <v>43</v>
      </c>
      <c r="L833" t="s">
        <v>26</v>
      </c>
      <c r="M833" t="s">
        <v>123</v>
      </c>
      <c r="N833" t="s">
        <v>28</v>
      </c>
      <c r="O833">
        <v>0</v>
      </c>
      <c r="P833">
        <v>51884</v>
      </c>
      <c r="Q833">
        <f t="shared" si="14"/>
        <v>5.1884E-2</v>
      </c>
      <c r="R833">
        <v>43252</v>
      </c>
      <c r="S833" t="s">
        <v>122</v>
      </c>
    </row>
    <row r="834" spans="1:19">
      <c r="A834">
        <v>60000199</v>
      </c>
      <c r="B834">
        <v>64</v>
      </c>
      <c r="C834" t="s">
        <v>18</v>
      </c>
      <c r="D834" t="s">
        <v>19</v>
      </c>
      <c r="E834" t="s">
        <v>67</v>
      </c>
      <c r="F834" t="s">
        <v>21</v>
      </c>
      <c r="G834" s="23">
        <v>0.33</v>
      </c>
      <c r="H834" t="s">
        <v>42</v>
      </c>
      <c r="I834" t="s">
        <v>76</v>
      </c>
      <c r="J834" t="s">
        <v>74</v>
      </c>
      <c r="K834" t="s">
        <v>116</v>
      </c>
      <c r="L834" t="s">
        <v>26</v>
      </c>
      <c r="M834" t="s">
        <v>123</v>
      </c>
      <c r="N834" t="s">
        <v>28</v>
      </c>
      <c r="O834">
        <v>0</v>
      </c>
      <c r="P834">
        <v>50267</v>
      </c>
      <c r="Q834">
        <f t="shared" si="14"/>
        <v>5.0266999999999999E-2</v>
      </c>
      <c r="R834">
        <v>43252</v>
      </c>
      <c r="S834" t="s">
        <v>122</v>
      </c>
    </row>
    <row r="835" spans="1:19">
      <c r="A835">
        <v>60000200</v>
      </c>
      <c r="B835">
        <v>35</v>
      </c>
      <c r="C835" t="s">
        <v>33</v>
      </c>
      <c r="D835" t="s">
        <v>40</v>
      </c>
      <c r="E835" t="s">
        <v>34</v>
      </c>
      <c r="F835" t="s">
        <v>21</v>
      </c>
      <c r="G835" s="23">
        <v>0.25</v>
      </c>
      <c r="H835" t="s">
        <v>53</v>
      </c>
      <c r="I835" t="s">
        <v>37</v>
      </c>
      <c r="J835" t="s">
        <v>31</v>
      </c>
      <c r="K835" t="s">
        <v>117</v>
      </c>
      <c r="L835" t="s">
        <v>26</v>
      </c>
      <c r="M835" t="s">
        <v>123</v>
      </c>
      <c r="N835" t="s">
        <v>28</v>
      </c>
      <c r="O835">
        <v>0</v>
      </c>
      <c r="P835">
        <v>31636</v>
      </c>
      <c r="Q835">
        <f t="shared" si="14"/>
        <v>3.1635999999999997E-2</v>
      </c>
      <c r="R835">
        <v>43252</v>
      </c>
      <c r="S835" t="s">
        <v>122</v>
      </c>
    </row>
    <row r="836" spans="1:19">
      <c r="A836">
        <v>60000201</v>
      </c>
      <c r="B836">
        <v>31</v>
      </c>
      <c r="C836" t="s">
        <v>33</v>
      </c>
      <c r="D836" t="s">
        <v>19</v>
      </c>
      <c r="E836" t="s">
        <v>20</v>
      </c>
      <c r="F836" t="s">
        <v>21</v>
      </c>
      <c r="G836" s="23">
        <v>0.25</v>
      </c>
      <c r="H836" t="s">
        <v>53</v>
      </c>
      <c r="I836" t="s">
        <v>23</v>
      </c>
      <c r="J836" t="s">
        <v>88</v>
      </c>
      <c r="K836" t="s">
        <v>55</v>
      </c>
      <c r="L836" t="s">
        <v>26</v>
      </c>
      <c r="M836" t="s">
        <v>123</v>
      </c>
      <c r="N836" t="s">
        <v>28</v>
      </c>
      <c r="O836">
        <v>3</v>
      </c>
      <c r="P836">
        <v>77924</v>
      </c>
      <c r="Q836">
        <f t="shared" si="14"/>
        <v>7.7923999999999993E-2</v>
      </c>
      <c r="R836">
        <v>43252</v>
      </c>
      <c r="S836" t="s">
        <v>122</v>
      </c>
    </row>
    <row r="837" spans="1:19">
      <c r="A837">
        <v>60000202</v>
      </c>
      <c r="B837">
        <v>26</v>
      </c>
      <c r="C837" t="s">
        <v>33</v>
      </c>
      <c r="D837" t="s">
        <v>19</v>
      </c>
      <c r="E837" t="s">
        <v>44</v>
      </c>
      <c r="F837" t="s">
        <v>21</v>
      </c>
      <c r="G837" s="23">
        <v>0.12</v>
      </c>
      <c r="H837" t="s">
        <v>22</v>
      </c>
      <c r="I837" t="s">
        <v>65</v>
      </c>
      <c r="J837" t="s">
        <v>66</v>
      </c>
      <c r="K837" t="s">
        <v>117</v>
      </c>
      <c r="L837" t="s">
        <v>26</v>
      </c>
      <c r="M837" t="s">
        <v>123</v>
      </c>
      <c r="N837" t="s">
        <v>28</v>
      </c>
      <c r="O837">
        <v>0</v>
      </c>
      <c r="P837">
        <v>35126</v>
      </c>
      <c r="Q837">
        <f t="shared" si="14"/>
        <v>3.5125999999999998E-2</v>
      </c>
      <c r="R837">
        <v>43252</v>
      </c>
      <c r="S837" t="s">
        <v>122</v>
      </c>
    </row>
    <row r="838" spans="1:19">
      <c r="A838">
        <v>60000203</v>
      </c>
      <c r="B838">
        <v>61</v>
      </c>
      <c r="C838" t="s">
        <v>33</v>
      </c>
      <c r="D838" t="s">
        <v>19</v>
      </c>
      <c r="E838" t="s">
        <v>85</v>
      </c>
      <c r="F838" t="s">
        <v>21</v>
      </c>
      <c r="G838" s="23">
        <v>0.1</v>
      </c>
      <c r="H838" t="s">
        <v>36</v>
      </c>
      <c r="I838" t="s">
        <v>68</v>
      </c>
      <c r="J838" t="s">
        <v>46</v>
      </c>
      <c r="K838" t="s">
        <v>103</v>
      </c>
      <c r="L838" t="s">
        <v>26</v>
      </c>
      <c r="M838" t="s">
        <v>123</v>
      </c>
      <c r="N838" t="s">
        <v>28</v>
      </c>
      <c r="O838">
        <v>2</v>
      </c>
      <c r="P838">
        <v>74576</v>
      </c>
      <c r="Q838">
        <f t="shared" si="14"/>
        <v>7.4576000000000003E-2</v>
      </c>
      <c r="R838">
        <v>43252</v>
      </c>
      <c r="S838" t="s">
        <v>122</v>
      </c>
    </row>
    <row r="839" spans="1:19">
      <c r="A839">
        <v>60000204</v>
      </c>
      <c r="B839">
        <v>27</v>
      </c>
      <c r="C839" t="s">
        <v>18</v>
      </c>
      <c r="D839" t="s">
        <v>40</v>
      </c>
      <c r="E839" t="s">
        <v>67</v>
      </c>
      <c r="F839" t="s">
        <v>21</v>
      </c>
      <c r="G839" s="23">
        <v>0.31</v>
      </c>
      <c r="H839" t="s">
        <v>53</v>
      </c>
      <c r="I839" t="s">
        <v>57</v>
      </c>
      <c r="J839" t="s">
        <v>38</v>
      </c>
      <c r="K839" t="s">
        <v>109</v>
      </c>
      <c r="L839" t="s">
        <v>26</v>
      </c>
      <c r="M839" t="s">
        <v>123</v>
      </c>
      <c r="N839" t="s">
        <v>28</v>
      </c>
      <c r="O839">
        <v>0</v>
      </c>
      <c r="P839">
        <v>42426</v>
      </c>
      <c r="Q839">
        <f t="shared" si="14"/>
        <v>4.2425999999999998E-2</v>
      </c>
      <c r="R839">
        <v>43252</v>
      </c>
      <c r="S839" t="s">
        <v>122</v>
      </c>
    </row>
    <row r="840" spans="1:19">
      <c r="A840">
        <v>60000205</v>
      </c>
      <c r="B840">
        <v>36</v>
      </c>
      <c r="C840" t="s">
        <v>33</v>
      </c>
      <c r="D840" t="s">
        <v>40</v>
      </c>
      <c r="E840" t="s">
        <v>75</v>
      </c>
      <c r="F840" t="s">
        <v>21</v>
      </c>
      <c r="G840" s="23">
        <v>0.2</v>
      </c>
      <c r="H840" t="s">
        <v>29</v>
      </c>
      <c r="I840" t="s">
        <v>60</v>
      </c>
      <c r="J840" t="s">
        <v>31</v>
      </c>
      <c r="K840" t="s">
        <v>113</v>
      </c>
      <c r="L840" t="s">
        <v>26</v>
      </c>
      <c r="M840" t="s">
        <v>123</v>
      </c>
      <c r="N840" t="s">
        <v>28</v>
      </c>
      <c r="O840">
        <v>0</v>
      </c>
      <c r="P840">
        <v>41369</v>
      </c>
      <c r="Q840">
        <f t="shared" si="14"/>
        <v>4.1369000000000003E-2</v>
      </c>
      <c r="R840">
        <v>43252</v>
      </c>
      <c r="S840" t="s">
        <v>122</v>
      </c>
    </row>
    <row r="841" spans="1:19">
      <c r="A841">
        <v>60000206</v>
      </c>
      <c r="B841">
        <v>41</v>
      </c>
      <c r="C841" t="s">
        <v>18</v>
      </c>
      <c r="D841" t="s">
        <v>19</v>
      </c>
      <c r="E841" t="s">
        <v>85</v>
      </c>
      <c r="F841" t="s">
        <v>21</v>
      </c>
      <c r="G841" s="23">
        <v>0.28999999999999998</v>
      </c>
      <c r="H841" t="s">
        <v>53</v>
      </c>
      <c r="I841" t="s">
        <v>76</v>
      </c>
      <c r="J841" t="s">
        <v>24</v>
      </c>
      <c r="K841" t="s">
        <v>107</v>
      </c>
      <c r="L841" t="s">
        <v>26</v>
      </c>
      <c r="M841" t="s">
        <v>123</v>
      </c>
      <c r="N841" t="s">
        <v>28</v>
      </c>
      <c r="O841">
        <v>2</v>
      </c>
      <c r="P841">
        <v>80132</v>
      </c>
      <c r="Q841">
        <f t="shared" si="14"/>
        <v>8.0131999999999995E-2</v>
      </c>
      <c r="R841">
        <v>43252</v>
      </c>
      <c r="S841" t="s">
        <v>122</v>
      </c>
    </row>
    <row r="842" spans="1:19">
      <c r="A842">
        <v>60000207</v>
      </c>
      <c r="B842">
        <v>20</v>
      </c>
      <c r="C842" t="s">
        <v>33</v>
      </c>
      <c r="D842" t="s">
        <v>19</v>
      </c>
      <c r="E842" t="s">
        <v>44</v>
      </c>
      <c r="F842" t="s">
        <v>21</v>
      </c>
      <c r="G842" s="23">
        <v>0.17</v>
      </c>
      <c r="H842" t="s">
        <v>22</v>
      </c>
      <c r="I842" t="s">
        <v>70</v>
      </c>
      <c r="J842" t="s">
        <v>88</v>
      </c>
      <c r="K842" t="s">
        <v>98</v>
      </c>
      <c r="L842" t="s">
        <v>26</v>
      </c>
      <c r="M842" t="s">
        <v>123</v>
      </c>
      <c r="N842" t="s">
        <v>28</v>
      </c>
      <c r="O842">
        <v>0</v>
      </c>
      <c r="P842">
        <v>54339</v>
      </c>
      <c r="Q842">
        <f t="shared" si="14"/>
        <v>5.4338999999999998E-2</v>
      </c>
      <c r="R842">
        <v>43252</v>
      </c>
      <c r="S842" t="s">
        <v>122</v>
      </c>
    </row>
    <row r="843" spans="1:19">
      <c r="A843">
        <v>60000208</v>
      </c>
      <c r="B843">
        <v>44</v>
      </c>
      <c r="C843" t="s">
        <v>18</v>
      </c>
      <c r="D843" t="s">
        <v>40</v>
      </c>
      <c r="E843" t="s">
        <v>75</v>
      </c>
      <c r="F843" t="s">
        <v>21</v>
      </c>
      <c r="G843" s="23">
        <v>0.34</v>
      </c>
      <c r="H843" t="s">
        <v>42</v>
      </c>
      <c r="I843" t="s">
        <v>62</v>
      </c>
      <c r="J843" t="s">
        <v>38</v>
      </c>
      <c r="K843" t="s">
        <v>108</v>
      </c>
      <c r="L843" t="s">
        <v>26</v>
      </c>
      <c r="M843" t="s">
        <v>123</v>
      </c>
      <c r="N843" t="s">
        <v>28</v>
      </c>
      <c r="O843">
        <v>2</v>
      </c>
      <c r="P843">
        <v>29293</v>
      </c>
      <c r="Q843">
        <f t="shared" si="14"/>
        <v>2.9293E-2</v>
      </c>
      <c r="R843">
        <v>43252</v>
      </c>
      <c r="S843" t="s">
        <v>122</v>
      </c>
    </row>
    <row r="844" spans="1:19">
      <c r="A844">
        <v>60000209</v>
      </c>
      <c r="B844">
        <v>35</v>
      </c>
      <c r="C844" t="s">
        <v>18</v>
      </c>
      <c r="D844" t="s">
        <v>19</v>
      </c>
      <c r="E844" t="s">
        <v>64</v>
      </c>
      <c r="F844" t="s">
        <v>21</v>
      </c>
      <c r="G844" s="23">
        <v>0.35</v>
      </c>
      <c r="H844" t="s">
        <v>42</v>
      </c>
      <c r="I844" t="s">
        <v>49</v>
      </c>
      <c r="J844" t="s">
        <v>38</v>
      </c>
      <c r="K844" t="s">
        <v>102</v>
      </c>
      <c r="L844" t="s">
        <v>26</v>
      </c>
      <c r="M844" t="s">
        <v>123</v>
      </c>
      <c r="N844" t="s">
        <v>28</v>
      </c>
      <c r="O844">
        <v>2</v>
      </c>
      <c r="P844">
        <v>49172</v>
      </c>
      <c r="Q844">
        <f t="shared" si="14"/>
        <v>4.9172E-2</v>
      </c>
      <c r="R844">
        <v>43252</v>
      </c>
      <c r="S844" t="s">
        <v>122</v>
      </c>
    </row>
    <row r="845" spans="1:19">
      <c r="A845">
        <v>60000210</v>
      </c>
      <c r="B845">
        <v>55</v>
      </c>
      <c r="C845" t="s">
        <v>33</v>
      </c>
      <c r="D845" t="s">
        <v>19</v>
      </c>
      <c r="E845" t="s">
        <v>75</v>
      </c>
      <c r="F845" t="s">
        <v>21</v>
      </c>
      <c r="G845" s="23">
        <v>0.25</v>
      </c>
      <c r="H845" t="s">
        <v>53</v>
      </c>
      <c r="I845" t="s">
        <v>60</v>
      </c>
      <c r="J845" t="s">
        <v>46</v>
      </c>
      <c r="K845" t="s">
        <v>50</v>
      </c>
      <c r="L845" t="s">
        <v>26</v>
      </c>
      <c r="M845" t="s">
        <v>123</v>
      </c>
      <c r="N845" t="s">
        <v>28</v>
      </c>
      <c r="O845">
        <v>1</v>
      </c>
      <c r="P845">
        <v>56939</v>
      </c>
      <c r="Q845">
        <f t="shared" si="14"/>
        <v>5.6938999999999997E-2</v>
      </c>
      <c r="R845">
        <v>43252</v>
      </c>
      <c r="S845" t="s">
        <v>122</v>
      </c>
    </row>
    <row r="846" spans="1:19">
      <c r="A846">
        <v>60000211</v>
      </c>
      <c r="B846">
        <v>62</v>
      </c>
      <c r="C846" t="s">
        <v>33</v>
      </c>
      <c r="D846" t="s">
        <v>40</v>
      </c>
      <c r="E846" t="s">
        <v>41</v>
      </c>
      <c r="F846" t="s">
        <v>21</v>
      </c>
      <c r="G846" s="23">
        <v>0.13</v>
      </c>
      <c r="H846" t="s">
        <v>22</v>
      </c>
      <c r="I846" t="s">
        <v>30</v>
      </c>
      <c r="J846" t="s">
        <v>38</v>
      </c>
      <c r="K846" t="s">
        <v>59</v>
      </c>
      <c r="L846" t="s">
        <v>26</v>
      </c>
      <c r="M846" t="s">
        <v>123</v>
      </c>
      <c r="N846" t="s">
        <v>28</v>
      </c>
      <c r="O846">
        <v>6</v>
      </c>
      <c r="P846">
        <v>68211</v>
      </c>
      <c r="Q846">
        <f t="shared" si="14"/>
        <v>6.8210999999999994E-2</v>
      </c>
      <c r="R846">
        <v>43252</v>
      </c>
      <c r="S846" t="s">
        <v>122</v>
      </c>
    </row>
    <row r="847" spans="1:19">
      <c r="A847">
        <v>60000212</v>
      </c>
      <c r="B847">
        <v>32</v>
      </c>
      <c r="C847" t="s">
        <v>33</v>
      </c>
      <c r="D847" t="s">
        <v>19</v>
      </c>
      <c r="E847" t="s">
        <v>20</v>
      </c>
      <c r="F847" t="s">
        <v>21</v>
      </c>
      <c r="G847" s="23">
        <v>0.3</v>
      </c>
      <c r="H847" t="s">
        <v>53</v>
      </c>
      <c r="I847" t="s">
        <v>68</v>
      </c>
      <c r="J847" t="s">
        <v>88</v>
      </c>
      <c r="K847" t="s">
        <v>59</v>
      </c>
      <c r="L847" t="s">
        <v>26</v>
      </c>
      <c r="M847" t="s">
        <v>123</v>
      </c>
      <c r="N847" t="s">
        <v>28</v>
      </c>
      <c r="O847">
        <v>3</v>
      </c>
      <c r="P847">
        <v>28402</v>
      </c>
      <c r="Q847">
        <f t="shared" si="14"/>
        <v>2.8402E-2</v>
      </c>
      <c r="R847">
        <v>43252</v>
      </c>
      <c r="S847" t="s">
        <v>122</v>
      </c>
    </row>
    <row r="848" spans="1:19">
      <c r="A848">
        <v>60000213</v>
      </c>
      <c r="B848">
        <v>56</v>
      </c>
      <c r="C848" t="s">
        <v>18</v>
      </c>
      <c r="D848" t="s">
        <v>19</v>
      </c>
      <c r="E848" t="s">
        <v>41</v>
      </c>
      <c r="F848" t="s">
        <v>21</v>
      </c>
      <c r="G848" s="23">
        <v>0.31</v>
      </c>
      <c r="H848" t="s">
        <v>53</v>
      </c>
      <c r="I848" t="s">
        <v>83</v>
      </c>
      <c r="J848" t="s">
        <v>46</v>
      </c>
      <c r="K848" t="s">
        <v>87</v>
      </c>
      <c r="L848" t="s">
        <v>26</v>
      </c>
      <c r="M848" t="s">
        <v>123</v>
      </c>
      <c r="N848" t="s">
        <v>28</v>
      </c>
      <c r="O848">
        <v>7</v>
      </c>
      <c r="P848">
        <v>55637</v>
      </c>
      <c r="Q848">
        <f t="shared" si="14"/>
        <v>5.5636999999999999E-2</v>
      </c>
      <c r="R848">
        <v>43252</v>
      </c>
      <c r="S848" t="s">
        <v>122</v>
      </c>
    </row>
    <row r="849" spans="1:19">
      <c r="A849">
        <v>60000214</v>
      </c>
      <c r="B849">
        <v>31</v>
      </c>
      <c r="C849" t="s">
        <v>33</v>
      </c>
      <c r="D849" t="s">
        <v>19</v>
      </c>
      <c r="E849" t="s">
        <v>41</v>
      </c>
      <c r="F849" t="s">
        <v>21</v>
      </c>
      <c r="G849" s="23">
        <v>0.28999999999999998</v>
      </c>
      <c r="H849" t="s">
        <v>53</v>
      </c>
      <c r="I849" t="s">
        <v>83</v>
      </c>
      <c r="J849" t="s">
        <v>24</v>
      </c>
      <c r="K849" t="s">
        <v>47</v>
      </c>
      <c r="L849" t="s">
        <v>26</v>
      </c>
      <c r="M849" t="s">
        <v>123</v>
      </c>
      <c r="N849" t="s">
        <v>28</v>
      </c>
      <c r="O849">
        <v>7</v>
      </c>
      <c r="P849">
        <v>60695</v>
      </c>
      <c r="Q849">
        <f t="shared" si="14"/>
        <v>6.0694999999999999E-2</v>
      </c>
      <c r="R849">
        <v>43252</v>
      </c>
      <c r="S849" t="s">
        <v>122</v>
      </c>
    </row>
    <row r="850" spans="1:19">
      <c r="A850">
        <v>60000215</v>
      </c>
      <c r="B850">
        <v>49</v>
      </c>
      <c r="C850" t="s">
        <v>18</v>
      </c>
      <c r="D850" t="s">
        <v>40</v>
      </c>
      <c r="E850" t="s">
        <v>64</v>
      </c>
      <c r="F850" t="s">
        <v>21</v>
      </c>
      <c r="G850" s="23">
        <v>0.35</v>
      </c>
      <c r="H850" t="s">
        <v>42</v>
      </c>
      <c r="I850" t="s">
        <v>73</v>
      </c>
      <c r="J850" t="s">
        <v>66</v>
      </c>
      <c r="K850" t="s">
        <v>105</v>
      </c>
      <c r="L850" t="s">
        <v>26</v>
      </c>
      <c r="M850" t="s">
        <v>123</v>
      </c>
      <c r="N850" t="s">
        <v>28</v>
      </c>
      <c r="O850">
        <v>0</v>
      </c>
      <c r="P850">
        <v>48064</v>
      </c>
      <c r="Q850">
        <f t="shared" si="14"/>
        <v>4.8064000000000003E-2</v>
      </c>
      <c r="R850">
        <v>43252</v>
      </c>
      <c r="S850" t="s">
        <v>122</v>
      </c>
    </row>
    <row r="851" spans="1:19">
      <c r="A851">
        <v>60000216</v>
      </c>
      <c r="B851">
        <v>21</v>
      </c>
      <c r="C851" t="s">
        <v>18</v>
      </c>
      <c r="D851" t="s">
        <v>40</v>
      </c>
      <c r="E851" t="s">
        <v>67</v>
      </c>
      <c r="F851" t="s">
        <v>21</v>
      </c>
      <c r="G851" s="23">
        <v>0.37</v>
      </c>
      <c r="H851" t="s">
        <v>42</v>
      </c>
      <c r="I851" t="s">
        <v>65</v>
      </c>
      <c r="J851" t="s">
        <v>66</v>
      </c>
      <c r="K851" t="s">
        <v>114</v>
      </c>
      <c r="L851" t="s">
        <v>26</v>
      </c>
      <c r="M851" t="s">
        <v>123</v>
      </c>
      <c r="N851" t="s">
        <v>28</v>
      </c>
      <c r="O851">
        <v>0</v>
      </c>
      <c r="P851">
        <v>65535</v>
      </c>
      <c r="Q851">
        <f t="shared" si="14"/>
        <v>6.5534999999999996E-2</v>
      </c>
      <c r="R851">
        <v>43252</v>
      </c>
      <c r="S851" t="s">
        <v>122</v>
      </c>
    </row>
    <row r="852" spans="1:19">
      <c r="A852">
        <v>60000217</v>
      </c>
      <c r="B852">
        <v>32</v>
      </c>
      <c r="C852" t="s">
        <v>18</v>
      </c>
      <c r="D852" t="s">
        <v>40</v>
      </c>
      <c r="E852" t="s">
        <v>34</v>
      </c>
      <c r="F852" t="s">
        <v>21</v>
      </c>
      <c r="G852" s="23">
        <v>0.21</v>
      </c>
      <c r="H852" t="s">
        <v>29</v>
      </c>
      <c r="I852" t="s">
        <v>62</v>
      </c>
      <c r="J852" t="s">
        <v>61</v>
      </c>
      <c r="K852" t="s">
        <v>117</v>
      </c>
      <c r="L852" t="s">
        <v>26</v>
      </c>
      <c r="M852" t="s">
        <v>123</v>
      </c>
      <c r="N852" t="s">
        <v>28</v>
      </c>
      <c r="O852">
        <v>5</v>
      </c>
      <c r="P852">
        <v>29266</v>
      </c>
      <c r="Q852">
        <f t="shared" si="14"/>
        <v>2.9266E-2</v>
      </c>
      <c r="R852">
        <v>43252</v>
      </c>
      <c r="S852" t="s">
        <v>122</v>
      </c>
    </row>
    <row r="853" spans="1:19">
      <c r="A853">
        <v>60000218</v>
      </c>
      <c r="B853">
        <v>43</v>
      </c>
      <c r="C853" t="s">
        <v>33</v>
      </c>
      <c r="D853" t="s">
        <v>19</v>
      </c>
      <c r="E853" t="s">
        <v>67</v>
      </c>
      <c r="F853" t="s">
        <v>21</v>
      </c>
      <c r="G853" s="23">
        <v>0.32</v>
      </c>
      <c r="H853" t="s">
        <v>42</v>
      </c>
      <c r="I853" t="s">
        <v>57</v>
      </c>
      <c r="J853" t="s">
        <v>74</v>
      </c>
      <c r="K853" t="s">
        <v>25</v>
      </c>
      <c r="L853" t="s">
        <v>26</v>
      </c>
      <c r="M853" t="s">
        <v>123</v>
      </c>
      <c r="N853" t="s">
        <v>28</v>
      </c>
      <c r="O853">
        <v>2</v>
      </c>
      <c r="P853">
        <v>45406</v>
      </c>
      <c r="Q853">
        <f t="shared" si="14"/>
        <v>4.5406000000000002E-2</v>
      </c>
      <c r="R853">
        <v>43252</v>
      </c>
      <c r="S853" t="s">
        <v>122</v>
      </c>
    </row>
    <row r="854" spans="1:19">
      <c r="A854">
        <v>60000219</v>
      </c>
      <c r="B854">
        <v>22</v>
      </c>
      <c r="C854" t="s">
        <v>18</v>
      </c>
      <c r="D854" t="s">
        <v>40</v>
      </c>
      <c r="E854" t="s">
        <v>67</v>
      </c>
      <c r="F854" t="s">
        <v>21</v>
      </c>
      <c r="G854" s="23">
        <v>0.19</v>
      </c>
      <c r="H854" t="s">
        <v>29</v>
      </c>
      <c r="I854" t="s">
        <v>65</v>
      </c>
      <c r="J854" t="s">
        <v>31</v>
      </c>
      <c r="K854" t="s">
        <v>109</v>
      </c>
      <c r="L854" t="s">
        <v>26</v>
      </c>
      <c r="M854" t="s">
        <v>123</v>
      </c>
      <c r="N854" t="s">
        <v>28</v>
      </c>
      <c r="O854">
        <v>0</v>
      </c>
      <c r="P854">
        <v>41428</v>
      </c>
      <c r="Q854">
        <f t="shared" si="14"/>
        <v>4.1428E-2</v>
      </c>
      <c r="R854">
        <v>43252</v>
      </c>
      <c r="S854" t="s">
        <v>122</v>
      </c>
    </row>
    <row r="855" spans="1:19">
      <c r="A855">
        <v>60000220</v>
      </c>
      <c r="B855">
        <v>31</v>
      </c>
      <c r="C855" t="s">
        <v>18</v>
      </c>
      <c r="D855" t="s">
        <v>19</v>
      </c>
      <c r="E855" t="s">
        <v>72</v>
      </c>
      <c r="F855" t="s">
        <v>21</v>
      </c>
      <c r="G855" s="23">
        <v>0.27</v>
      </c>
      <c r="H855" t="s">
        <v>53</v>
      </c>
      <c r="I855" t="s">
        <v>37</v>
      </c>
      <c r="J855" t="s">
        <v>58</v>
      </c>
      <c r="K855" t="s">
        <v>99</v>
      </c>
      <c r="L855" t="s">
        <v>26</v>
      </c>
      <c r="M855" t="s">
        <v>123</v>
      </c>
      <c r="N855" t="s">
        <v>28</v>
      </c>
      <c r="O855">
        <v>0</v>
      </c>
      <c r="P855">
        <v>73750</v>
      </c>
      <c r="Q855">
        <f t="shared" si="14"/>
        <v>7.3749999999999996E-2</v>
      </c>
      <c r="R855">
        <v>43252</v>
      </c>
      <c r="S855" t="s">
        <v>122</v>
      </c>
    </row>
    <row r="856" spans="1:19">
      <c r="A856">
        <v>60000221</v>
      </c>
      <c r="B856">
        <v>29</v>
      </c>
      <c r="C856" t="s">
        <v>18</v>
      </c>
      <c r="D856" t="s">
        <v>40</v>
      </c>
      <c r="E856" t="s">
        <v>52</v>
      </c>
      <c r="F856" t="s">
        <v>21</v>
      </c>
      <c r="G856" s="23">
        <v>0.14000000000000001</v>
      </c>
      <c r="H856" t="s">
        <v>22</v>
      </c>
      <c r="I856" t="s">
        <v>49</v>
      </c>
      <c r="J856" t="s">
        <v>61</v>
      </c>
      <c r="K856" t="s">
        <v>111</v>
      </c>
      <c r="L856" t="s">
        <v>26</v>
      </c>
      <c r="M856" t="s">
        <v>123</v>
      </c>
      <c r="N856" t="s">
        <v>28</v>
      </c>
      <c r="O856">
        <v>2</v>
      </c>
      <c r="P856">
        <v>72331</v>
      </c>
      <c r="Q856">
        <f t="shared" si="14"/>
        <v>7.2331000000000006E-2</v>
      </c>
      <c r="R856">
        <v>43252</v>
      </c>
      <c r="S856" t="s">
        <v>122</v>
      </c>
    </row>
    <row r="857" spans="1:19">
      <c r="A857">
        <v>60000222</v>
      </c>
      <c r="B857">
        <v>31</v>
      </c>
      <c r="C857" t="s">
        <v>33</v>
      </c>
      <c r="D857" t="s">
        <v>19</v>
      </c>
      <c r="E857" t="s">
        <v>64</v>
      </c>
      <c r="F857" t="s">
        <v>21</v>
      </c>
      <c r="G857" s="23">
        <v>0.2</v>
      </c>
      <c r="H857" t="s">
        <v>29</v>
      </c>
      <c r="I857" t="s">
        <v>30</v>
      </c>
      <c r="J857" t="s">
        <v>58</v>
      </c>
      <c r="K857" t="s">
        <v>55</v>
      </c>
      <c r="L857" t="s">
        <v>26</v>
      </c>
      <c r="M857" t="s">
        <v>123</v>
      </c>
      <c r="N857" t="s">
        <v>28</v>
      </c>
      <c r="O857">
        <v>0</v>
      </c>
      <c r="P857">
        <v>35213</v>
      </c>
      <c r="Q857">
        <f t="shared" ref="Q857:Q920" si="15">+P857/1000000</f>
        <v>3.5213000000000001E-2</v>
      </c>
      <c r="R857">
        <v>43252</v>
      </c>
      <c r="S857" t="s">
        <v>122</v>
      </c>
    </row>
    <row r="858" spans="1:19">
      <c r="A858">
        <v>60000223</v>
      </c>
      <c r="B858">
        <v>60</v>
      </c>
      <c r="C858" t="s">
        <v>18</v>
      </c>
      <c r="D858" t="s">
        <v>40</v>
      </c>
      <c r="E858" t="s">
        <v>85</v>
      </c>
      <c r="F858" t="s">
        <v>21</v>
      </c>
      <c r="G858" s="23">
        <v>0.13</v>
      </c>
      <c r="H858" t="s">
        <v>22</v>
      </c>
      <c r="I858" t="s">
        <v>60</v>
      </c>
      <c r="J858" t="s">
        <v>58</v>
      </c>
      <c r="K858" t="s">
        <v>50</v>
      </c>
      <c r="L858" t="s">
        <v>26</v>
      </c>
      <c r="M858" t="s">
        <v>123</v>
      </c>
      <c r="N858" t="s">
        <v>28</v>
      </c>
      <c r="O858">
        <v>4</v>
      </c>
      <c r="P858">
        <v>82583</v>
      </c>
      <c r="Q858">
        <f t="shared" si="15"/>
        <v>8.2583000000000004E-2</v>
      </c>
      <c r="R858">
        <v>43252</v>
      </c>
      <c r="S858" t="s">
        <v>122</v>
      </c>
    </row>
    <row r="859" spans="1:19">
      <c r="A859">
        <v>60000224</v>
      </c>
      <c r="B859">
        <v>58</v>
      </c>
      <c r="C859" t="s">
        <v>18</v>
      </c>
      <c r="D859" t="s">
        <v>19</v>
      </c>
      <c r="E859" t="s">
        <v>41</v>
      </c>
      <c r="F859" t="s">
        <v>21</v>
      </c>
      <c r="G859" s="23">
        <v>0.28999999999999998</v>
      </c>
      <c r="H859" t="s">
        <v>53</v>
      </c>
      <c r="I859" t="s">
        <v>68</v>
      </c>
      <c r="J859" t="s">
        <v>46</v>
      </c>
      <c r="K859" t="s">
        <v>95</v>
      </c>
      <c r="L859" t="s">
        <v>26</v>
      </c>
      <c r="M859" t="s">
        <v>123</v>
      </c>
      <c r="N859" t="s">
        <v>28</v>
      </c>
      <c r="O859">
        <v>2</v>
      </c>
      <c r="P859">
        <v>80511</v>
      </c>
      <c r="Q859">
        <f t="shared" si="15"/>
        <v>8.0510999999999999E-2</v>
      </c>
      <c r="R859">
        <v>43252</v>
      </c>
      <c r="S859" t="s">
        <v>122</v>
      </c>
    </row>
    <row r="860" spans="1:19">
      <c r="A860">
        <v>60000225</v>
      </c>
      <c r="B860">
        <v>26</v>
      </c>
      <c r="C860" t="s">
        <v>33</v>
      </c>
      <c r="D860" t="s">
        <v>19</v>
      </c>
      <c r="E860" t="s">
        <v>20</v>
      </c>
      <c r="F860" t="s">
        <v>21</v>
      </c>
      <c r="G860" s="23">
        <v>0.35</v>
      </c>
      <c r="H860" t="s">
        <v>42</v>
      </c>
      <c r="I860" t="s">
        <v>83</v>
      </c>
      <c r="J860" t="s">
        <v>24</v>
      </c>
      <c r="K860" t="s">
        <v>103</v>
      </c>
      <c r="L860" t="s">
        <v>26</v>
      </c>
      <c r="M860" t="s">
        <v>123</v>
      </c>
      <c r="N860" t="s">
        <v>28</v>
      </c>
      <c r="O860">
        <v>0</v>
      </c>
      <c r="P860">
        <v>62373</v>
      </c>
      <c r="Q860">
        <f t="shared" si="15"/>
        <v>6.2372999999999998E-2</v>
      </c>
      <c r="R860">
        <v>43252</v>
      </c>
      <c r="S860" t="s">
        <v>122</v>
      </c>
    </row>
    <row r="861" spans="1:19">
      <c r="A861">
        <v>60000226</v>
      </c>
      <c r="B861">
        <v>62</v>
      </c>
      <c r="C861" t="s">
        <v>18</v>
      </c>
      <c r="D861" t="s">
        <v>40</v>
      </c>
      <c r="E861" t="s">
        <v>20</v>
      </c>
      <c r="F861" t="s">
        <v>21</v>
      </c>
      <c r="G861" s="23">
        <v>0.38</v>
      </c>
      <c r="H861" t="s">
        <v>42</v>
      </c>
      <c r="I861" t="s">
        <v>68</v>
      </c>
      <c r="J861" t="s">
        <v>54</v>
      </c>
      <c r="K861" t="s">
        <v>83</v>
      </c>
      <c r="L861" t="s">
        <v>26</v>
      </c>
      <c r="M861" t="s">
        <v>123</v>
      </c>
      <c r="N861" t="s">
        <v>28</v>
      </c>
      <c r="O861">
        <v>3</v>
      </c>
      <c r="P861">
        <v>67931</v>
      </c>
      <c r="Q861">
        <f t="shared" si="15"/>
        <v>6.7931000000000005E-2</v>
      </c>
      <c r="R861">
        <v>43252</v>
      </c>
      <c r="S861" t="s">
        <v>122</v>
      </c>
    </row>
    <row r="862" spans="1:19">
      <c r="A862">
        <v>60000227</v>
      </c>
      <c r="B862">
        <v>26</v>
      </c>
      <c r="C862" t="s">
        <v>33</v>
      </c>
      <c r="D862" t="s">
        <v>19</v>
      </c>
      <c r="E862" t="s">
        <v>20</v>
      </c>
      <c r="F862" t="s">
        <v>21</v>
      </c>
      <c r="G862" s="23">
        <v>0.32</v>
      </c>
      <c r="H862" t="s">
        <v>42</v>
      </c>
      <c r="I862" t="s">
        <v>45</v>
      </c>
      <c r="J862" t="s">
        <v>91</v>
      </c>
      <c r="K862" t="s">
        <v>71</v>
      </c>
      <c r="L862" t="s">
        <v>26</v>
      </c>
      <c r="M862" t="s">
        <v>123</v>
      </c>
      <c r="N862" t="s">
        <v>28</v>
      </c>
      <c r="O862">
        <v>0</v>
      </c>
      <c r="P862">
        <v>64359</v>
      </c>
      <c r="Q862">
        <f t="shared" si="15"/>
        <v>6.4359E-2</v>
      </c>
      <c r="R862">
        <v>43252</v>
      </c>
      <c r="S862" t="s">
        <v>122</v>
      </c>
    </row>
    <row r="863" spans="1:19">
      <c r="A863">
        <v>60000228</v>
      </c>
      <c r="B863">
        <v>59</v>
      </c>
      <c r="C863" t="s">
        <v>33</v>
      </c>
      <c r="D863" t="s">
        <v>19</v>
      </c>
      <c r="E863" t="s">
        <v>20</v>
      </c>
      <c r="F863" t="s">
        <v>21</v>
      </c>
      <c r="G863" s="23">
        <v>0.11</v>
      </c>
      <c r="H863" t="s">
        <v>36</v>
      </c>
      <c r="I863" t="s">
        <v>68</v>
      </c>
      <c r="J863" t="s">
        <v>58</v>
      </c>
      <c r="K863" t="s">
        <v>32</v>
      </c>
      <c r="L863" t="s">
        <v>26</v>
      </c>
      <c r="M863" t="s">
        <v>123</v>
      </c>
      <c r="N863" t="s">
        <v>28</v>
      </c>
      <c r="O863">
        <v>7</v>
      </c>
      <c r="P863">
        <v>63840</v>
      </c>
      <c r="Q863">
        <f t="shared" si="15"/>
        <v>6.3839999999999994E-2</v>
      </c>
      <c r="R863">
        <v>43252</v>
      </c>
      <c r="S863" t="s">
        <v>122</v>
      </c>
    </row>
    <row r="864" spans="1:19">
      <c r="A864">
        <v>60000229</v>
      </c>
      <c r="B864">
        <v>49</v>
      </c>
      <c r="C864" t="s">
        <v>18</v>
      </c>
      <c r="D864" t="s">
        <v>19</v>
      </c>
      <c r="E864" t="s">
        <v>41</v>
      </c>
      <c r="F864" t="s">
        <v>21</v>
      </c>
      <c r="G864" s="23">
        <v>0.16</v>
      </c>
      <c r="H864" t="s">
        <v>22</v>
      </c>
      <c r="I864" t="s">
        <v>70</v>
      </c>
      <c r="J864" t="s">
        <v>69</v>
      </c>
      <c r="K864" t="s">
        <v>59</v>
      </c>
      <c r="L864" t="s">
        <v>26</v>
      </c>
      <c r="M864" t="s">
        <v>123</v>
      </c>
      <c r="N864" t="s">
        <v>28</v>
      </c>
      <c r="O864">
        <v>4</v>
      </c>
      <c r="P864">
        <v>72038</v>
      </c>
      <c r="Q864">
        <f t="shared" si="15"/>
        <v>7.2038000000000005E-2</v>
      </c>
      <c r="R864">
        <v>43252</v>
      </c>
      <c r="S864" t="s">
        <v>122</v>
      </c>
    </row>
    <row r="865" spans="1:19">
      <c r="A865">
        <v>60000230</v>
      </c>
      <c r="B865">
        <v>26</v>
      </c>
      <c r="C865" t="s">
        <v>18</v>
      </c>
      <c r="D865" t="s">
        <v>19</v>
      </c>
      <c r="E865" t="s">
        <v>52</v>
      </c>
      <c r="F865" t="s">
        <v>21</v>
      </c>
      <c r="G865" s="23">
        <v>0.28999999999999998</v>
      </c>
      <c r="H865" t="s">
        <v>53</v>
      </c>
      <c r="I865" t="s">
        <v>37</v>
      </c>
      <c r="J865" t="s">
        <v>74</v>
      </c>
      <c r="K865" t="s">
        <v>108</v>
      </c>
      <c r="L865" t="s">
        <v>26</v>
      </c>
      <c r="M865" t="s">
        <v>123</v>
      </c>
      <c r="N865" t="s">
        <v>28</v>
      </c>
      <c r="O865">
        <v>4</v>
      </c>
      <c r="P865">
        <v>26811</v>
      </c>
      <c r="Q865">
        <f t="shared" si="15"/>
        <v>2.6811000000000001E-2</v>
      </c>
      <c r="R865">
        <v>43252</v>
      </c>
      <c r="S865" t="s">
        <v>122</v>
      </c>
    </row>
    <row r="866" spans="1:19">
      <c r="A866">
        <v>60000231</v>
      </c>
      <c r="B866">
        <v>27</v>
      </c>
      <c r="C866" t="s">
        <v>18</v>
      </c>
      <c r="D866" t="s">
        <v>19</v>
      </c>
      <c r="E866" t="s">
        <v>41</v>
      </c>
      <c r="F866" t="s">
        <v>21</v>
      </c>
      <c r="G866" s="23">
        <v>0.24</v>
      </c>
      <c r="H866" t="s">
        <v>29</v>
      </c>
      <c r="I866" t="s">
        <v>30</v>
      </c>
      <c r="J866" t="s">
        <v>46</v>
      </c>
      <c r="K866" t="s">
        <v>117</v>
      </c>
      <c r="L866" t="s">
        <v>26</v>
      </c>
      <c r="M866" t="s">
        <v>123</v>
      </c>
      <c r="N866" t="s">
        <v>28</v>
      </c>
      <c r="O866">
        <v>0</v>
      </c>
      <c r="P866">
        <v>23963</v>
      </c>
      <c r="Q866">
        <f t="shared" si="15"/>
        <v>2.3963000000000002E-2</v>
      </c>
      <c r="R866">
        <v>43252</v>
      </c>
      <c r="S866" t="s">
        <v>122</v>
      </c>
    </row>
    <row r="867" spans="1:19">
      <c r="A867">
        <v>60000232</v>
      </c>
      <c r="B867">
        <v>45</v>
      </c>
      <c r="C867" t="s">
        <v>33</v>
      </c>
      <c r="D867" t="s">
        <v>40</v>
      </c>
      <c r="E867" t="s">
        <v>52</v>
      </c>
      <c r="F867" t="s">
        <v>21</v>
      </c>
      <c r="G867" s="23">
        <v>0.31</v>
      </c>
      <c r="H867" t="s">
        <v>53</v>
      </c>
      <c r="I867" t="s">
        <v>68</v>
      </c>
      <c r="J867" t="s">
        <v>24</v>
      </c>
      <c r="K867" t="s">
        <v>87</v>
      </c>
      <c r="L867" t="s">
        <v>26</v>
      </c>
      <c r="M867" t="s">
        <v>123</v>
      </c>
      <c r="N867" t="s">
        <v>28</v>
      </c>
      <c r="O867">
        <v>0</v>
      </c>
      <c r="P867">
        <v>32293</v>
      </c>
      <c r="Q867">
        <f t="shared" si="15"/>
        <v>3.2293000000000002E-2</v>
      </c>
      <c r="R867">
        <v>43252</v>
      </c>
      <c r="S867" t="s">
        <v>122</v>
      </c>
    </row>
    <row r="868" spans="1:19">
      <c r="A868">
        <v>60000233</v>
      </c>
      <c r="B868">
        <v>47</v>
      </c>
      <c r="C868" t="s">
        <v>18</v>
      </c>
      <c r="D868" t="s">
        <v>19</v>
      </c>
      <c r="E868" t="s">
        <v>75</v>
      </c>
      <c r="F868" t="s">
        <v>21</v>
      </c>
      <c r="G868" s="23">
        <v>0.19</v>
      </c>
      <c r="H868" t="s">
        <v>29</v>
      </c>
      <c r="I868" t="s">
        <v>65</v>
      </c>
      <c r="J868" t="s">
        <v>54</v>
      </c>
      <c r="K868" t="s">
        <v>102</v>
      </c>
      <c r="L868" t="s">
        <v>26</v>
      </c>
      <c r="M868" t="s">
        <v>123</v>
      </c>
      <c r="N868" t="s">
        <v>28</v>
      </c>
      <c r="O868">
        <v>1</v>
      </c>
      <c r="P868">
        <v>69178</v>
      </c>
      <c r="Q868">
        <f t="shared" si="15"/>
        <v>6.9178000000000003E-2</v>
      </c>
      <c r="R868">
        <v>43252</v>
      </c>
      <c r="S868" t="s">
        <v>122</v>
      </c>
    </row>
    <row r="869" spans="1:19">
      <c r="A869">
        <v>60000234</v>
      </c>
      <c r="B869">
        <v>65</v>
      </c>
      <c r="C869" t="s">
        <v>18</v>
      </c>
      <c r="D869" t="s">
        <v>40</v>
      </c>
      <c r="E869" t="s">
        <v>72</v>
      </c>
      <c r="F869" t="s">
        <v>21</v>
      </c>
      <c r="G869" s="23">
        <v>0.25</v>
      </c>
      <c r="H869" t="s">
        <v>53</v>
      </c>
      <c r="I869" t="s">
        <v>49</v>
      </c>
      <c r="J869" t="s">
        <v>58</v>
      </c>
      <c r="K869" t="s">
        <v>77</v>
      </c>
      <c r="L869" t="s">
        <v>26</v>
      </c>
      <c r="M869" t="s">
        <v>123</v>
      </c>
      <c r="N869" t="s">
        <v>28</v>
      </c>
      <c r="O869">
        <v>1</v>
      </c>
      <c r="P869">
        <v>52660</v>
      </c>
      <c r="Q869">
        <f t="shared" si="15"/>
        <v>5.2659999999999998E-2</v>
      </c>
      <c r="R869">
        <v>43252</v>
      </c>
      <c r="S869" t="s">
        <v>122</v>
      </c>
    </row>
    <row r="870" spans="1:19">
      <c r="A870">
        <v>60000235</v>
      </c>
      <c r="B870">
        <v>28</v>
      </c>
      <c r="C870" t="s">
        <v>33</v>
      </c>
      <c r="D870" t="s">
        <v>40</v>
      </c>
      <c r="E870" t="s">
        <v>85</v>
      </c>
      <c r="F870" t="s">
        <v>21</v>
      </c>
      <c r="G870" s="23">
        <v>0.27</v>
      </c>
      <c r="H870" t="s">
        <v>53</v>
      </c>
      <c r="I870" t="s">
        <v>86</v>
      </c>
      <c r="J870" t="s">
        <v>38</v>
      </c>
      <c r="K870" t="s">
        <v>103</v>
      </c>
      <c r="L870" t="s">
        <v>26</v>
      </c>
      <c r="M870" t="s">
        <v>123</v>
      </c>
      <c r="N870" t="s">
        <v>28</v>
      </c>
      <c r="O870">
        <v>0</v>
      </c>
      <c r="P870">
        <v>40589</v>
      </c>
      <c r="Q870">
        <f t="shared" si="15"/>
        <v>4.0589E-2</v>
      </c>
      <c r="R870">
        <v>43252</v>
      </c>
      <c r="S870" t="s">
        <v>122</v>
      </c>
    </row>
    <row r="871" spans="1:19">
      <c r="A871">
        <v>60000236</v>
      </c>
      <c r="B871">
        <v>52</v>
      </c>
      <c r="C871" t="s">
        <v>33</v>
      </c>
      <c r="D871" t="s">
        <v>40</v>
      </c>
      <c r="E871" t="s">
        <v>64</v>
      </c>
      <c r="F871" t="s">
        <v>21</v>
      </c>
      <c r="G871" s="23">
        <v>0.1</v>
      </c>
      <c r="H871" t="s">
        <v>36</v>
      </c>
      <c r="I871" t="s">
        <v>23</v>
      </c>
      <c r="J871" t="s">
        <v>46</v>
      </c>
      <c r="K871" t="s">
        <v>49</v>
      </c>
      <c r="L871" t="s">
        <v>26</v>
      </c>
      <c r="M871" t="s">
        <v>123</v>
      </c>
      <c r="N871" t="s">
        <v>28</v>
      </c>
      <c r="O871">
        <v>5</v>
      </c>
      <c r="P871">
        <v>35339</v>
      </c>
      <c r="Q871">
        <f t="shared" si="15"/>
        <v>3.5339000000000002E-2</v>
      </c>
      <c r="R871">
        <v>43252</v>
      </c>
      <c r="S871" t="s">
        <v>122</v>
      </c>
    </row>
    <row r="872" spans="1:19">
      <c r="A872">
        <v>60000237</v>
      </c>
      <c r="B872">
        <v>22</v>
      </c>
      <c r="C872" t="s">
        <v>33</v>
      </c>
      <c r="D872" t="s">
        <v>40</v>
      </c>
      <c r="E872" t="s">
        <v>75</v>
      </c>
      <c r="F872" t="s">
        <v>21</v>
      </c>
      <c r="G872" s="23">
        <v>0.15</v>
      </c>
      <c r="H872" t="s">
        <v>22</v>
      </c>
      <c r="I872" t="s">
        <v>76</v>
      </c>
      <c r="J872" t="s">
        <v>74</v>
      </c>
      <c r="K872" t="s">
        <v>110</v>
      </c>
      <c r="L872" t="s">
        <v>26</v>
      </c>
      <c r="M872" t="s">
        <v>123</v>
      </c>
      <c r="N872" t="s">
        <v>28</v>
      </c>
      <c r="O872">
        <v>0</v>
      </c>
      <c r="P872">
        <v>31305</v>
      </c>
      <c r="Q872">
        <f t="shared" si="15"/>
        <v>3.1304999999999999E-2</v>
      </c>
      <c r="R872">
        <v>43252</v>
      </c>
      <c r="S872" t="s">
        <v>122</v>
      </c>
    </row>
    <row r="873" spans="1:19">
      <c r="A873">
        <v>60000238</v>
      </c>
      <c r="B873">
        <v>39</v>
      </c>
      <c r="C873" t="s">
        <v>18</v>
      </c>
      <c r="D873" t="s">
        <v>40</v>
      </c>
      <c r="E873" t="s">
        <v>48</v>
      </c>
      <c r="F873" t="s">
        <v>21</v>
      </c>
      <c r="G873" s="23">
        <v>0.38</v>
      </c>
      <c r="H873" t="s">
        <v>42</v>
      </c>
      <c r="I873" t="s">
        <v>76</v>
      </c>
      <c r="J873" t="s">
        <v>74</v>
      </c>
      <c r="K873" t="s">
        <v>55</v>
      </c>
      <c r="L873" t="s">
        <v>26</v>
      </c>
      <c r="M873" t="s">
        <v>123</v>
      </c>
      <c r="N873" t="s">
        <v>28</v>
      </c>
      <c r="O873">
        <v>0</v>
      </c>
      <c r="P873">
        <v>42758</v>
      </c>
      <c r="Q873">
        <f t="shared" si="15"/>
        <v>4.2757999999999997E-2</v>
      </c>
      <c r="R873">
        <v>43252</v>
      </c>
      <c r="S873" t="s">
        <v>122</v>
      </c>
    </row>
    <row r="874" spans="1:19">
      <c r="A874">
        <v>60000239</v>
      </c>
      <c r="B874">
        <v>47</v>
      </c>
      <c r="C874" t="s">
        <v>18</v>
      </c>
      <c r="D874" t="s">
        <v>40</v>
      </c>
      <c r="E874" t="s">
        <v>75</v>
      </c>
      <c r="F874" t="s">
        <v>21</v>
      </c>
      <c r="G874" s="23">
        <v>0.12</v>
      </c>
      <c r="H874" t="s">
        <v>22</v>
      </c>
      <c r="I874" t="s">
        <v>68</v>
      </c>
      <c r="J874" t="s">
        <v>74</v>
      </c>
      <c r="K874" t="s">
        <v>105</v>
      </c>
      <c r="L874" t="s">
        <v>119</v>
      </c>
      <c r="M874" t="s">
        <v>123</v>
      </c>
      <c r="N874" t="s">
        <v>28</v>
      </c>
      <c r="O874">
        <v>0</v>
      </c>
      <c r="P874">
        <v>52307</v>
      </c>
      <c r="Q874">
        <f t="shared" si="15"/>
        <v>5.2306999999999999E-2</v>
      </c>
      <c r="R874">
        <v>43252</v>
      </c>
      <c r="S874" t="s">
        <v>122</v>
      </c>
    </row>
    <row r="875" spans="1:19">
      <c r="A875">
        <v>60000240</v>
      </c>
      <c r="B875">
        <v>65</v>
      </c>
      <c r="C875" t="s">
        <v>18</v>
      </c>
      <c r="D875" t="s">
        <v>40</v>
      </c>
      <c r="E875" t="s">
        <v>34</v>
      </c>
      <c r="F875" t="s">
        <v>21</v>
      </c>
      <c r="G875" s="23">
        <v>0.36</v>
      </c>
      <c r="H875" t="s">
        <v>42</v>
      </c>
      <c r="I875" t="s">
        <v>60</v>
      </c>
      <c r="J875" t="s">
        <v>66</v>
      </c>
      <c r="K875" t="s">
        <v>107</v>
      </c>
      <c r="L875" t="s">
        <v>121</v>
      </c>
      <c r="M875" t="s">
        <v>123</v>
      </c>
      <c r="N875" t="s">
        <v>28</v>
      </c>
      <c r="O875">
        <v>0</v>
      </c>
      <c r="P875">
        <v>27291</v>
      </c>
      <c r="Q875">
        <f t="shared" si="15"/>
        <v>2.7290999999999999E-2</v>
      </c>
      <c r="R875">
        <v>43252</v>
      </c>
      <c r="S875" t="s">
        <v>122</v>
      </c>
    </row>
    <row r="876" spans="1:19">
      <c r="A876">
        <v>60000241</v>
      </c>
      <c r="B876">
        <v>57</v>
      </c>
      <c r="C876" t="s">
        <v>18</v>
      </c>
      <c r="D876" t="s">
        <v>19</v>
      </c>
      <c r="E876" t="s">
        <v>64</v>
      </c>
      <c r="F876" t="s">
        <v>21</v>
      </c>
      <c r="G876" s="23">
        <v>0.14000000000000001</v>
      </c>
      <c r="H876" t="s">
        <v>22</v>
      </c>
      <c r="I876" t="s">
        <v>37</v>
      </c>
      <c r="J876" t="s">
        <v>91</v>
      </c>
      <c r="K876" t="s">
        <v>89</v>
      </c>
      <c r="L876" t="s">
        <v>26</v>
      </c>
      <c r="M876" t="s">
        <v>123</v>
      </c>
      <c r="N876" t="s">
        <v>28</v>
      </c>
      <c r="O876">
        <v>3</v>
      </c>
      <c r="P876">
        <v>33519</v>
      </c>
      <c r="Q876">
        <f t="shared" si="15"/>
        <v>3.3519E-2</v>
      </c>
      <c r="R876">
        <v>43252</v>
      </c>
      <c r="S876" t="s">
        <v>122</v>
      </c>
    </row>
    <row r="877" spans="1:19">
      <c r="A877">
        <v>60000242</v>
      </c>
      <c r="B877">
        <v>60</v>
      </c>
      <c r="C877" t="s">
        <v>18</v>
      </c>
      <c r="D877" t="s">
        <v>19</v>
      </c>
      <c r="E877" t="s">
        <v>20</v>
      </c>
      <c r="F877" t="s">
        <v>21</v>
      </c>
      <c r="G877" s="23">
        <v>0.11</v>
      </c>
      <c r="H877" t="s">
        <v>36</v>
      </c>
      <c r="I877" t="s">
        <v>45</v>
      </c>
      <c r="J877" t="s">
        <v>58</v>
      </c>
      <c r="K877" t="s">
        <v>97</v>
      </c>
      <c r="L877" t="s">
        <v>121</v>
      </c>
      <c r="M877" t="s">
        <v>123</v>
      </c>
      <c r="N877" t="s">
        <v>51</v>
      </c>
      <c r="O877">
        <v>0</v>
      </c>
      <c r="P877">
        <v>36838</v>
      </c>
      <c r="Q877">
        <f t="shared" si="15"/>
        <v>3.6838000000000003E-2</v>
      </c>
      <c r="R877">
        <v>43252</v>
      </c>
      <c r="S877" t="s">
        <v>122</v>
      </c>
    </row>
    <row r="878" spans="1:19">
      <c r="A878">
        <v>60000243</v>
      </c>
      <c r="B878">
        <v>37</v>
      </c>
      <c r="C878" t="s">
        <v>33</v>
      </c>
      <c r="D878" t="s">
        <v>19</v>
      </c>
      <c r="E878" t="s">
        <v>20</v>
      </c>
      <c r="F878" t="s">
        <v>21</v>
      </c>
      <c r="G878" s="23">
        <v>0.14000000000000001</v>
      </c>
      <c r="H878" t="s">
        <v>22</v>
      </c>
      <c r="I878" t="s">
        <v>76</v>
      </c>
      <c r="J878" t="s">
        <v>46</v>
      </c>
      <c r="K878" t="s">
        <v>103</v>
      </c>
      <c r="L878" t="s">
        <v>119</v>
      </c>
      <c r="M878" t="s">
        <v>123</v>
      </c>
      <c r="N878" t="s">
        <v>28</v>
      </c>
      <c r="O878">
        <v>7</v>
      </c>
      <c r="P878">
        <v>71082</v>
      </c>
      <c r="Q878">
        <f t="shared" si="15"/>
        <v>7.1082000000000006E-2</v>
      </c>
      <c r="R878">
        <v>43252</v>
      </c>
      <c r="S878" t="s">
        <v>122</v>
      </c>
    </row>
    <row r="879" spans="1:19">
      <c r="A879">
        <v>60000244</v>
      </c>
      <c r="B879">
        <v>33</v>
      </c>
      <c r="C879" t="s">
        <v>18</v>
      </c>
      <c r="D879" t="s">
        <v>19</v>
      </c>
      <c r="E879" t="s">
        <v>85</v>
      </c>
      <c r="F879" t="s">
        <v>21</v>
      </c>
      <c r="G879" s="23">
        <v>0.27</v>
      </c>
      <c r="H879" t="s">
        <v>53</v>
      </c>
      <c r="I879" t="s">
        <v>37</v>
      </c>
      <c r="J879" t="s">
        <v>69</v>
      </c>
      <c r="K879" t="s">
        <v>92</v>
      </c>
      <c r="L879" t="s">
        <v>119</v>
      </c>
      <c r="M879" t="s">
        <v>123</v>
      </c>
      <c r="N879" t="s">
        <v>28</v>
      </c>
      <c r="O879">
        <v>0</v>
      </c>
      <c r="P879">
        <v>50431</v>
      </c>
      <c r="Q879">
        <f t="shared" si="15"/>
        <v>5.0430999999999997E-2</v>
      </c>
      <c r="R879">
        <v>43252</v>
      </c>
      <c r="S879" t="s">
        <v>122</v>
      </c>
    </row>
    <row r="880" spans="1:19">
      <c r="A880">
        <v>60000245</v>
      </c>
      <c r="B880">
        <v>27</v>
      </c>
      <c r="C880" t="s">
        <v>33</v>
      </c>
      <c r="D880" t="s">
        <v>19</v>
      </c>
      <c r="E880" t="s">
        <v>72</v>
      </c>
      <c r="F880" t="s">
        <v>21</v>
      </c>
      <c r="G880" s="23">
        <v>0.1</v>
      </c>
      <c r="H880" t="s">
        <v>36</v>
      </c>
      <c r="I880" t="s">
        <v>30</v>
      </c>
      <c r="J880" t="s">
        <v>74</v>
      </c>
      <c r="K880" t="s">
        <v>110</v>
      </c>
      <c r="L880" t="s">
        <v>121</v>
      </c>
      <c r="M880" t="s">
        <v>123</v>
      </c>
      <c r="N880" t="s">
        <v>51</v>
      </c>
      <c r="O880">
        <v>5</v>
      </c>
      <c r="P880">
        <v>27793</v>
      </c>
      <c r="Q880">
        <f t="shared" si="15"/>
        <v>2.7793000000000002E-2</v>
      </c>
      <c r="R880">
        <v>43252</v>
      </c>
      <c r="S880" t="s">
        <v>122</v>
      </c>
    </row>
    <row r="881" spans="1:19">
      <c r="A881">
        <v>60000246</v>
      </c>
      <c r="B881">
        <v>26</v>
      </c>
      <c r="C881" t="s">
        <v>18</v>
      </c>
      <c r="D881" t="s">
        <v>19</v>
      </c>
      <c r="E881" t="s">
        <v>85</v>
      </c>
      <c r="F881" t="s">
        <v>21</v>
      </c>
      <c r="G881" s="23">
        <v>0.11</v>
      </c>
      <c r="H881" t="s">
        <v>36</v>
      </c>
      <c r="I881" t="s">
        <v>65</v>
      </c>
      <c r="J881" t="s">
        <v>46</v>
      </c>
      <c r="K881" t="s">
        <v>82</v>
      </c>
      <c r="L881" t="s">
        <v>119</v>
      </c>
      <c r="M881" t="s">
        <v>123</v>
      </c>
      <c r="N881" t="s">
        <v>51</v>
      </c>
      <c r="O881">
        <v>6</v>
      </c>
      <c r="P881">
        <v>53157</v>
      </c>
      <c r="Q881">
        <f t="shared" si="15"/>
        <v>5.3157000000000003E-2</v>
      </c>
      <c r="R881">
        <v>43252</v>
      </c>
      <c r="S881" t="s">
        <v>122</v>
      </c>
    </row>
    <row r="882" spans="1:19">
      <c r="A882">
        <v>60000247</v>
      </c>
      <c r="B882">
        <v>54</v>
      </c>
      <c r="C882" t="s">
        <v>33</v>
      </c>
      <c r="D882" t="s">
        <v>19</v>
      </c>
      <c r="E882" t="s">
        <v>64</v>
      </c>
      <c r="F882" t="s">
        <v>21</v>
      </c>
      <c r="G882" s="23">
        <v>0.35</v>
      </c>
      <c r="H882" t="s">
        <v>42</v>
      </c>
      <c r="I882" t="s">
        <v>73</v>
      </c>
      <c r="J882" t="s">
        <v>78</v>
      </c>
      <c r="K882" t="s">
        <v>32</v>
      </c>
      <c r="L882" t="s">
        <v>26</v>
      </c>
      <c r="M882" t="s">
        <v>123</v>
      </c>
      <c r="N882" t="s">
        <v>51</v>
      </c>
      <c r="O882">
        <v>0</v>
      </c>
      <c r="P882">
        <v>62433</v>
      </c>
      <c r="Q882">
        <f t="shared" si="15"/>
        <v>6.2433000000000002E-2</v>
      </c>
      <c r="R882">
        <v>43252</v>
      </c>
      <c r="S882" t="s">
        <v>122</v>
      </c>
    </row>
    <row r="883" spans="1:19">
      <c r="A883">
        <v>60000248</v>
      </c>
      <c r="B883">
        <v>28</v>
      </c>
      <c r="C883" t="s">
        <v>18</v>
      </c>
      <c r="D883" t="s">
        <v>19</v>
      </c>
      <c r="E883" t="s">
        <v>67</v>
      </c>
      <c r="F883" t="s">
        <v>21</v>
      </c>
      <c r="G883" s="23">
        <v>0.3</v>
      </c>
      <c r="H883" t="s">
        <v>53</v>
      </c>
      <c r="I883" t="s">
        <v>57</v>
      </c>
      <c r="J883" t="s">
        <v>46</v>
      </c>
      <c r="K883" t="s">
        <v>118</v>
      </c>
      <c r="L883" t="s">
        <v>121</v>
      </c>
      <c r="M883" t="s">
        <v>123</v>
      </c>
      <c r="N883" t="s">
        <v>28</v>
      </c>
      <c r="O883">
        <v>0</v>
      </c>
      <c r="P883">
        <v>25103</v>
      </c>
      <c r="Q883">
        <f t="shared" si="15"/>
        <v>2.5103E-2</v>
      </c>
      <c r="R883">
        <v>43252</v>
      </c>
      <c r="S883" t="s">
        <v>122</v>
      </c>
    </row>
    <row r="884" spans="1:19">
      <c r="A884">
        <v>60000249</v>
      </c>
      <c r="B884">
        <v>24</v>
      </c>
      <c r="C884" t="s">
        <v>18</v>
      </c>
      <c r="D884" t="s">
        <v>19</v>
      </c>
      <c r="E884" t="s">
        <v>48</v>
      </c>
      <c r="F884" t="s">
        <v>21</v>
      </c>
      <c r="G884" s="23">
        <v>0.34</v>
      </c>
      <c r="H884" t="s">
        <v>42</v>
      </c>
      <c r="I884" t="s">
        <v>57</v>
      </c>
      <c r="J884" t="s">
        <v>46</v>
      </c>
      <c r="K884" t="s">
        <v>117</v>
      </c>
      <c r="L884" t="s">
        <v>119</v>
      </c>
      <c r="M884" t="s">
        <v>123</v>
      </c>
      <c r="N884" t="s">
        <v>28</v>
      </c>
      <c r="O884">
        <v>0</v>
      </c>
      <c r="P884">
        <v>36428</v>
      </c>
      <c r="Q884">
        <f t="shared" si="15"/>
        <v>3.6428000000000002E-2</v>
      </c>
      <c r="R884">
        <v>43252</v>
      </c>
      <c r="S884" t="s">
        <v>122</v>
      </c>
    </row>
    <row r="885" spans="1:19">
      <c r="A885">
        <v>60000250</v>
      </c>
      <c r="B885">
        <v>48</v>
      </c>
      <c r="C885" t="s">
        <v>33</v>
      </c>
      <c r="D885" t="s">
        <v>19</v>
      </c>
      <c r="E885" t="s">
        <v>64</v>
      </c>
      <c r="F885" t="s">
        <v>21</v>
      </c>
      <c r="G885" s="23">
        <v>0.19</v>
      </c>
      <c r="H885" t="s">
        <v>29</v>
      </c>
      <c r="I885" t="s">
        <v>68</v>
      </c>
      <c r="J885" t="s">
        <v>31</v>
      </c>
      <c r="K885" t="s">
        <v>96</v>
      </c>
      <c r="L885" t="s">
        <v>119</v>
      </c>
      <c r="M885" t="s">
        <v>123</v>
      </c>
      <c r="N885" t="s">
        <v>51</v>
      </c>
      <c r="O885">
        <v>2</v>
      </c>
      <c r="P885">
        <v>44679</v>
      </c>
      <c r="Q885">
        <f t="shared" si="15"/>
        <v>4.4679000000000003E-2</v>
      </c>
      <c r="R885">
        <v>43252</v>
      </c>
      <c r="S885" t="s">
        <v>122</v>
      </c>
    </row>
    <row r="886" spans="1:19">
      <c r="A886">
        <v>60000251</v>
      </c>
      <c r="B886">
        <v>26</v>
      </c>
      <c r="C886" t="s">
        <v>18</v>
      </c>
      <c r="D886" t="s">
        <v>40</v>
      </c>
      <c r="E886" t="s">
        <v>41</v>
      </c>
      <c r="F886" t="s">
        <v>21</v>
      </c>
      <c r="G886" s="23">
        <v>0.21</v>
      </c>
      <c r="H886" t="s">
        <v>29</v>
      </c>
      <c r="I886" t="s">
        <v>60</v>
      </c>
      <c r="J886" t="s">
        <v>38</v>
      </c>
      <c r="K886" t="s">
        <v>101</v>
      </c>
      <c r="L886" t="s">
        <v>121</v>
      </c>
      <c r="M886" t="s">
        <v>123</v>
      </c>
      <c r="N886" t="s">
        <v>51</v>
      </c>
      <c r="O886">
        <v>0</v>
      </c>
      <c r="P886">
        <v>60136</v>
      </c>
      <c r="Q886">
        <f t="shared" si="15"/>
        <v>6.0136000000000002E-2</v>
      </c>
      <c r="R886">
        <v>43252</v>
      </c>
      <c r="S886" t="s">
        <v>122</v>
      </c>
    </row>
    <row r="887" spans="1:19">
      <c r="A887">
        <v>60000252</v>
      </c>
      <c r="B887">
        <v>30</v>
      </c>
      <c r="C887" t="s">
        <v>18</v>
      </c>
      <c r="D887" t="s">
        <v>40</v>
      </c>
      <c r="E887" t="s">
        <v>41</v>
      </c>
      <c r="F887" t="s">
        <v>21</v>
      </c>
      <c r="G887" s="23">
        <v>0.2</v>
      </c>
      <c r="H887" t="s">
        <v>29</v>
      </c>
      <c r="I887" t="s">
        <v>30</v>
      </c>
      <c r="J887" t="s">
        <v>91</v>
      </c>
      <c r="K887" t="s">
        <v>117</v>
      </c>
      <c r="L887" t="s">
        <v>26</v>
      </c>
      <c r="M887" t="s">
        <v>123</v>
      </c>
      <c r="N887" t="s">
        <v>51</v>
      </c>
      <c r="O887">
        <v>0</v>
      </c>
      <c r="P887">
        <v>45590</v>
      </c>
      <c r="Q887">
        <f t="shared" si="15"/>
        <v>4.5589999999999999E-2</v>
      </c>
      <c r="R887">
        <v>43252</v>
      </c>
      <c r="S887" t="s">
        <v>122</v>
      </c>
    </row>
    <row r="888" spans="1:19">
      <c r="A888">
        <v>60000253</v>
      </c>
      <c r="B888">
        <v>31</v>
      </c>
      <c r="C888" t="s">
        <v>18</v>
      </c>
      <c r="D888" t="s">
        <v>19</v>
      </c>
      <c r="E888" t="s">
        <v>85</v>
      </c>
      <c r="F888" t="s">
        <v>21</v>
      </c>
      <c r="G888" s="23">
        <v>0.19</v>
      </c>
      <c r="H888" t="s">
        <v>29</v>
      </c>
      <c r="I888" t="s">
        <v>45</v>
      </c>
      <c r="J888" t="s">
        <v>61</v>
      </c>
      <c r="K888" t="s">
        <v>110</v>
      </c>
      <c r="L888" t="s">
        <v>121</v>
      </c>
      <c r="M888" t="s">
        <v>123</v>
      </c>
      <c r="N888" t="s">
        <v>28</v>
      </c>
      <c r="O888">
        <v>3</v>
      </c>
      <c r="P888">
        <v>38361</v>
      </c>
      <c r="Q888">
        <f t="shared" si="15"/>
        <v>3.8360999999999999E-2</v>
      </c>
      <c r="R888">
        <v>43252</v>
      </c>
      <c r="S888" t="s">
        <v>122</v>
      </c>
    </row>
    <row r="889" spans="1:19">
      <c r="A889">
        <v>60000254</v>
      </c>
      <c r="B889">
        <v>51</v>
      </c>
      <c r="C889" t="s">
        <v>33</v>
      </c>
      <c r="D889" t="s">
        <v>19</v>
      </c>
      <c r="E889" t="s">
        <v>56</v>
      </c>
      <c r="F889" t="s">
        <v>21</v>
      </c>
      <c r="G889" s="23">
        <v>0.35</v>
      </c>
      <c r="H889" t="s">
        <v>42</v>
      </c>
      <c r="I889" t="s">
        <v>83</v>
      </c>
      <c r="J889" t="s">
        <v>58</v>
      </c>
      <c r="K889" t="s">
        <v>103</v>
      </c>
      <c r="L889" t="s">
        <v>121</v>
      </c>
      <c r="M889" t="s">
        <v>123</v>
      </c>
      <c r="N889" t="s">
        <v>51</v>
      </c>
      <c r="O889">
        <v>0</v>
      </c>
      <c r="P889">
        <v>42979</v>
      </c>
      <c r="Q889">
        <f t="shared" si="15"/>
        <v>4.2979000000000003E-2</v>
      </c>
      <c r="R889">
        <v>43252</v>
      </c>
      <c r="S889" t="s">
        <v>122</v>
      </c>
    </row>
    <row r="890" spans="1:19">
      <c r="A890">
        <v>60000255</v>
      </c>
      <c r="B890">
        <v>56</v>
      </c>
      <c r="C890" t="s">
        <v>18</v>
      </c>
      <c r="D890" t="s">
        <v>40</v>
      </c>
      <c r="E890" t="s">
        <v>72</v>
      </c>
      <c r="F890" t="s">
        <v>21</v>
      </c>
      <c r="G890" s="23">
        <v>0.36</v>
      </c>
      <c r="H890" t="s">
        <v>42</v>
      </c>
      <c r="I890" t="s">
        <v>70</v>
      </c>
      <c r="J890" t="s">
        <v>58</v>
      </c>
      <c r="K890" t="s">
        <v>87</v>
      </c>
      <c r="L890" t="s">
        <v>119</v>
      </c>
      <c r="M890" t="s">
        <v>123</v>
      </c>
      <c r="N890" t="s">
        <v>28</v>
      </c>
      <c r="O890">
        <v>0</v>
      </c>
      <c r="P890">
        <v>55189</v>
      </c>
      <c r="Q890">
        <f t="shared" si="15"/>
        <v>5.5189000000000002E-2</v>
      </c>
      <c r="R890">
        <v>43252</v>
      </c>
      <c r="S890" t="s">
        <v>122</v>
      </c>
    </row>
    <row r="891" spans="1:19">
      <c r="A891">
        <v>60000256</v>
      </c>
      <c r="B891">
        <v>21</v>
      </c>
      <c r="C891" t="s">
        <v>18</v>
      </c>
      <c r="D891" t="s">
        <v>19</v>
      </c>
      <c r="E891" t="s">
        <v>52</v>
      </c>
      <c r="F891" t="s">
        <v>21</v>
      </c>
      <c r="G891" s="23">
        <v>0.15</v>
      </c>
      <c r="H891" t="s">
        <v>22</v>
      </c>
      <c r="I891" t="s">
        <v>57</v>
      </c>
      <c r="J891" t="s">
        <v>31</v>
      </c>
      <c r="K891" t="s">
        <v>117</v>
      </c>
      <c r="L891" t="s">
        <v>26</v>
      </c>
      <c r="M891" t="s">
        <v>123</v>
      </c>
      <c r="N891" t="s">
        <v>28</v>
      </c>
      <c r="O891">
        <v>0</v>
      </c>
      <c r="P891">
        <v>44547</v>
      </c>
      <c r="Q891">
        <f t="shared" si="15"/>
        <v>4.4547000000000003E-2</v>
      </c>
      <c r="R891">
        <v>43252</v>
      </c>
      <c r="S891" t="s">
        <v>122</v>
      </c>
    </row>
    <row r="892" spans="1:19">
      <c r="A892">
        <v>60000257</v>
      </c>
      <c r="B892">
        <v>60</v>
      </c>
      <c r="C892" t="s">
        <v>33</v>
      </c>
      <c r="D892" t="s">
        <v>40</v>
      </c>
      <c r="E892" t="s">
        <v>41</v>
      </c>
      <c r="F892" t="s">
        <v>21</v>
      </c>
      <c r="G892" s="23">
        <v>0.21</v>
      </c>
      <c r="H892" t="s">
        <v>29</v>
      </c>
      <c r="I892" t="s">
        <v>86</v>
      </c>
      <c r="J892" t="s">
        <v>88</v>
      </c>
      <c r="K892" t="s">
        <v>98</v>
      </c>
      <c r="L892" t="s">
        <v>119</v>
      </c>
      <c r="M892" t="s">
        <v>123</v>
      </c>
      <c r="N892" t="s">
        <v>28</v>
      </c>
      <c r="O892">
        <v>0</v>
      </c>
      <c r="P892">
        <v>36625</v>
      </c>
      <c r="Q892">
        <f t="shared" si="15"/>
        <v>3.6624999999999998E-2</v>
      </c>
      <c r="R892">
        <v>43252</v>
      </c>
      <c r="S892" t="s">
        <v>122</v>
      </c>
    </row>
    <row r="893" spans="1:19">
      <c r="A893">
        <v>60000258</v>
      </c>
      <c r="B893">
        <v>47</v>
      </c>
      <c r="C893" t="s">
        <v>18</v>
      </c>
      <c r="D893" t="s">
        <v>19</v>
      </c>
      <c r="E893" t="s">
        <v>48</v>
      </c>
      <c r="F893" t="s">
        <v>21</v>
      </c>
      <c r="G893" s="23">
        <v>0.33</v>
      </c>
      <c r="H893" t="s">
        <v>42</v>
      </c>
      <c r="I893" t="s">
        <v>65</v>
      </c>
      <c r="J893" t="s">
        <v>38</v>
      </c>
      <c r="K893" t="s">
        <v>98</v>
      </c>
      <c r="L893" t="s">
        <v>26</v>
      </c>
      <c r="M893" t="s">
        <v>123</v>
      </c>
      <c r="N893" t="s">
        <v>51</v>
      </c>
      <c r="O893">
        <v>4</v>
      </c>
      <c r="P893">
        <v>51401</v>
      </c>
      <c r="Q893">
        <f t="shared" si="15"/>
        <v>5.1401000000000002E-2</v>
      </c>
      <c r="R893">
        <v>43252</v>
      </c>
      <c r="S893" t="s">
        <v>122</v>
      </c>
    </row>
    <row r="894" spans="1:19">
      <c r="A894">
        <v>60000259</v>
      </c>
      <c r="B894">
        <v>63</v>
      </c>
      <c r="C894" t="s">
        <v>33</v>
      </c>
      <c r="D894" t="s">
        <v>19</v>
      </c>
      <c r="E894" t="s">
        <v>44</v>
      </c>
      <c r="F894" t="s">
        <v>21</v>
      </c>
      <c r="G894" s="23">
        <v>0.12</v>
      </c>
      <c r="H894" t="s">
        <v>22</v>
      </c>
      <c r="I894" t="s">
        <v>23</v>
      </c>
      <c r="J894" t="s">
        <v>66</v>
      </c>
      <c r="K894" t="s">
        <v>118</v>
      </c>
      <c r="L894" t="s">
        <v>26</v>
      </c>
      <c r="M894" t="s">
        <v>123</v>
      </c>
      <c r="N894" t="s">
        <v>51</v>
      </c>
      <c r="O894">
        <v>4</v>
      </c>
      <c r="P894">
        <v>43733</v>
      </c>
      <c r="Q894">
        <f t="shared" si="15"/>
        <v>4.3733000000000001E-2</v>
      </c>
      <c r="R894">
        <v>43252</v>
      </c>
      <c r="S894" t="s">
        <v>122</v>
      </c>
    </row>
    <row r="895" spans="1:19">
      <c r="A895">
        <v>60000260</v>
      </c>
      <c r="B895">
        <v>53</v>
      </c>
      <c r="C895" t="s">
        <v>18</v>
      </c>
      <c r="D895" t="s">
        <v>19</v>
      </c>
      <c r="E895" t="s">
        <v>67</v>
      </c>
      <c r="F895" t="s">
        <v>21</v>
      </c>
      <c r="G895" s="23">
        <v>0.19</v>
      </c>
      <c r="H895" t="s">
        <v>29</v>
      </c>
      <c r="I895" t="s">
        <v>45</v>
      </c>
      <c r="J895" t="s">
        <v>54</v>
      </c>
      <c r="K895" t="s">
        <v>92</v>
      </c>
      <c r="L895" t="s">
        <v>119</v>
      </c>
      <c r="M895" t="s">
        <v>123</v>
      </c>
      <c r="N895" t="s">
        <v>28</v>
      </c>
      <c r="O895">
        <v>0</v>
      </c>
      <c r="P895">
        <v>52142</v>
      </c>
      <c r="Q895">
        <f t="shared" si="15"/>
        <v>5.2142000000000001E-2</v>
      </c>
      <c r="R895">
        <v>43252</v>
      </c>
      <c r="S895" t="s">
        <v>122</v>
      </c>
    </row>
    <row r="896" spans="1:19">
      <c r="A896">
        <v>60000261</v>
      </c>
      <c r="B896">
        <v>64</v>
      </c>
      <c r="C896" t="s">
        <v>33</v>
      </c>
      <c r="D896" t="s">
        <v>19</v>
      </c>
      <c r="E896" t="s">
        <v>44</v>
      </c>
      <c r="F896" t="s">
        <v>21</v>
      </c>
      <c r="G896" s="23">
        <v>0.25</v>
      </c>
      <c r="H896" t="s">
        <v>53</v>
      </c>
      <c r="I896" t="s">
        <v>76</v>
      </c>
      <c r="J896" t="s">
        <v>46</v>
      </c>
      <c r="K896" t="s">
        <v>107</v>
      </c>
      <c r="L896" t="s">
        <v>121</v>
      </c>
      <c r="M896" t="s">
        <v>123</v>
      </c>
      <c r="N896" t="s">
        <v>28</v>
      </c>
      <c r="O896">
        <v>0</v>
      </c>
      <c r="P896">
        <v>68355</v>
      </c>
      <c r="Q896">
        <f t="shared" si="15"/>
        <v>6.8354999999999999E-2</v>
      </c>
      <c r="R896">
        <v>43252</v>
      </c>
      <c r="S896" t="s">
        <v>122</v>
      </c>
    </row>
    <row r="897" spans="1:19">
      <c r="A897">
        <v>60000262</v>
      </c>
      <c r="B897">
        <v>63</v>
      </c>
      <c r="C897" t="s">
        <v>18</v>
      </c>
      <c r="D897" t="s">
        <v>19</v>
      </c>
      <c r="E897" t="s">
        <v>67</v>
      </c>
      <c r="F897" t="s">
        <v>21</v>
      </c>
      <c r="G897" s="23">
        <v>0.35</v>
      </c>
      <c r="H897" t="s">
        <v>42</v>
      </c>
      <c r="I897" t="s">
        <v>73</v>
      </c>
      <c r="J897" t="s">
        <v>78</v>
      </c>
      <c r="K897" t="s">
        <v>77</v>
      </c>
      <c r="L897" t="s">
        <v>121</v>
      </c>
      <c r="M897" t="s">
        <v>123</v>
      </c>
      <c r="N897" t="s">
        <v>28</v>
      </c>
      <c r="O897">
        <v>6</v>
      </c>
      <c r="P897">
        <v>64273</v>
      </c>
      <c r="Q897">
        <f t="shared" si="15"/>
        <v>6.4272999999999997E-2</v>
      </c>
      <c r="R897">
        <v>43252</v>
      </c>
      <c r="S897" t="s">
        <v>122</v>
      </c>
    </row>
    <row r="898" spans="1:19">
      <c r="A898">
        <v>60000263</v>
      </c>
      <c r="B898">
        <v>47</v>
      </c>
      <c r="C898" t="s">
        <v>33</v>
      </c>
      <c r="D898" t="s">
        <v>19</v>
      </c>
      <c r="E898" t="s">
        <v>20</v>
      </c>
      <c r="F898" t="s">
        <v>21</v>
      </c>
      <c r="G898" s="23">
        <v>0.23</v>
      </c>
      <c r="H898" t="s">
        <v>29</v>
      </c>
      <c r="I898" t="s">
        <v>68</v>
      </c>
      <c r="J898" t="s">
        <v>61</v>
      </c>
      <c r="K898" t="s">
        <v>115</v>
      </c>
      <c r="L898" t="s">
        <v>26</v>
      </c>
      <c r="M898" t="s">
        <v>123</v>
      </c>
      <c r="N898" t="s">
        <v>28</v>
      </c>
      <c r="O898">
        <v>0</v>
      </c>
      <c r="P898">
        <v>73415</v>
      </c>
      <c r="Q898">
        <f t="shared" si="15"/>
        <v>7.3414999999999994E-2</v>
      </c>
      <c r="R898">
        <v>43252</v>
      </c>
      <c r="S898" t="s">
        <v>122</v>
      </c>
    </row>
    <row r="899" spans="1:19">
      <c r="A899">
        <v>60000264</v>
      </c>
      <c r="B899">
        <v>62</v>
      </c>
      <c r="C899" t="s">
        <v>18</v>
      </c>
      <c r="D899" t="s">
        <v>40</v>
      </c>
      <c r="E899" t="s">
        <v>67</v>
      </c>
      <c r="F899" t="s">
        <v>21</v>
      </c>
      <c r="G899" s="23">
        <v>0.32</v>
      </c>
      <c r="H899" t="s">
        <v>42</v>
      </c>
      <c r="I899" t="s">
        <v>23</v>
      </c>
      <c r="J899" t="s">
        <v>38</v>
      </c>
      <c r="K899" t="s">
        <v>112</v>
      </c>
      <c r="L899" t="s">
        <v>119</v>
      </c>
      <c r="M899" t="s">
        <v>123</v>
      </c>
      <c r="N899" t="s">
        <v>28</v>
      </c>
      <c r="O899">
        <v>7</v>
      </c>
      <c r="P899">
        <v>28009</v>
      </c>
      <c r="Q899">
        <f t="shared" si="15"/>
        <v>2.8008999999999999E-2</v>
      </c>
      <c r="R899">
        <v>43252</v>
      </c>
      <c r="S899" t="s">
        <v>122</v>
      </c>
    </row>
    <row r="900" spans="1:19">
      <c r="A900">
        <v>60000265</v>
      </c>
      <c r="B900">
        <v>22</v>
      </c>
      <c r="C900" t="s">
        <v>18</v>
      </c>
      <c r="D900" t="s">
        <v>19</v>
      </c>
      <c r="E900" t="s">
        <v>52</v>
      </c>
      <c r="F900" t="s">
        <v>21</v>
      </c>
      <c r="G900" s="23">
        <v>0.32</v>
      </c>
      <c r="H900" t="s">
        <v>42</v>
      </c>
      <c r="I900" t="s">
        <v>68</v>
      </c>
      <c r="J900" t="s">
        <v>54</v>
      </c>
      <c r="K900" t="s">
        <v>101</v>
      </c>
      <c r="L900" t="s">
        <v>26</v>
      </c>
      <c r="M900" t="s">
        <v>123</v>
      </c>
      <c r="N900" t="s">
        <v>28</v>
      </c>
      <c r="O900">
        <v>0</v>
      </c>
      <c r="P900">
        <v>50117</v>
      </c>
      <c r="Q900">
        <f t="shared" si="15"/>
        <v>5.0117000000000002E-2</v>
      </c>
      <c r="R900">
        <v>43252</v>
      </c>
      <c r="S900" t="s">
        <v>122</v>
      </c>
    </row>
    <row r="901" spans="1:19">
      <c r="A901">
        <v>60000266</v>
      </c>
      <c r="B901">
        <v>55</v>
      </c>
      <c r="C901" t="s">
        <v>33</v>
      </c>
      <c r="D901" t="s">
        <v>40</v>
      </c>
      <c r="E901" t="s">
        <v>56</v>
      </c>
      <c r="F901" t="s">
        <v>21</v>
      </c>
      <c r="G901" s="23">
        <v>0.24</v>
      </c>
      <c r="H901" t="s">
        <v>29</v>
      </c>
      <c r="I901" t="s">
        <v>62</v>
      </c>
      <c r="J901" t="s">
        <v>69</v>
      </c>
      <c r="K901" t="s">
        <v>59</v>
      </c>
      <c r="L901" t="s">
        <v>119</v>
      </c>
      <c r="M901" t="s">
        <v>123</v>
      </c>
      <c r="N901" t="s">
        <v>51</v>
      </c>
      <c r="O901">
        <v>5</v>
      </c>
      <c r="P901">
        <v>73685</v>
      </c>
      <c r="Q901">
        <f t="shared" si="15"/>
        <v>7.3685E-2</v>
      </c>
      <c r="R901">
        <v>43252</v>
      </c>
      <c r="S901" t="s">
        <v>122</v>
      </c>
    </row>
    <row r="902" spans="1:19">
      <c r="A902">
        <v>60000267</v>
      </c>
      <c r="B902">
        <v>23</v>
      </c>
      <c r="C902" t="s">
        <v>18</v>
      </c>
      <c r="D902" t="s">
        <v>40</v>
      </c>
      <c r="E902" t="s">
        <v>56</v>
      </c>
      <c r="F902" t="s">
        <v>21</v>
      </c>
      <c r="G902" s="23">
        <v>0.19</v>
      </c>
      <c r="H902" t="s">
        <v>29</v>
      </c>
      <c r="I902" t="s">
        <v>62</v>
      </c>
      <c r="J902" t="s">
        <v>24</v>
      </c>
      <c r="K902" t="s">
        <v>94</v>
      </c>
      <c r="L902" t="s">
        <v>119</v>
      </c>
      <c r="M902" t="s">
        <v>123</v>
      </c>
      <c r="N902" t="s">
        <v>51</v>
      </c>
      <c r="O902">
        <v>3</v>
      </c>
      <c r="P902">
        <v>75872</v>
      </c>
      <c r="Q902">
        <f t="shared" si="15"/>
        <v>7.5871999999999995E-2</v>
      </c>
      <c r="R902">
        <v>43252</v>
      </c>
      <c r="S902" t="s">
        <v>122</v>
      </c>
    </row>
    <row r="903" spans="1:19">
      <c r="A903">
        <v>60000268</v>
      </c>
      <c r="B903">
        <v>20</v>
      </c>
      <c r="C903" t="s">
        <v>33</v>
      </c>
      <c r="D903" t="s">
        <v>19</v>
      </c>
      <c r="E903" t="s">
        <v>34</v>
      </c>
      <c r="F903" t="s">
        <v>21</v>
      </c>
      <c r="G903" s="23">
        <v>0.35</v>
      </c>
      <c r="H903" t="s">
        <v>42</v>
      </c>
      <c r="I903" t="s">
        <v>62</v>
      </c>
      <c r="J903" t="s">
        <v>58</v>
      </c>
      <c r="K903" t="s">
        <v>84</v>
      </c>
      <c r="L903" t="s">
        <v>26</v>
      </c>
      <c r="M903" t="s">
        <v>123</v>
      </c>
      <c r="N903" t="s">
        <v>28</v>
      </c>
      <c r="O903">
        <v>0</v>
      </c>
      <c r="P903">
        <v>81531</v>
      </c>
      <c r="Q903">
        <f t="shared" si="15"/>
        <v>8.1531000000000006E-2</v>
      </c>
      <c r="R903">
        <v>43252</v>
      </c>
      <c r="S903" t="s">
        <v>122</v>
      </c>
    </row>
    <row r="904" spans="1:19">
      <c r="A904">
        <v>60000269</v>
      </c>
      <c r="B904">
        <v>64</v>
      </c>
      <c r="C904" t="s">
        <v>33</v>
      </c>
      <c r="D904" t="s">
        <v>40</v>
      </c>
      <c r="E904" t="s">
        <v>75</v>
      </c>
      <c r="F904" t="s">
        <v>21</v>
      </c>
      <c r="G904" s="23">
        <v>0.34</v>
      </c>
      <c r="H904" t="s">
        <v>42</v>
      </c>
      <c r="I904" t="s">
        <v>45</v>
      </c>
      <c r="J904" t="s">
        <v>74</v>
      </c>
      <c r="K904" t="s">
        <v>118</v>
      </c>
      <c r="L904" t="s">
        <v>121</v>
      </c>
      <c r="M904" t="s">
        <v>123</v>
      </c>
      <c r="N904" t="s">
        <v>51</v>
      </c>
      <c r="O904">
        <v>5</v>
      </c>
      <c r="P904">
        <v>74132</v>
      </c>
      <c r="Q904">
        <f t="shared" si="15"/>
        <v>7.4132000000000003E-2</v>
      </c>
      <c r="R904">
        <v>43252</v>
      </c>
      <c r="S904" t="s">
        <v>122</v>
      </c>
    </row>
    <row r="905" spans="1:19">
      <c r="A905">
        <v>60000270</v>
      </c>
      <c r="B905">
        <v>27</v>
      </c>
      <c r="C905" t="s">
        <v>33</v>
      </c>
      <c r="D905" t="s">
        <v>19</v>
      </c>
      <c r="E905" t="s">
        <v>85</v>
      </c>
      <c r="F905" t="s">
        <v>21</v>
      </c>
      <c r="G905" s="23">
        <v>0.33</v>
      </c>
      <c r="H905" t="s">
        <v>42</v>
      </c>
      <c r="I905" t="s">
        <v>60</v>
      </c>
      <c r="J905" t="s">
        <v>74</v>
      </c>
      <c r="K905" t="s">
        <v>95</v>
      </c>
      <c r="L905" t="s">
        <v>121</v>
      </c>
      <c r="M905" t="s">
        <v>123</v>
      </c>
      <c r="N905" t="s">
        <v>28</v>
      </c>
      <c r="O905">
        <v>1</v>
      </c>
      <c r="P905">
        <v>42932</v>
      </c>
      <c r="Q905">
        <f t="shared" si="15"/>
        <v>4.2931999999999998E-2</v>
      </c>
      <c r="R905">
        <v>43252</v>
      </c>
      <c r="S905" t="s">
        <v>122</v>
      </c>
    </row>
    <row r="906" spans="1:19">
      <c r="A906">
        <v>60000271</v>
      </c>
      <c r="B906">
        <v>48</v>
      </c>
      <c r="C906" t="s">
        <v>33</v>
      </c>
      <c r="D906" t="s">
        <v>40</v>
      </c>
      <c r="E906" t="s">
        <v>34</v>
      </c>
      <c r="F906" t="s">
        <v>21</v>
      </c>
      <c r="G906" s="23">
        <v>0.16</v>
      </c>
      <c r="H906" t="s">
        <v>22</v>
      </c>
      <c r="I906" t="s">
        <v>30</v>
      </c>
      <c r="J906" t="s">
        <v>91</v>
      </c>
      <c r="K906" t="s">
        <v>112</v>
      </c>
      <c r="L906" t="s">
        <v>119</v>
      </c>
      <c r="M906" t="s">
        <v>123</v>
      </c>
      <c r="N906" t="s">
        <v>28</v>
      </c>
      <c r="O906">
        <v>0</v>
      </c>
      <c r="P906">
        <v>62947</v>
      </c>
      <c r="Q906">
        <f t="shared" si="15"/>
        <v>6.2947000000000003E-2</v>
      </c>
      <c r="R906">
        <v>43252</v>
      </c>
      <c r="S906" t="s">
        <v>122</v>
      </c>
    </row>
    <row r="907" spans="1:19">
      <c r="A907">
        <v>60000272</v>
      </c>
      <c r="B907">
        <v>41</v>
      </c>
      <c r="C907" t="s">
        <v>33</v>
      </c>
      <c r="D907" t="s">
        <v>19</v>
      </c>
      <c r="E907" t="s">
        <v>85</v>
      </c>
      <c r="F907" t="s">
        <v>21</v>
      </c>
      <c r="G907" s="23">
        <v>0.17</v>
      </c>
      <c r="H907" t="s">
        <v>22</v>
      </c>
      <c r="I907" t="s">
        <v>68</v>
      </c>
      <c r="J907" t="s">
        <v>88</v>
      </c>
      <c r="K907" t="s">
        <v>90</v>
      </c>
      <c r="L907" t="s">
        <v>26</v>
      </c>
      <c r="M907" t="s">
        <v>123</v>
      </c>
      <c r="N907" t="s">
        <v>28</v>
      </c>
      <c r="O907">
        <v>0</v>
      </c>
      <c r="P907">
        <v>56032</v>
      </c>
      <c r="Q907">
        <f t="shared" si="15"/>
        <v>5.6031999999999998E-2</v>
      </c>
      <c r="R907">
        <v>43252</v>
      </c>
      <c r="S907" t="s">
        <v>122</v>
      </c>
    </row>
    <row r="908" spans="1:19">
      <c r="A908">
        <v>60000273</v>
      </c>
      <c r="B908">
        <v>39</v>
      </c>
      <c r="C908" t="s">
        <v>33</v>
      </c>
      <c r="D908" t="s">
        <v>40</v>
      </c>
      <c r="E908" t="s">
        <v>85</v>
      </c>
      <c r="F908" t="s">
        <v>21</v>
      </c>
      <c r="G908" s="23">
        <v>0.21</v>
      </c>
      <c r="H908" t="s">
        <v>29</v>
      </c>
      <c r="I908" t="s">
        <v>73</v>
      </c>
      <c r="J908" t="s">
        <v>24</v>
      </c>
      <c r="K908" t="s">
        <v>81</v>
      </c>
      <c r="L908" t="s">
        <v>119</v>
      </c>
      <c r="M908" t="s">
        <v>123</v>
      </c>
      <c r="N908" t="s">
        <v>51</v>
      </c>
      <c r="O908">
        <v>0</v>
      </c>
      <c r="P908">
        <v>67233</v>
      </c>
      <c r="Q908">
        <f t="shared" si="15"/>
        <v>6.7233000000000001E-2</v>
      </c>
      <c r="R908">
        <v>43252</v>
      </c>
      <c r="S908" t="s">
        <v>122</v>
      </c>
    </row>
    <row r="909" spans="1:19">
      <c r="A909">
        <v>60000274</v>
      </c>
      <c r="B909">
        <v>51</v>
      </c>
      <c r="C909" t="s">
        <v>18</v>
      </c>
      <c r="D909" t="s">
        <v>40</v>
      </c>
      <c r="E909" t="s">
        <v>44</v>
      </c>
      <c r="F909" t="s">
        <v>21</v>
      </c>
      <c r="G909" s="23">
        <v>0.27</v>
      </c>
      <c r="H909" t="s">
        <v>53</v>
      </c>
      <c r="I909" t="s">
        <v>68</v>
      </c>
      <c r="J909" t="s">
        <v>66</v>
      </c>
      <c r="K909" t="s">
        <v>107</v>
      </c>
      <c r="L909" t="s">
        <v>26</v>
      </c>
      <c r="M909" t="s">
        <v>123</v>
      </c>
      <c r="N909" t="s">
        <v>51</v>
      </c>
      <c r="O909">
        <v>6</v>
      </c>
      <c r="P909">
        <v>42157</v>
      </c>
      <c r="Q909">
        <f t="shared" si="15"/>
        <v>4.2157E-2</v>
      </c>
      <c r="R909">
        <v>43252</v>
      </c>
      <c r="S909" t="s">
        <v>122</v>
      </c>
    </row>
    <row r="910" spans="1:19">
      <c r="A910">
        <v>60000275</v>
      </c>
      <c r="B910">
        <v>64</v>
      </c>
      <c r="C910" t="s">
        <v>33</v>
      </c>
      <c r="D910" t="s">
        <v>19</v>
      </c>
      <c r="E910" t="s">
        <v>48</v>
      </c>
      <c r="F910" t="s">
        <v>21</v>
      </c>
      <c r="G910" s="23">
        <v>0.35</v>
      </c>
      <c r="H910" t="s">
        <v>42</v>
      </c>
      <c r="I910" t="s">
        <v>65</v>
      </c>
      <c r="J910" t="s">
        <v>38</v>
      </c>
      <c r="K910" t="s">
        <v>32</v>
      </c>
      <c r="L910" t="s">
        <v>119</v>
      </c>
      <c r="M910" t="s">
        <v>123</v>
      </c>
      <c r="N910" t="s">
        <v>51</v>
      </c>
      <c r="O910">
        <v>2</v>
      </c>
      <c r="P910">
        <v>80127</v>
      </c>
      <c r="Q910">
        <f t="shared" si="15"/>
        <v>8.0127000000000004E-2</v>
      </c>
      <c r="R910">
        <v>43252</v>
      </c>
      <c r="S910" t="s">
        <v>122</v>
      </c>
    </row>
    <row r="911" spans="1:19">
      <c r="A911">
        <v>60000276</v>
      </c>
      <c r="B911">
        <v>61</v>
      </c>
      <c r="C911" t="s">
        <v>33</v>
      </c>
      <c r="D911" t="s">
        <v>19</v>
      </c>
      <c r="E911" t="s">
        <v>41</v>
      </c>
      <c r="F911" t="s">
        <v>21</v>
      </c>
      <c r="G911" s="23">
        <v>0.22</v>
      </c>
      <c r="H911" t="s">
        <v>29</v>
      </c>
      <c r="I911" t="s">
        <v>62</v>
      </c>
      <c r="J911" t="s">
        <v>69</v>
      </c>
      <c r="K911" t="s">
        <v>96</v>
      </c>
      <c r="L911" t="s">
        <v>119</v>
      </c>
      <c r="M911" t="s">
        <v>123</v>
      </c>
      <c r="N911" t="s">
        <v>51</v>
      </c>
      <c r="O911">
        <v>5</v>
      </c>
      <c r="P911">
        <v>63859</v>
      </c>
      <c r="Q911">
        <f t="shared" si="15"/>
        <v>6.3858999999999999E-2</v>
      </c>
      <c r="R911">
        <v>43252</v>
      </c>
      <c r="S911" t="s">
        <v>122</v>
      </c>
    </row>
    <row r="912" spans="1:19">
      <c r="A912">
        <v>60000277</v>
      </c>
      <c r="B912">
        <v>21</v>
      </c>
      <c r="C912" t="s">
        <v>33</v>
      </c>
      <c r="D912" t="s">
        <v>19</v>
      </c>
      <c r="E912" t="s">
        <v>67</v>
      </c>
      <c r="F912" t="s">
        <v>21</v>
      </c>
      <c r="G912" s="23">
        <v>0.19</v>
      </c>
      <c r="H912" t="s">
        <v>29</v>
      </c>
      <c r="I912" t="s">
        <v>62</v>
      </c>
      <c r="J912" t="s">
        <v>78</v>
      </c>
      <c r="K912" t="s">
        <v>92</v>
      </c>
      <c r="L912" t="s">
        <v>119</v>
      </c>
      <c r="M912" t="s">
        <v>123</v>
      </c>
      <c r="N912" t="s">
        <v>28</v>
      </c>
      <c r="O912">
        <v>4</v>
      </c>
      <c r="P912">
        <v>56370</v>
      </c>
      <c r="Q912">
        <f t="shared" si="15"/>
        <v>5.6370000000000003E-2</v>
      </c>
      <c r="R912">
        <v>43252</v>
      </c>
      <c r="S912" t="s">
        <v>122</v>
      </c>
    </row>
    <row r="913" spans="1:19">
      <c r="A913">
        <v>60000278</v>
      </c>
      <c r="B913">
        <v>62</v>
      </c>
      <c r="C913" t="s">
        <v>18</v>
      </c>
      <c r="D913" t="s">
        <v>40</v>
      </c>
      <c r="E913" t="s">
        <v>48</v>
      </c>
      <c r="F913" t="s">
        <v>21</v>
      </c>
      <c r="G913" s="23">
        <v>0.35</v>
      </c>
      <c r="H913" t="s">
        <v>42</v>
      </c>
      <c r="I913" t="s">
        <v>68</v>
      </c>
      <c r="J913" t="s">
        <v>78</v>
      </c>
      <c r="K913" t="s">
        <v>81</v>
      </c>
      <c r="L913" t="s">
        <v>26</v>
      </c>
      <c r="M913" t="s">
        <v>123</v>
      </c>
      <c r="N913" t="s">
        <v>51</v>
      </c>
      <c r="O913">
        <v>4</v>
      </c>
      <c r="P913">
        <v>45869</v>
      </c>
      <c r="Q913">
        <f t="shared" si="15"/>
        <v>4.5869E-2</v>
      </c>
      <c r="R913">
        <v>43252</v>
      </c>
      <c r="S913" t="s">
        <v>122</v>
      </c>
    </row>
    <row r="914" spans="1:19">
      <c r="A914">
        <v>60000279</v>
      </c>
      <c r="B914">
        <v>35</v>
      </c>
      <c r="C914" t="s">
        <v>33</v>
      </c>
      <c r="D914" t="s">
        <v>19</v>
      </c>
      <c r="E914" t="s">
        <v>34</v>
      </c>
      <c r="F914" t="s">
        <v>21</v>
      </c>
      <c r="G914" s="23">
        <v>0.28000000000000003</v>
      </c>
      <c r="H914" t="s">
        <v>53</v>
      </c>
      <c r="I914" t="s">
        <v>57</v>
      </c>
      <c r="J914" t="s">
        <v>38</v>
      </c>
      <c r="K914" t="s">
        <v>109</v>
      </c>
      <c r="L914" t="s">
        <v>26</v>
      </c>
      <c r="M914" t="s">
        <v>123</v>
      </c>
      <c r="N914" t="s">
        <v>28</v>
      </c>
      <c r="O914">
        <v>0</v>
      </c>
      <c r="P914">
        <v>61650</v>
      </c>
      <c r="Q914">
        <f t="shared" si="15"/>
        <v>6.1650000000000003E-2</v>
      </c>
      <c r="R914">
        <v>43252</v>
      </c>
      <c r="S914" t="s">
        <v>122</v>
      </c>
    </row>
    <row r="915" spans="1:19">
      <c r="A915">
        <v>60000280</v>
      </c>
      <c r="B915">
        <v>33</v>
      </c>
      <c r="C915" t="s">
        <v>18</v>
      </c>
      <c r="D915" t="s">
        <v>40</v>
      </c>
      <c r="E915" t="s">
        <v>64</v>
      </c>
      <c r="F915" t="s">
        <v>21</v>
      </c>
      <c r="G915" s="23">
        <v>0.19</v>
      </c>
      <c r="H915" t="s">
        <v>29</v>
      </c>
      <c r="I915" t="s">
        <v>86</v>
      </c>
      <c r="J915" t="s">
        <v>66</v>
      </c>
      <c r="K915" t="s">
        <v>83</v>
      </c>
      <c r="L915" t="s">
        <v>26</v>
      </c>
      <c r="M915" t="s">
        <v>123</v>
      </c>
      <c r="N915" t="s">
        <v>51</v>
      </c>
      <c r="O915">
        <v>0</v>
      </c>
      <c r="P915">
        <v>54763</v>
      </c>
      <c r="Q915">
        <f t="shared" si="15"/>
        <v>5.4762999999999999E-2</v>
      </c>
      <c r="R915">
        <v>43252</v>
      </c>
      <c r="S915" t="s">
        <v>122</v>
      </c>
    </row>
    <row r="916" spans="1:19">
      <c r="A916">
        <v>60000281</v>
      </c>
      <c r="B916">
        <v>32</v>
      </c>
      <c r="C916" t="s">
        <v>18</v>
      </c>
      <c r="D916" t="s">
        <v>19</v>
      </c>
      <c r="E916" t="s">
        <v>52</v>
      </c>
      <c r="F916" t="s">
        <v>21</v>
      </c>
      <c r="G916" s="23">
        <v>0.14000000000000001</v>
      </c>
      <c r="H916" t="s">
        <v>22</v>
      </c>
      <c r="I916" t="s">
        <v>60</v>
      </c>
      <c r="J916" t="s">
        <v>24</v>
      </c>
      <c r="K916" t="s">
        <v>93</v>
      </c>
      <c r="L916" t="s">
        <v>119</v>
      </c>
      <c r="M916" t="s">
        <v>123</v>
      </c>
      <c r="N916" t="s">
        <v>51</v>
      </c>
      <c r="O916">
        <v>0</v>
      </c>
      <c r="P916">
        <v>84890</v>
      </c>
      <c r="Q916">
        <f t="shared" si="15"/>
        <v>8.4889999999999993E-2</v>
      </c>
      <c r="R916">
        <v>43252</v>
      </c>
      <c r="S916" t="s">
        <v>122</v>
      </c>
    </row>
    <row r="917" spans="1:19">
      <c r="A917">
        <v>60000282</v>
      </c>
      <c r="B917">
        <v>54</v>
      </c>
      <c r="C917" t="s">
        <v>33</v>
      </c>
      <c r="D917" t="s">
        <v>19</v>
      </c>
      <c r="E917" t="s">
        <v>20</v>
      </c>
      <c r="F917" t="s">
        <v>21</v>
      </c>
      <c r="G917" s="23">
        <v>0.11</v>
      </c>
      <c r="H917" t="s">
        <v>36</v>
      </c>
      <c r="I917" t="s">
        <v>70</v>
      </c>
      <c r="J917" t="s">
        <v>46</v>
      </c>
      <c r="K917" t="s">
        <v>102</v>
      </c>
      <c r="L917" t="s">
        <v>119</v>
      </c>
      <c r="M917" t="s">
        <v>123</v>
      </c>
      <c r="N917" t="s">
        <v>51</v>
      </c>
      <c r="O917">
        <v>6</v>
      </c>
      <c r="P917">
        <v>62574</v>
      </c>
      <c r="Q917">
        <f t="shared" si="15"/>
        <v>6.2574000000000005E-2</v>
      </c>
      <c r="R917">
        <v>43252</v>
      </c>
      <c r="S917" t="s">
        <v>122</v>
      </c>
    </row>
    <row r="918" spans="1:19">
      <c r="A918">
        <v>60000283</v>
      </c>
      <c r="B918">
        <v>45</v>
      </c>
      <c r="C918" t="s">
        <v>18</v>
      </c>
      <c r="D918" t="s">
        <v>40</v>
      </c>
      <c r="E918" t="s">
        <v>85</v>
      </c>
      <c r="F918" t="s">
        <v>21</v>
      </c>
      <c r="G918" s="23">
        <v>0.37</v>
      </c>
      <c r="H918" t="s">
        <v>42</v>
      </c>
      <c r="I918" t="s">
        <v>86</v>
      </c>
      <c r="J918" t="s">
        <v>46</v>
      </c>
      <c r="K918" t="s">
        <v>82</v>
      </c>
      <c r="L918" t="s">
        <v>26</v>
      </c>
      <c r="M918" t="s">
        <v>123</v>
      </c>
      <c r="N918" t="s">
        <v>28</v>
      </c>
      <c r="O918">
        <v>0</v>
      </c>
      <c r="P918">
        <v>25808</v>
      </c>
      <c r="Q918">
        <f t="shared" si="15"/>
        <v>2.5808000000000001E-2</v>
      </c>
      <c r="R918">
        <v>43252</v>
      </c>
      <c r="S918" t="s">
        <v>122</v>
      </c>
    </row>
    <row r="919" spans="1:19">
      <c r="A919">
        <v>60000284</v>
      </c>
      <c r="B919">
        <v>44</v>
      </c>
      <c r="C919" t="s">
        <v>18</v>
      </c>
      <c r="D919" t="s">
        <v>40</v>
      </c>
      <c r="E919" t="s">
        <v>75</v>
      </c>
      <c r="F919" t="s">
        <v>21</v>
      </c>
      <c r="G919" s="23">
        <v>0.16</v>
      </c>
      <c r="H919" t="s">
        <v>22</v>
      </c>
      <c r="I919" t="s">
        <v>86</v>
      </c>
      <c r="J919" t="s">
        <v>66</v>
      </c>
      <c r="K919" t="s">
        <v>49</v>
      </c>
      <c r="L919" t="s">
        <v>119</v>
      </c>
      <c r="M919" t="s">
        <v>123</v>
      </c>
      <c r="N919" t="s">
        <v>51</v>
      </c>
      <c r="O919">
        <v>0</v>
      </c>
      <c r="P919">
        <v>40642</v>
      </c>
      <c r="Q919">
        <f t="shared" si="15"/>
        <v>4.0641999999999998E-2</v>
      </c>
      <c r="R919">
        <v>43252</v>
      </c>
      <c r="S919" t="s">
        <v>122</v>
      </c>
    </row>
    <row r="920" spans="1:19">
      <c r="A920">
        <v>60000285</v>
      </c>
      <c r="B920">
        <v>37</v>
      </c>
      <c r="C920" t="s">
        <v>33</v>
      </c>
      <c r="D920" t="s">
        <v>19</v>
      </c>
      <c r="E920" t="s">
        <v>64</v>
      </c>
      <c r="F920" t="s">
        <v>21</v>
      </c>
      <c r="G920" s="23">
        <v>0.19</v>
      </c>
      <c r="H920" t="s">
        <v>29</v>
      </c>
      <c r="I920" t="s">
        <v>45</v>
      </c>
      <c r="J920" t="s">
        <v>69</v>
      </c>
      <c r="K920" t="s">
        <v>99</v>
      </c>
      <c r="L920" t="s">
        <v>26</v>
      </c>
      <c r="M920" t="s">
        <v>123</v>
      </c>
      <c r="N920" t="s">
        <v>28</v>
      </c>
      <c r="O920">
        <v>0</v>
      </c>
      <c r="P920">
        <v>79634</v>
      </c>
      <c r="Q920">
        <f t="shared" si="15"/>
        <v>7.9633999999999996E-2</v>
      </c>
      <c r="R920">
        <v>43252</v>
      </c>
      <c r="S920" t="s">
        <v>122</v>
      </c>
    </row>
    <row r="921" spans="1:19">
      <c r="A921">
        <v>60000286</v>
      </c>
      <c r="B921">
        <v>54</v>
      </c>
      <c r="C921" t="s">
        <v>33</v>
      </c>
      <c r="D921" t="s">
        <v>19</v>
      </c>
      <c r="E921" t="s">
        <v>72</v>
      </c>
      <c r="F921" t="s">
        <v>21</v>
      </c>
      <c r="G921" s="23">
        <v>0.25</v>
      </c>
      <c r="H921" t="s">
        <v>53</v>
      </c>
      <c r="I921" t="s">
        <v>70</v>
      </c>
      <c r="J921" t="s">
        <v>61</v>
      </c>
      <c r="K921" t="s">
        <v>92</v>
      </c>
      <c r="L921" t="s">
        <v>26</v>
      </c>
      <c r="M921" t="s">
        <v>123</v>
      </c>
      <c r="N921" t="s">
        <v>51</v>
      </c>
      <c r="O921">
        <v>7</v>
      </c>
      <c r="P921">
        <v>45068</v>
      </c>
      <c r="Q921">
        <f t="shared" ref="Q921:Q984" si="16">+P921/1000000</f>
        <v>4.5067999999999997E-2</v>
      </c>
      <c r="R921">
        <v>43252</v>
      </c>
      <c r="S921" t="s">
        <v>122</v>
      </c>
    </row>
    <row r="922" spans="1:19">
      <c r="A922">
        <v>60000287</v>
      </c>
      <c r="B922">
        <v>60</v>
      </c>
      <c r="C922" t="s">
        <v>33</v>
      </c>
      <c r="D922" t="s">
        <v>19</v>
      </c>
      <c r="E922" t="s">
        <v>64</v>
      </c>
      <c r="F922" t="s">
        <v>21</v>
      </c>
      <c r="G922" s="23">
        <v>0.21</v>
      </c>
      <c r="H922" t="s">
        <v>29</v>
      </c>
      <c r="I922" t="s">
        <v>49</v>
      </c>
      <c r="J922" t="s">
        <v>24</v>
      </c>
      <c r="K922" t="s">
        <v>65</v>
      </c>
      <c r="L922" t="s">
        <v>26</v>
      </c>
      <c r="M922" t="s">
        <v>123</v>
      </c>
      <c r="N922" t="s">
        <v>28</v>
      </c>
      <c r="O922">
        <v>0</v>
      </c>
      <c r="P922">
        <v>71844</v>
      </c>
      <c r="Q922">
        <f t="shared" si="16"/>
        <v>7.1844000000000005E-2</v>
      </c>
      <c r="R922">
        <v>43252</v>
      </c>
      <c r="S922" t="s">
        <v>122</v>
      </c>
    </row>
    <row r="923" spans="1:19">
      <c r="A923">
        <v>60000288</v>
      </c>
      <c r="B923">
        <v>27</v>
      </c>
      <c r="C923" t="s">
        <v>18</v>
      </c>
      <c r="D923" t="s">
        <v>40</v>
      </c>
      <c r="E923" t="s">
        <v>56</v>
      </c>
      <c r="F923" t="s">
        <v>21</v>
      </c>
      <c r="G923" s="23">
        <v>0.27</v>
      </c>
      <c r="H923" t="s">
        <v>53</v>
      </c>
      <c r="I923" t="s">
        <v>49</v>
      </c>
      <c r="J923" t="s">
        <v>54</v>
      </c>
      <c r="K923" t="s">
        <v>49</v>
      </c>
      <c r="L923" t="s">
        <v>119</v>
      </c>
      <c r="M923" t="s">
        <v>123</v>
      </c>
      <c r="N923" t="s">
        <v>28</v>
      </c>
      <c r="O923">
        <v>0</v>
      </c>
      <c r="P923">
        <v>23846</v>
      </c>
      <c r="Q923">
        <f t="shared" si="16"/>
        <v>2.3845999999999999E-2</v>
      </c>
      <c r="R923">
        <v>43252</v>
      </c>
      <c r="S923" t="s">
        <v>122</v>
      </c>
    </row>
    <row r="924" spans="1:19">
      <c r="A924">
        <v>60000289</v>
      </c>
      <c r="B924">
        <v>58</v>
      </c>
      <c r="C924" t="s">
        <v>18</v>
      </c>
      <c r="D924" t="s">
        <v>19</v>
      </c>
      <c r="E924" t="s">
        <v>56</v>
      </c>
      <c r="F924" t="s">
        <v>21</v>
      </c>
      <c r="G924" s="23">
        <v>0.28000000000000003</v>
      </c>
      <c r="H924" t="s">
        <v>53</v>
      </c>
      <c r="I924" t="s">
        <v>62</v>
      </c>
      <c r="J924" t="s">
        <v>88</v>
      </c>
      <c r="K924" t="s">
        <v>87</v>
      </c>
      <c r="L924" t="s">
        <v>119</v>
      </c>
      <c r="M924" t="s">
        <v>123</v>
      </c>
      <c r="N924" t="s">
        <v>51</v>
      </c>
      <c r="O924">
        <v>0</v>
      </c>
      <c r="P924">
        <v>68805</v>
      </c>
      <c r="Q924">
        <f t="shared" si="16"/>
        <v>6.8805000000000005E-2</v>
      </c>
      <c r="R924">
        <v>43252</v>
      </c>
      <c r="S924" t="s">
        <v>122</v>
      </c>
    </row>
    <row r="925" spans="1:19">
      <c r="A925">
        <v>60000290</v>
      </c>
      <c r="B925">
        <v>45</v>
      </c>
      <c r="C925" t="s">
        <v>33</v>
      </c>
      <c r="D925" t="s">
        <v>40</v>
      </c>
      <c r="E925" t="s">
        <v>20</v>
      </c>
      <c r="F925" t="s">
        <v>21</v>
      </c>
      <c r="G925" s="23">
        <v>0.3</v>
      </c>
      <c r="H925" t="s">
        <v>53</v>
      </c>
      <c r="I925" t="s">
        <v>37</v>
      </c>
      <c r="J925" t="s">
        <v>91</v>
      </c>
      <c r="K925" t="s">
        <v>82</v>
      </c>
      <c r="L925" t="s">
        <v>121</v>
      </c>
      <c r="M925" t="s">
        <v>123</v>
      </c>
      <c r="N925" t="s">
        <v>28</v>
      </c>
      <c r="O925">
        <v>6</v>
      </c>
      <c r="P925">
        <v>79400</v>
      </c>
      <c r="Q925">
        <f t="shared" si="16"/>
        <v>7.9399999999999998E-2</v>
      </c>
      <c r="R925">
        <v>43252</v>
      </c>
      <c r="S925" t="s">
        <v>122</v>
      </c>
    </row>
    <row r="926" spans="1:19">
      <c r="A926">
        <v>60000291</v>
      </c>
      <c r="B926">
        <v>58</v>
      </c>
      <c r="C926" t="s">
        <v>18</v>
      </c>
      <c r="D926" t="s">
        <v>19</v>
      </c>
      <c r="E926" t="s">
        <v>34</v>
      </c>
      <c r="F926" t="s">
        <v>21</v>
      </c>
      <c r="G926" s="23">
        <v>0.36</v>
      </c>
      <c r="H926" t="s">
        <v>42</v>
      </c>
      <c r="I926" t="s">
        <v>37</v>
      </c>
      <c r="J926" t="s">
        <v>38</v>
      </c>
      <c r="K926" t="s">
        <v>106</v>
      </c>
      <c r="L926" t="s">
        <v>119</v>
      </c>
      <c r="M926" t="s">
        <v>123</v>
      </c>
      <c r="N926" t="s">
        <v>28</v>
      </c>
      <c r="O926">
        <v>3</v>
      </c>
      <c r="P926">
        <v>65258</v>
      </c>
      <c r="Q926">
        <f t="shared" si="16"/>
        <v>6.5257999999999997E-2</v>
      </c>
      <c r="R926">
        <v>43252</v>
      </c>
      <c r="S926" t="s">
        <v>122</v>
      </c>
    </row>
    <row r="927" spans="1:19">
      <c r="A927">
        <v>60000292</v>
      </c>
      <c r="B927">
        <v>35</v>
      </c>
      <c r="C927" t="s">
        <v>18</v>
      </c>
      <c r="D927" t="s">
        <v>19</v>
      </c>
      <c r="E927" t="s">
        <v>44</v>
      </c>
      <c r="F927" t="s">
        <v>21</v>
      </c>
      <c r="G927" s="23">
        <v>0.13</v>
      </c>
      <c r="H927" t="s">
        <v>22</v>
      </c>
      <c r="I927" t="s">
        <v>70</v>
      </c>
      <c r="J927" t="s">
        <v>61</v>
      </c>
      <c r="K927" t="s">
        <v>92</v>
      </c>
      <c r="L927" t="s">
        <v>121</v>
      </c>
      <c r="M927" t="s">
        <v>123</v>
      </c>
      <c r="N927" t="s">
        <v>51</v>
      </c>
      <c r="O927">
        <v>7</v>
      </c>
      <c r="P927">
        <v>79127</v>
      </c>
      <c r="Q927">
        <f t="shared" si="16"/>
        <v>7.9127000000000003E-2</v>
      </c>
      <c r="R927">
        <v>43252</v>
      </c>
      <c r="S927" t="s">
        <v>122</v>
      </c>
    </row>
    <row r="928" spans="1:19">
      <c r="A928">
        <v>60000293</v>
      </c>
      <c r="B928">
        <v>40</v>
      </c>
      <c r="C928" t="s">
        <v>18</v>
      </c>
      <c r="D928" t="s">
        <v>40</v>
      </c>
      <c r="E928" t="s">
        <v>52</v>
      </c>
      <c r="F928" t="s">
        <v>21</v>
      </c>
      <c r="G928" s="23">
        <v>0.27</v>
      </c>
      <c r="H928" t="s">
        <v>53</v>
      </c>
      <c r="I928" t="s">
        <v>49</v>
      </c>
      <c r="J928" t="s">
        <v>74</v>
      </c>
      <c r="K928" t="s">
        <v>108</v>
      </c>
      <c r="L928" t="s">
        <v>26</v>
      </c>
      <c r="M928" t="s">
        <v>123</v>
      </c>
      <c r="N928" t="s">
        <v>28</v>
      </c>
      <c r="O928">
        <v>0</v>
      </c>
      <c r="P928">
        <v>54971</v>
      </c>
      <c r="Q928">
        <f t="shared" si="16"/>
        <v>5.4970999999999999E-2</v>
      </c>
      <c r="R928">
        <v>43252</v>
      </c>
      <c r="S928" t="s">
        <v>122</v>
      </c>
    </row>
    <row r="929" spans="1:19">
      <c r="A929">
        <v>60000294</v>
      </c>
      <c r="B929">
        <v>48</v>
      </c>
      <c r="C929" t="s">
        <v>33</v>
      </c>
      <c r="D929" t="s">
        <v>19</v>
      </c>
      <c r="E929" t="s">
        <v>44</v>
      </c>
      <c r="F929" t="s">
        <v>21</v>
      </c>
      <c r="G929" s="23">
        <v>0.27</v>
      </c>
      <c r="H929" t="s">
        <v>53</v>
      </c>
      <c r="I929" t="s">
        <v>83</v>
      </c>
      <c r="J929" t="s">
        <v>74</v>
      </c>
      <c r="K929" t="s">
        <v>90</v>
      </c>
      <c r="L929" t="s">
        <v>121</v>
      </c>
      <c r="M929" t="s">
        <v>123</v>
      </c>
      <c r="N929" t="s">
        <v>51</v>
      </c>
      <c r="O929">
        <v>0</v>
      </c>
      <c r="P929">
        <v>35141</v>
      </c>
      <c r="Q929">
        <f t="shared" si="16"/>
        <v>3.5140999999999999E-2</v>
      </c>
      <c r="R929">
        <v>43252</v>
      </c>
      <c r="S929" t="s">
        <v>122</v>
      </c>
    </row>
    <row r="930" spans="1:19">
      <c r="A930">
        <v>60000295</v>
      </c>
      <c r="B930">
        <v>56</v>
      </c>
      <c r="C930" t="s">
        <v>33</v>
      </c>
      <c r="D930" t="s">
        <v>40</v>
      </c>
      <c r="E930" t="s">
        <v>52</v>
      </c>
      <c r="F930" t="s">
        <v>21</v>
      </c>
      <c r="G930" s="23">
        <v>0.27</v>
      </c>
      <c r="H930" t="s">
        <v>53</v>
      </c>
      <c r="I930" t="s">
        <v>30</v>
      </c>
      <c r="J930" t="s">
        <v>66</v>
      </c>
      <c r="K930" t="s">
        <v>95</v>
      </c>
      <c r="L930" t="s">
        <v>121</v>
      </c>
      <c r="M930" t="s">
        <v>123</v>
      </c>
      <c r="N930" t="s">
        <v>28</v>
      </c>
      <c r="O930">
        <v>0</v>
      </c>
      <c r="P930">
        <v>31060</v>
      </c>
      <c r="Q930">
        <f t="shared" si="16"/>
        <v>3.1060000000000001E-2</v>
      </c>
      <c r="R930">
        <v>43252</v>
      </c>
      <c r="S930" t="s">
        <v>122</v>
      </c>
    </row>
    <row r="931" spans="1:19">
      <c r="A931">
        <v>60000296</v>
      </c>
      <c r="B931">
        <v>36</v>
      </c>
      <c r="C931" t="s">
        <v>18</v>
      </c>
      <c r="D931" t="s">
        <v>40</v>
      </c>
      <c r="E931" t="s">
        <v>56</v>
      </c>
      <c r="F931" t="s">
        <v>21</v>
      </c>
      <c r="G931" s="23">
        <v>0.13</v>
      </c>
      <c r="H931" t="s">
        <v>22</v>
      </c>
      <c r="I931" t="s">
        <v>83</v>
      </c>
      <c r="J931" t="s">
        <v>38</v>
      </c>
      <c r="K931" t="s">
        <v>84</v>
      </c>
      <c r="L931" t="s">
        <v>119</v>
      </c>
      <c r="M931" t="s">
        <v>123</v>
      </c>
      <c r="N931" t="s">
        <v>28</v>
      </c>
      <c r="O931">
        <v>0</v>
      </c>
      <c r="P931">
        <v>66888</v>
      </c>
      <c r="Q931">
        <f t="shared" si="16"/>
        <v>6.6888000000000003E-2</v>
      </c>
      <c r="R931">
        <v>43252</v>
      </c>
      <c r="S931" t="s">
        <v>122</v>
      </c>
    </row>
    <row r="932" spans="1:19">
      <c r="A932">
        <v>60000297</v>
      </c>
      <c r="B932">
        <v>40</v>
      </c>
      <c r="C932" t="s">
        <v>33</v>
      </c>
      <c r="D932" t="s">
        <v>40</v>
      </c>
      <c r="E932" t="s">
        <v>56</v>
      </c>
      <c r="F932" t="s">
        <v>21</v>
      </c>
      <c r="G932" s="23">
        <v>0.16</v>
      </c>
      <c r="H932" t="s">
        <v>22</v>
      </c>
      <c r="I932" t="s">
        <v>80</v>
      </c>
      <c r="J932" t="s">
        <v>78</v>
      </c>
      <c r="K932" t="s">
        <v>115</v>
      </c>
      <c r="L932" t="s">
        <v>119</v>
      </c>
      <c r="M932" t="s">
        <v>123</v>
      </c>
      <c r="N932" t="s">
        <v>51</v>
      </c>
      <c r="O932">
        <v>0</v>
      </c>
      <c r="P932">
        <v>31251</v>
      </c>
      <c r="Q932">
        <f t="shared" si="16"/>
        <v>3.1251000000000001E-2</v>
      </c>
      <c r="R932">
        <v>43252</v>
      </c>
      <c r="S932" t="s">
        <v>122</v>
      </c>
    </row>
    <row r="933" spans="1:19">
      <c r="A933">
        <v>60000298</v>
      </c>
      <c r="B933">
        <v>49</v>
      </c>
      <c r="C933" t="s">
        <v>18</v>
      </c>
      <c r="D933" t="s">
        <v>19</v>
      </c>
      <c r="E933" t="s">
        <v>48</v>
      </c>
      <c r="F933" t="s">
        <v>21</v>
      </c>
      <c r="G933" s="23">
        <v>0.32</v>
      </c>
      <c r="H933" t="s">
        <v>42</v>
      </c>
      <c r="I933" t="s">
        <v>30</v>
      </c>
      <c r="J933" t="s">
        <v>69</v>
      </c>
      <c r="K933" t="s">
        <v>47</v>
      </c>
      <c r="L933" t="s">
        <v>119</v>
      </c>
      <c r="M933" t="s">
        <v>123</v>
      </c>
      <c r="N933" t="s">
        <v>28</v>
      </c>
      <c r="O933">
        <v>5</v>
      </c>
      <c r="P933">
        <v>71949</v>
      </c>
      <c r="Q933">
        <f t="shared" si="16"/>
        <v>7.1948999999999999E-2</v>
      </c>
      <c r="R933">
        <v>43252</v>
      </c>
      <c r="S933" t="s">
        <v>122</v>
      </c>
    </row>
    <row r="934" spans="1:19">
      <c r="A934">
        <v>60000299</v>
      </c>
      <c r="B934">
        <v>47</v>
      </c>
      <c r="C934" t="s">
        <v>18</v>
      </c>
      <c r="D934" t="s">
        <v>19</v>
      </c>
      <c r="E934" t="s">
        <v>52</v>
      </c>
      <c r="F934" t="s">
        <v>21</v>
      </c>
      <c r="G934" s="23">
        <v>0.1</v>
      </c>
      <c r="H934" t="s">
        <v>36</v>
      </c>
      <c r="I934" t="s">
        <v>86</v>
      </c>
      <c r="J934" t="s">
        <v>61</v>
      </c>
      <c r="K934" t="s">
        <v>79</v>
      </c>
      <c r="L934" t="s">
        <v>121</v>
      </c>
      <c r="M934" t="s">
        <v>123</v>
      </c>
      <c r="N934" t="s">
        <v>51</v>
      </c>
      <c r="O934">
        <v>3</v>
      </c>
      <c r="P934">
        <v>78768</v>
      </c>
      <c r="Q934">
        <f t="shared" si="16"/>
        <v>7.8768000000000005E-2</v>
      </c>
      <c r="R934">
        <v>43252</v>
      </c>
      <c r="S934" t="s">
        <v>122</v>
      </c>
    </row>
    <row r="935" spans="1:19">
      <c r="A935">
        <v>60000300</v>
      </c>
      <c r="B935">
        <v>27</v>
      </c>
      <c r="C935" t="s">
        <v>33</v>
      </c>
      <c r="D935" t="s">
        <v>40</v>
      </c>
      <c r="E935" t="s">
        <v>85</v>
      </c>
      <c r="F935" t="s">
        <v>21</v>
      </c>
      <c r="G935" s="23">
        <v>0.28999999999999998</v>
      </c>
      <c r="H935" t="s">
        <v>53</v>
      </c>
      <c r="I935" t="s">
        <v>57</v>
      </c>
      <c r="J935" t="s">
        <v>54</v>
      </c>
      <c r="K935" t="s">
        <v>104</v>
      </c>
      <c r="L935" t="s">
        <v>119</v>
      </c>
      <c r="M935" t="s">
        <v>123</v>
      </c>
      <c r="N935" t="s">
        <v>51</v>
      </c>
      <c r="O935">
        <v>0</v>
      </c>
      <c r="P935">
        <v>66516</v>
      </c>
      <c r="Q935">
        <f t="shared" si="16"/>
        <v>6.6516000000000006E-2</v>
      </c>
      <c r="R935">
        <v>43252</v>
      </c>
      <c r="S935" t="s">
        <v>122</v>
      </c>
    </row>
    <row r="936" spans="1:19">
      <c r="A936">
        <v>60000301</v>
      </c>
      <c r="B936">
        <v>64</v>
      </c>
      <c r="C936" t="s">
        <v>18</v>
      </c>
      <c r="D936" t="s">
        <v>19</v>
      </c>
      <c r="E936" t="s">
        <v>52</v>
      </c>
      <c r="F936" t="s">
        <v>21</v>
      </c>
      <c r="G936" s="23">
        <v>0.25</v>
      </c>
      <c r="H936" t="s">
        <v>53</v>
      </c>
      <c r="I936" t="s">
        <v>45</v>
      </c>
      <c r="J936" t="s">
        <v>61</v>
      </c>
      <c r="K936" t="s">
        <v>96</v>
      </c>
      <c r="L936" t="s">
        <v>26</v>
      </c>
      <c r="M936" t="s">
        <v>123</v>
      </c>
      <c r="N936" t="s">
        <v>51</v>
      </c>
      <c r="O936">
        <v>0</v>
      </c>
      <c r="P936">
        <v>80286</v>
      </c>
      <c r="Q936">
        <f t="shared" si="16"/>
        <v>8.0285999999999996E-2</v>
      </c>
      <c r="R936">
        <v>43252</v>
      </c>
      <c r="S936" t="s">
        <v>122</v>
      </c>
    </row>
    <row r="937" spans="1:19">
      <c r="A937">
        <v>60000302</v>
      </c>
      <c r="B937">
        <v>49</v>
      </c>
      <c r="C937" t="s">
        <v>33</v>
      </c>
      <c r="D937" t="s">
        <v>19</v>
      </c>
      <c r="E937" t="s">
        <v>20</v>
      </c>
      <c r="F937" t="s">
        <v>21</v>
      </c>
      <c r="G937" s="23">
        <v>0.36</v>
      </c>
      <c r="H937" t="s">
        <v>42</v>
      </c>
      <c r="I937" t="s">
        <v>45</v>
      </c>
      <c r="J937" t="s">
        <v>74</v>
      </c>
      <c r="K937" t="s">
        <v>118</v>
      </c>
      <c r="L937" t="s">
        <v>121</v>
      </c>
      <c r="M937" t="s">
        <v>123</v>
      </c>
      <c r="N937" t="s">
        <v>51</v>
      </c>
      <c r="O937">
        <v>7</v>
      </c>
      <c r="P937">
        <v>27132</v>
      </c>
      <c r="Q937">
        <f t="shared" si="16"/>
        <v>2.7132E-2</v>
      </c>
      <c r="R937">
        <v>43252</v>
      </c>
      <c r="S937" t="s">
        <v>122</v>
      </c>
    </row>
    <row r="938" spans="1:19">
      <c r="A938">
        <v>60000303</v>
      </c>
      <c r="B938">
        <v>45</v>
      </c>
      <c r="C938" t="s">
        <v>18</v>
      </c>
      <c r="D938" t="s">
        <v>40</v>
      </c>
      <c r="E938" t="s">
        <v>67</v>
      </c>
      <c r="F938" t="s">
        <v>21</v>
      </c>
      <c r="G938" s="23">
        <v>0.31</v>
      </c>
      <c r="H938" t="s">
        <v>53</v>
      </c>
      <c r="I938" t="s">
        <v>86</v>
      </c>
      <c r="J938" t="s">
        <v>66</v>
      </c>
      <c r="K938" t="s">
        <v>100</v>
      </c>
      <c r="L938" t="s">
        <v>119</v>
      </c>
      <c r="M938" t="s">
        <v>123</v>
      </c>
      <c r="N938" t="s">
        <v>51</v>
      </c>
      <c r="O938">
        <v>5</v>
      </c>
      <c r="P938">
        <v>47731</v>
      </c>
      <c r="Q938">
        <f t="shared" si="16"/>
        <v>4.7731000000000003E-2</v>
      </c>
      <c r="R938">
        <v>43252</v>
      </c>
      <c r="S938" t="s">
        <v>122</v>
      </c>
    </row>
    <row r="939" spans="1:19">
      <c r="A939">
        <v>60000304</v>
      </c>
      <c r="B939">
        <v>46</v>
      </c>
      <c r="C939" t="s">
        <v>18</v>
      </c>
      <c r="D939" t="s">
        <v>19</v>
      </c>
      <c r="E939" t="s">
        <v>67</v>
      </c>
      <c r="F939" t="s">
        <v>21</v>
      </c>
      <c r="G939" s="23">
        <v>0.33</v>
      </c>
      <c r="H939" t="s">
        <v>42</v>
      </c>
      <c r="I939" t="s">
        <v>23</v>
      </c>
      <c r="J939" t="s">
        <v>61</v>
      </c>
      <c r="K939" t="s">
        <v>99</v>
      </c>
      <c r="L939" t="s">
        <v>119</v>
      </c>
      <c r="M939" t="s">
        <v>123</v>
      </c>
      <c r="N939" t="s">
        <v>51</v>
      </c>
      <c r="O939">
        <v>0</v>
      </c>
      <c r="P939">
        <v>36561</v>
      </c>
      <c r="Q939">
        <f t="shared" si="16"/>
        <v>3.6561000000000003E-2</v>
      </c>
      <c r="R939">
        <v>43252</v>
      </c>
      <c r="S939" t="s">
        <v>122</v>
      </c>
    </row>
    <row r="940" spans="1:19">
      <c r="A940">
        <v>60000305</v>
      </c>
      <c r="B940">
        <v>55</v>
      </c>
      <c r="C940" t="s">
        <v>33</v>
      </c>
      <c r="D940" t="s">
        <v>19</v>
      </c>
      <c r="E940" t="s">
        <v>72</v>
      </c>
      <c r="F940" t="s">
        <v>21</v>
      </c>
      <c r="G940" s="23">
        <v>0.26</v>
      </c>
      <c r="H940" t="s">
        <v>53</v>
      </c>
      <c r="I940" t="s">
        <v>70</v>
      </c>
      <c r="J940" t="s">
        <v>24</v>
      </c>
      <c r="K940" t="s">
        <v>50</v>
      </c>
      <c r="L940" t="s">
        <v>121</v>
      </c>
      <c r="M940" t="s">
        <v>123</v>
      </c>
      <c r="N940" t="s">
        <v>51</v>
      </c>
      <c r="O940">
        <v>0</v>
      </c>
      <c r="P940">
        <v>67604</v>
      </c>
      <c r="Q940">
        <f t="shared" si="16"/>
        <v>6.7603999999999997E-2</v>
      </c>
      <c r="R940">
        <v>43252</v>
      </c>
      <c r="S940" t="s">
        <v>122</v>
      </c>
    </row>
    <row r="941" spans="1:19">
      <c r="A941">
        <v>60000306</v>
      </c>
      <c r="B941">
        <v>33</v>
      </c>
      <c r="C941" t="s">
        <v>33</v>
      </c>
      <c r="D941" t="s">
        <v>40</v>
      </c>
      <c r="E941" t="s">
        <v>64</v>
      </c>
      <c r="F941" t="s">
        <v>21</v>
      </c>
      <c r="G941" s="23">
        <v>0.13</v>
      </c>
      <c r="H941" t="s">
        <v>22</v>
      </c>
      <c r="I941" t="s">
        <v>76</v>
      </c>
      <c r="J941" t="s">
        <v>54</v>
      </c>
      <c r="K941" t="s">
        <v>112</v>
      </c>
      <c r="L941" t="s">
        <v>26</v>
      </c>
      <c r="M941" t="s">
        <v>123</v>
      </c>
      <c r="N941" t="s">
        <v>51</v>
      </c>
      <c r="O941">
        <v>3</v>
      </c>
      <c r="P941">
        <v>65598</v>
      </c>
      <c r="Q941">
        <f t="shared" si="16"/>
        <v>6.5598000000000004E-2</v>
      </c>
      <c r="R941">
        <v>43252</v>
      </c>
      <c r="S941" t="s">
        <v>122</v>
      </c>
    </row>
    <row r="942" spans="1:19">
      <c r="A942">
        <v>60000307</v>
      </c>
      <c r="B942">
        <v>59</v>
      </c>
      <c r="C942" t="s">
        <v>18</v>
      </c>
      <c r="D942" t="s">
        <v>19</v>
      </c>
      <c r="E942" t="s">
        <v>34</v>
      </c>
      <c r="F942" t="s">
        <v>21</v>
      </c>
      <c r="G942" s="23">
        <v>0.17</v>
      </c>
      <c r="H942" t="s">
        <v>22</v>
      </c>
      <c r="I942" t="s">
        <v>60</v>
      </c>
      <c r="J942" t="s">
        <v>91</v>
      </c>
      <c r="K942" t="s">
        <v>32</v>
      </c>
      <c r="L942" t="s">
        <v>26</v>
      </c>
      <c r="M942" t="s">
        <v>123</v>
      </c>
      <c r="N942" t="s">
        <v>28</v>
      </c>
      <c r="O942">
        <v>0</v>
      </c>
      <c r="P942">
        <v>34810</v>
      </c>
      <c r="Q942">
        <f t="shared" si="16"/>
        <v>3.4810000000000001E-2</v>
      </c>
      <c r="R942">
        <v>43252</v>
      </c>
      <c r="S942" t="s">
        <v>122</v>
      </c>
    </row>
    <row r="943" spans="1:19">
      <c r="A943">
        <v>60000308</v>
      </c>
      <c r="B943">
        <v>65</v>
      </c>
      <c r="C943" t="s">
        <v>18</v>
      </c>
      <c r="D943" t="s">
        <v>40</v>
      </c>
      <c r="E943" t="s">
        <v>34</v>
      </c>
      <c r="F943" t="s">
        <v>21</v>
      </c>
      <c r="G943" s="23">
        <v>0.32</v>
      </c>
      <c r="H943" t="s">
        <v>42</v>
      </c>
      <c r="I943" t="s">
        <v>30</v>
      </c>
      <c r="J943" t="s">
        <v>38</v>
      </c>
      <c r="K943" t="s">
        <v>99</v>
      </c>
      <c r="L943" t="s">
        <v>119</v>
      </c>
      <c r="M943" t="s">
        <v>123</v>
      </c>
      <c r="N943" t="s">
        <v>28</v>
      </c>
      <c r="O943">
        <v>0</v>
      </c>
      <c r="P943">
        <v>71181</v>
      </c>
      <c r="Q943">
        <f t="shared" si="16"/>
        <v>7.1180999999999994E-2</v>
      </c>
      <c r="R943">
        <v>43252</v>
      </c>
      <c r="S943" t="s">
        <v>122</v>
      </c>
    </row>
    <row r="944" spans="1:19">
      <c r="A944">
        <v>60000309</v>
      </c>
      <c r="B944">
        <v>59</v>
      </c>
      <c r="C944" t="s">
        <v>18</v>
      </c>
      <c r="D944" t="s">
        <v>40</v>
      </c>
      <c r="E944" t="s">
        <v>48</v>
      </c>
      <c r="F944" t="s">
        <v>21</v>
      </c>
      <c r="G944" s="23">
        <v>0.13</v>
      </c>
      <c r="H944" t="s">
        <v>22</v>
      </c>
      <c r="I944" t="s">
        <v>68</v>
      </c>
      <c r="J944" t="s">
        <v>74</v>
      </c>
      <c r="K944" t="s">
        <v>110</v>
      </c>
      <c r="L944" t="s">
        <v>121</v>
      </c>
      <c r="M944" t="s">
        <v>123</v>
      </c>
      <c r="N944" t="s">
        <v>28</v>
      </c>
      <c r="O944">
        <v>0</v>
      </c>
      <c r="P944">
        <v>27743</v>
      </c>
      <c r="Q944">
        <f t="shared" si="16"/>
        <v>2.7743E-2</v>
      </c>
      <c r="R944">
        <v>43252</v>
      </c>
      <c r="S944" t="s">
        <v>122</v>
      </c>
    </row>
    <row r="945" spans="1:19">
      <c r="A945">
        <v>60000310</v>
      </c>
      <c r="B945">
        <v>28</v>
      </c>
      <c r="C945" t="s">
        <v>33</v>
      </c>
      <c r="D945" t="s">
        <v>40</v>
      </c>
      <c r="E945" t="s">
        <v>56</v>
      </c>
      <c r="F945" t="s">
        <v>21</v>
      </c>
      <c r="G945" s="23">
        <v>0.26</v>
      </c>
      <c r="H945" t="s">
        <v>53</v>
      </c>
      <c r="I945" t="s">
        <v>76</v>
      </c>
      <c r="J945" t="s">
        <v>91</v>
      </c>
      <c r="K945" t="s">
        <v>82</v>
      </c>
      <c r="L945" t="s">
        <v>26</v>
      </c>
      <c r="M945" t="s">
        <v>123</v>
      </c>
      <c r="N945" t="s">
        <v>28</v>
      </c>
      <c r="O945">
        <v>7</v>
      </c>
      <c r="P945">
        <v>33018</v>
      </c>
      <c r="Q945">
        <f t="shared" si="16"/>
        <v>3.3017999999999999E-2</v>
      </c>
      <c r="R945">
        <v>43252</v>
      </c>
      <c r="S945" t="s">
        <v>122</v>
      </c>
    </row>
    <row r="946" spans="1:19">
      <c r="A946">
        <v>60000311</v>
      </c>
      <c r="B946">
        <v>20</v>
      </c>
      <c r="C946" t="s">
        <v>33</v>
      </c>
      <c r="D946" t="s">
        <v>19</v>
      </c>
      <c r="E946" t="s">
        <v>41</v>
      </c>
      <c r="F946" t="s">
        <v>21</v>
      </c>
      <c r="G946" s="23">
        <v>0.36</v>
      </c>
      <c r="H946" t="s">
        <v>42</v>
      </c>
      <c r="I946" t="s">
        <v>62</v>
      </c>
      <c r="J946" t="s">
        <v>78</v>
      </c>
      <c r="K946" t="s">
        <v>100</v>
      </c>
      <c r="L946" t="s">
        <v>121</v>
      </c>
      <c r="M946" t="s">
        <v>123</v>
      </c>
      <c r="N946" t="s">
        <v>28</v>
      </c>
      <c r="O946">
        <v>4</v>
      </c>
      <c r="P946">
        <v>81977</v>
      </c>
      <c r="Q946">
        <f t="shared" si="16"/>
        <v>8.1976999999999994E-2</v>
      </c>
      <c r="R946">
        <v>43252</v>
      </c>
      <c r="S946" t="s">
        <v>122</v>
      </c>
    </row>
    <row r="947" spans="1:19">
      <c r="A947">
        <v>60000312</v>
      </c>
      <c r="B947">
        <v>21</v>
      </c>
      <c r="C947" t="s">
        <v>18</v>
      </c>
      <c r="D947" t="s">
        <v>19</v>
      </c>
      <c r="E947" t="s">
        <v>48</v>
      </c>
      <c r="F947" t="s">
        <v>21</v>
      </c>
      <c r="G947" s="23">
        <v>0.17</v>
      </c>
      <c r="H947" t="s">
        <v>22</v>
      </c>
      <c r="I947" t="s">
        <v>80</v>
      </c>
      <c r="J947" t="s">
        <v>88</v>
      </c>
      <c r="K947" t="s">
        <v>108</v>
      </c>
      <c r="L947" t="s">
        <v>121</v>
      </c>
      <c r="M947" t="s">
        <v>123</v>
      </c>
      <c r="N947" t="s">
        <v>28</v>
      </c>
      <c r="O947">
        <v>3</v>
      </c>
      <c r="P947">
        <v>40365</v>
      </c>
      <c r="Q947">
        <f t="shared" si="16"/>
        <v>4.0364999999999998E-2</v>
      </c>
      <c r="R947">
        <v>43252</v>
      </c>
      <c r="S947" t="s">
        <v>122</v>
      </c>
    </row>
    <row r="948" spans="1:19">
      <c r="A948">
        <v>60000313</v>
      </c>
      <c r="B948">
        <v>54</v>
      </c>
      <c r="C948" t="s">
        <v>33</v>
      </c>
      <c r="D948" t="s">
        <v>19</v>
      </c>
      <c r="E948" t="s">
        <v>44</v>
      </c>
      <c r="F948" t="s">
        <v>21</v>
      </c>
      <c r="G948" s="23">
        <v>0.35</v>
      </c>
      <c r="H948" t="s">
        <v>42</v>
      </c>
      <c r="I948" t="s">
        <v>73</v>
      </c>
      <c r="J948" t="s">
        <v>61</v>
      </c>
      <c r="K948" t="s">
        <v>115</v>
      </c>
      <c r="L948" t="s">
        <v>119</v>
      </c>
      <c r="M948" t="s">
        <v>123</v>
      </c>
      <c r="N948" t="s">
        <v>51</v>
      </c>
      <c r="O948">
        <v>0</v>
      </c>
      <c r="P948">
        <v>24396</v>
      </c>
      <c r="Q948">
        <f t="shared" si="16"/>
        <v>2.4396000000000001E-2</v>
      </c>
      <c r="R948">
        <v>43252</v>
      </c>
      <c r="S948" t="s">
        <v>122</v>
      </c>
    </row>
    <row r="949" spans="1:19">
      <c r="A949">
        <v>60000314</v>
      </c>
      <c r="B949">
        <v>36</v>
      </c>
      <c r="C949" t="s">
        <v>18</v>
      </c>
      <c r="D949" t="s">
        <v>40</v>
      </c>
      <c r="E949" t="s">
        <v>34</v>
      </c>
      <c r="F949" t="s">
        <v>21</v>
      </c>
      <c r="G949" s="23">
        <v>0.34</v>
      </c>
      <c r="H949" t="s">
        <v>42</v>
      </c>
      <c r="I949" t="s">
        <v>30</v>
      </c>
      <c r="J949" t="s">
        <v>91</v>
      </c>
      <c r="K949" t="s">
        <v>96</v>
      </c>
      <c r="L949" t="s">
        <v>119</v>
      </c>
      <c r="M949" t="s">
        <v>123</v>
      </c>
      <c r="N949" t="s">
        <v>28</v>
      </c>
      <c r="O949">
        <v>0</v>
      </c>
      <c r="P949">
        <v>60089</v>
      </c>
      <c r="Q949">
        <f t="shared" si="16"/>
        <v>6.0088999999999997E-2</v>
      </c>
      <c r="R949">
        <v>43252</v>
      </c>
      <c r="S949" t="s">
        <v>122</v>
      </c>
    </row>
    <row r="950" spans="1:19">
      <c r="A950">
        <v>60000315</v>
      </c>
      <c r="B950">
        <v>65</v>
      </c>
      <c r="C950" t="s">
        <v>33</v>
      </c>
      <c r="D950" t="s">
        <v>40</v>
      </c>
      <c r="E950" t="s">
        <v>34</v>
      </c>
      <c r="F950" t="s">
        <v>21</v>
      </c>
      <c r="G950" s="23">
        <v>0.37</v>
      </c>
      <c r="H950" t="s">
        <v>42</v>
      </c>
      <c r="I950" t="s">
        <v>68</v>
      </c>
      <c r="J950" t="s">
        <v>46</v>
      </c>
      <c r="K950" t="s">
        <v>50</v>
      </c>
      <c r="L950" t="s">
        <v>119</v>
      </c>
      <c r="M950" t="s">
        <v>123</v>
      </c>
      <c r="N950" t="s">
        <v>51</v>
      </c>
      <c r="O950">
        <v>0</v>
      </c>
      <c r="P950">
        <v>80153</v>
      </c>
      <c r="Q950">
        <f t="shared" si="16"/>
        <v>8.0153000000000002E-2</v>
      </c>
      <c r="R950">
        <v>43252</v>
      </c>
      <c r="S950" t="s">
        <v>122</v>
      </c>
    </row>
    <row r="951" spans="1:19">
      <c r="A951">
        <v>60000316</v>
      </c>
      <c r="B951">
        <v>53</v>
      </c>
      <c r="C951" t="s">
        <v>33</v>
      </c>
      <c r="D951" t="s">
        <v>40</v>
      </c>
      <c r="E951" t="s">
        <v>67</v>
      </c>
      <c r="F951" t="s">
        <v>21</v>
      </c>
      <c r="G951" s="23">
        <v>0.17</v>
      </c>
      <c r="H951" t="s">
        <v>22</v>
      </c>
      <c r="I951" t="s">
        <v>65</v>
      </c>
      <c r="J951" t="s">
        <v>61</v>
      </c>
      <c r="K951" t="s">
        <v>104</v>
      </c>
      <c r="L951" t="s">
        <v>26</v>
      </c>
      <c r="M951" t="s">
        <v>123</v>
      </c>
      <c r="N951" t="s">
        <v>51</v>
      </c>
      <c r="O951">
        <v>0</v>
      </c>
      <c r="P951">
        <v>30014</v>
      </c>
      <c r="Q951">
        <f t="shared" si="16"/>
        <v>3.0013999999999999E-2</v>
      </c>
      <c r="R951">
        <v>43252</v>
      </c>
      <c r="S951" t="s">
        <v>122</v>
      </c>
    </row>
    <row r="952" spans="1:19">
      <c r="A952">
        <v>60000317</v>
      </c>
      <c r="B952">
        <v>30</v>
      </c>
      <c r="C952" t="s">
        <v>33</v>
      </c>
      <c r="D952" t="s">
        <v>19</v>
      </c>
      <c r="E952" t="s">
        <v>85</v>
      </c>
      <c r="F952" t="s">
        <v>21</v>
      </c>
      <c r="G952" s="23">
        <v>0.3</v>
      </c>
      <c r="H952" t="s">
        <v>53</v>
      </c>
      <c r="I952" t="s">
        <v>45</v>
      </c>
      <c r="J952" t="s">
        <v>58</v>
      </c>
      <c r="K952" t="s">
        <v>118</v>
      </c>
      <c r="L952" t="s">
        <v>26</v>
      </c>
      <c r="M952" t="s">
        <v>123</v>
      </c>
      <c r="N952" t="s">
        <v>28</v>
      </c>
      <c r="O952">
        <v>3</v>
      </c>
      <c r="P952">
        <v>59887</v>
      </c>
      <c r="Q952">
        <f t="shared" si="16"/>
        <v>5.9887000000000003E-2</v>
      </c>
      <c r="R952">
        <v>43252</v>
      </c>
      <c r="S952" t="s">
        <v>122</v>
      </c>
    </row>
    <row r="953" spans="1:19">
      <c r="A953">
        <v>60000318</v>
      </c>
      <c r="B953">
        <v>55</v>
      </c>
      <c r="C953" t="s">
        <v>33</v>
      </c>
      <c r="D953" t="s">
        <v>40</v>
      </c>
      <c r="E953" t="s">
        <v>85</v>
      </c>
      <c r="F953" t="s">
        <v>21</v>
      </c>
      <c r="G953" s="23">
        <v>0.19</v>
      </c>
      <c r="H953" t="s">
        <v>29</v>
      </c>
      <c r="I953" t="s">
        <v>45</v>
      </c>
      <c r="J953" t="s">
        <v>91</v>
      </c>
      <c r="K953" t="s">
        <v>92</v>
      </c>
      <c r="L953" t="s">
        <v>121</v>
      </c>
      <c r="M953" t="s">
        <v>123</v>
      </c>
      <c r="N953" t="s">
        <v>28</v>
      </c>
      <c r="O953">
        <v>0</v>
      </c>
      <c r="P953">
        <v>54530</v>
      </c>
      <c r="Q953">
        <f t="shared" si="16"/>
        <v>5.4530000000000002E-2</v>
      </c>
      <c r="R953">
        <v>43252</v>
      </c>
      <c r="S953" t="s">
        <v>122</v>
      </c>
    </row>
    <row r="954" spans="1:19">
      <c r="A954">
        <v>60000319</v>
      </c>
      <c r="B954">
        <v>22</v>
      </c>
      <c r="C954" t="s">
        <v>18</v>
      </c>
      <c r="D954" t="s">
        <v>19</v>
      </c>
      <c r="E954" t="s">
        <v>48</v>
      </c>
      <c r="F954" t="s">
        <v>21</v>
      </c>
      <c r="G954" s="23">
        <v>0.34</v>
      </c>
      <c r="H954" t="s">
        <v>42</v>
      </c>
      <c r="I954" t="s">
        <v>73</v>
      </c>
      <c r="J954" t="s">
        <v>74</v>
      </c>
      <c r="K954" t="s">
        <v>95</v>
      </c>
      <c r="L954" t="s">
        <v>119</v>
      </c>
      <c r="M954" t="s">
        <v>123</v>
      </c>
      <c r="N954" t="s">
        <v>51</v>
      </c>
      <c r="O954">
        <v>0</v>
      </c>
      <c r="P954">
        <v>69493</v>
      </c>
      <c r="Q954">
        <f t="shared" si="16"/>
        <v>6.9492999999999999E-2</v>
      </c>
      <c r="R954">
        <v>43252</v>
      </c>
      <c r="S954" t="s">
        <v>122</v>
      </c>
    </row>
    <row r="955" spans="1:19">
      <c r="A955">
        <v>60000320</v>
      </c>
      <c r="B955">
        <v>48</v>
      </c>
      <c r="C955" t="s">
        <v>18</v>
      </c>
      <c r="D955" t="s">
        <v>19</v>
      </c>
      <c r="E955" t="s">
        <v>72</v>
      </c>
      <c r="F955" t="s">
        <v>21</v>
      </c>
      <c r="G955" s="23">
        <v>0.25</v>
      </c>
      <c r="H955" t="s">
        <v>53</v>
      </c>
      <c r="I955" t="s">
        <v>60</v>
      </c>
      <c r="J955" t="s">
        <v>74</v>
      </c>
      <c r="K955" t="s">
        <v>100</v>
      </c>
      <c r="L955" t="s">
        <v>119</v>
      </c>
      <c r="M955" t="s">
        <v>123</v>
      </c>
      <c r="N955" t="s">
        <v>51</v>
      </c>
      <c r="O955">
        <v>0</v>
      </c>
      <c r="P955">
        <v>59545</v>
      </c>
      <c r="Q955">
        <f t="shared" si="16"/>
        <v>5.9545000000000001E-2</v>
      </c>
      <c r="R955">
        <v>43252</v>
      </c>
      <c r="S955" t="s">
        <v>122</v>
      </c>
    </row>
    <row r="956" spans="1:19">
      <c r="A956">
        <v>60000321</v>
      </c>
      <c r="B956">
        <v>53</v>
      </c>
      <c r="C956" t="s">
        <v>18</v>
      </c>
      <c r="D956" t="s">
        <v>19</v>
      </c>
      <c r="E956" t="s">
        <v>52</v>
      </c>
      <c r="F956" t="s">
        <v>21</v>
      </c>
      <c r="G956" s="23">
        <v>0.23</v>
      </c>
      <c r="H956" t="s">
        <v>29</v>
      </c>
      <c r="I956" t="s">
        <v>73</v>
      </c>
      <c r="J956" t="s">
        <v>69</v>
      </c>
      <c r="K956" t="s">
        <v>109</v>
      </c>
      <c r="L956" t="s">
        <v>119</v>
      </c>
      <c r="M956" t="s">
        <v>123</v>
      </c>
      <c r="N956" t="s">
        <v>51</v>
      </c>
      <c r="O956">
        <v>0</v>
      </c>
      <c r="P956">
        <v>44617</v>
      </c>
      <c r="Q956">
        <f t="shared" si="16"/>
        <v>4.4616999999999997E-2</v>
      </c>
      <c r="R956">
        <v>43252</v>
      </c>
      <c r="S956" t="s">
        <v>122</v>
      </c>
    </row>
    <row r="957" spans="1:19">
      <c r="A957">
        <v>60000322</v>
      </c>
      <c r="B957">
        <v>41</v>
      </c>
      <c r="C957" t="s">
        <v>33</v>
      </c>
      <c r="D957" t="s">
        <v>19</v>
      </c>
      <c r="E957" t="s">
        <v>44</v>
      </c>
      <c r="F957" t="s">
        <v>21</v>
      </c>
      <c r="G957" s="23">
        <v>0.16</v>
      </c>
      <c r="H957" t="s">
        <v>22</v>
      </c>
      <c r="I957" t="s">
        <v>76</v>
      </c>
      <c r="J957" t="s">
        <v>58</v>
      </c>
      <c r="K957" t="s">
        <v>95</v>
      </c>
      <c r="L957" t="s">
        <v>119</v>
      </c>
      <c r="M957" t="s">
        <v>123</v>
      </c>
      <c r="N957" t="s">
        <v>51</v>
      </c>
      <c r="O957">
        <v>4</v>
      </c>
      <c r="P957">
        <v>73689</v>
      </c>
      <c r="Q957">
        <f t="shared" si="16"/>
        <v>7.3689000000000004E-2</v>
      </c>
      <c r="R957">
        <v>43252</v>
      </c>
      <c r="S957" t="s">
        <v>122</v>
      </c>
    </row>
    <row r="958" spans="1:19">
      <c r="A958">
        <v>60000323</v>
      </c>
      <c r="B958">
        <v>59</v>
      </c>
      <c r="C958" t="s">
        <v>18</v>
      </c>
      <c r="D958" t="s">
        <v>40</v>
      </c>
      <c r="E958" t="s">
        <v>44</v>
      </c>
      <c r="F958" t="s">
        <v>21</v>
      </c>
      <c r="G958" s="23">
        <v>0.16</v>
      </c>
      <c r="H958" t="s">
        <v>22</v>
      </c>
      <c r="I958" t="s">
        <v>57</v>
      </c>
      <c r="J958" t="s">
        <v>38</v>
      </c>
      <c r="K958" t="s">
        <v>63</v>
      </c>
      <c r="L958" t="s">
        <v>26</v>
      </c>
      <c r="M958" t="s">
        <v>123</v>
      </c>
      <c r="N958" t="s">
        <v>28</v>
      </c>
      <c r="O958">
        <v>6</v>
      </c>
      <c r="P958">
        <v>40223</v>
      </c>
      <c r="Q958">
        <f t="shared" si="16"/>
        <v>4.0223000000000002E-2</v>
      </c>
      <c r="R958">
        <v>43252</v>
      </c>
      <c r="S958" t="s">
        <v>122</v>
      </c>
    </row>
    <row r="959" spans="1:19">
      <c r="A959">
        <v>60000324</v>
      </c>
      <c r="B959">
        <v>46</v>
      </c>
      <c r="C959" t="s">
        <v>33</v>
      </c>
      <c r="D959" t="s">
        <v>19</v>
      </c>
      <c r="E959" t="s">
        <v>34</v>
      </c>
      <c r="F959" t="s">
        <v>21</v>
      </c>
      <c r="G959" s="23">
        <v>0.18</v>
      </c>
      <c r="H959" t="s">
        <v>22</v>
      </c>
      <c r="I959" t="s">
        <v>37</v>
      </c>
      <c r="J959" t="s">
        <v>54</v>
      </c>
      <c r="K959" t="s">
        <v>43</v>
      </c>
      <c r="L959" t="s">
        <v>26</v>
      </c>
      <c r="M959" t="s">
        <v>123</v>
      </c>
      <c r="N959" t="s">
        <v>28</v>
      </c>
      <c r="O959">
        <v>0</v>
      </c>
      <c r="P959">
        <v>57482</v>
      </c>
      <c r="Q959">
        <f t="shared" si="16"/>
        <v>5.7481999999999998E-2</v>
      </c>
      <c r="R959">
        <v>43252</v>
      </c>
      <c r="S959" t="s">
        <v>122</v>
      </c>
    </row>
    <row r="960" spans="1:19">
      <c r="A960">
        <v>60000325</v>
      </c>
      <c r="B960">
        <v>30</v>
      </c>
      <c r="C960" t="s">
        <v>33</v>
      </c>
      <c r="D960" t="s">
        <v>19</v>
      </c>
      <c r="E960" t="s">
        <v>41</v>
      </c>
      <c r="F960" t="s">
        <v>21</v>
      </c>
      <c r="G960" s="23">
        <v>0.27</v>
      </c>
      <c r="H960" t="s">
        <v>53</v>
      </c>
      <c r="I960" t="s">
        <v>37</v>
      </c>
      <c r="J960" t="s">
        <v>54</v>
      </c>
      <c r="K960" t="s">
        <v>50</v>
      </c>
      <c r="L960" t="s">
        <v>121</v>
      </c>
      <c r="M960" t="s">
        <v>123</v>
      </c>
      <c r="N960" t="s">
        <v>28</v>
      </c>
      <c r="O960">
        <v>7</v>
      </c>
      <c r="P960">
        <v>64281</v>
      </c>
      <c r="Q960">
        <f t="shared" si="16"/>
        <v>6.4281000000000005E-2</v>
      </c>
      <c r="R960">
        <v>43252</v>
      </c>
      <c r="S960" t="s">
        <v>122</v>
      </c>
    </row>
    <row r="961" spans="1:19">
      <c r="A961">
        <v>60000326</v>
      </c>
      <c r="B961">
        <v>62</v>
      </c>
      <c r="C961" t="s">
        <v>33</v>
      </c>
      <c r="D961" t="s">
        <v>19</v>
      </c>
      <c r="E961" t="s">
        <v>41</v>
      </c>
      <c r="F961" t="s">
        <v>21</v>
      </c>
      <c r="G961" s="23">
        <v>0.12</v>
      </c>
      <c r="H961" t="s">
        <v>22</v>
      </c>
      <c r="I961" t="s">
        <v>86</v>
      </c>
      <c r="J961" t="s">
        <v>46</v>
      </c>
      <c r="K961" t="s">
        <v>43</v>
      </c>
      <c r="L961" t="s">
        <v>26</v>
      </c>
      <c r="M961" t="s">
        <v>123</v>
      </c>
      <c r="N961" t="s">
        <v>28</v>
      </c>
      <c r="O961">
        <v>2</v>
      </c>
      <c r="P961">
        <v>71618</v>
      </c>
      <c r="Q961">
        <f t="shared" si="16"/>
        <v>7.1618000000000001E-2</v>
      </c>
      <c r="R961">
        <v>43252</v>
      </c>
      <c r="S961" t="s">
        <v>122</v>
      </c>
    </row>
    <row r="962" spans="1:19">
      <c r="A962">
        <v>60000327</v>
      </c>
      <c r="B962">
        <v>27</v>
      </c>
      <c r="C962" t="s">
        <v>33</v>
      </c>
      <c r="D962" t="s">
        <v>19</v>
      </c>
      <c r="E962" t="s">
        <v>64</v>
      </c>
      <c r="F962" t="s">
        <v>21</v>
      </c>
      <c r="G962" s="23">
        <v>0.15</v>
      </c>
      <c r="H962" t="s">
        <v>22</v>
      </c>
      <c r="I962" t="s">
        <v>60</v>
      </c>
      <c r="J962" t="s">
        <v>58</v>
      </c>
      <c r="K962" t="s">
        <v>118</v>
      </c>
      <c r="L962" t="s">
        <v>121</v>
      </c>
      <c r="M962" t="s">
        <v>123</v>
      </c>
      <c r="N962" t="s">
        <v>51</v>
      </c>
      <c r="O962">
        <v>0</v>
      </c>
      <c r="P962">
        <v>26318</v>
      </c>
      <c r="Q962">
        <f t="shared" si="16"/>
        <v>2.6318000000000001E-2</v>
      </c>
      <c r="R962">
        <v>43252</v>
      </c>
      <c r="S962" t="s">
        <v>122</v>
      </c>
    </row>
    <row r="963" spans="1:19">
      <c r="A963">
        <v>60000328</v>
      </c>
      <c r="B963">
        <v>59</v>
      </c>
      <c r="C963" t="s">
        <v>18</v>
      </c>
      <c r="D963" t="s">
        <v>40</v>
      </c>
      <c r="E963" t="s">
        <v>41</v>
      </c>
      <c r="F963" t="s">
        <v>21</v>
      </c>
      <c r="G963" s="23">
        <v>0.1</v>
      </c>
      <c r="H963" t="s">
        <v>36</v>
      </c>
      <c r="I963" t="s">
        <v>23</v>
      </c>
      <c r="J963" t="s">
        <v>58</v>
      </c>
      <c r="K963" t="s">
        <v>111</v>
      </c>
      <c r="L963" t="s">
        <v>26</v>
      </c>
      <c r="M963" t="s">
        <v>123</v>
      </c>
      <c r="N963" t="s">
        <v>28</v>
      </c>
      <c r="O963">
        <v>4</v>
      </c>
      <c r="P963">
        <v>46356</v>
      </c>
      <c r="Q963">
        <f t="shared" si="16"/>
        <v>4.6356000000000001E-2</v>
      </c>
      <c r="R963">
        <v>43252</v>
      </c>
      <c r="S963" t="s">
        <v>122</v>
      </c>
    </row>
    <row r="964" spans="1:19">
      <c r="A964">
        <v>60000329</v>
      </c>
      <c r="B964">
        <v>29</v>
      </c>
      <c r="C964" t="s">
        <v>33</v>
      </c>
      <c r="D964" t="s">
        <v>40</v>
      </c>
      <c r="E964" t="s">
        <v>56</v>
      </c>
      <c r="F964" t="s">
        <v>21</v>
      </c>
      <c r="G964" s="23">
        <v>0.28000000000000003</v>
      </c>
      <c r="H964" t="s">
        <v>53</v>
      </c>
      <c r="I964" t="s">
        <v>65</v>
      </c>
      <c r="J964" t="s">
        <v>54</v>
      </c>
      <c r="K964" t="s">
        <v>111</v>
      </c>
      <c r="L964" t="s">
        <v>26</v>
      </c>
      <c r="M964" t="s">
        <v>123</v>
      </c>
      <c r="N964" t="s">
        <v>28</v>
      </c>
      <c r="O964">
        <v>0</v>
      </c>
      <c r="P964">
        <v>81647</v>
      </c>
      <c r="Q964">
        <f t="shared" si="16"/>
        <v>8.1646999999999997E-2</v>
      </c>
      <c r="R964">
        <v>43252</v>
      </c>
      <c r="S964" t="s">
        <v>122</v>
      </c>
    </row>
    <row r="965" spans="1:19">
      <c r="A965">
        <v>60000330</v>
      </c>
      <c r="B965">
        <v>48</v>
      </c>
      <c r="C965" t="s">
        <v>33</v>
      </c>
      <c r="D965" t="s">
        <v>19</v>
      </c>
      <c r="E965" t="s">
        <v>64</v>
      </c>
      <c r="F965" t="s">
        <v>21</v>
      </c>
      <c r="G965" s="23">
        <v>0.14000000000000001</v>
      </c>
      <c r="H965" t="s">
        <v>22</v>
      </c>
      <c r="I965" t="s">
        <v>86</v>
      </c>
      <c r="J965" t="s">
        <v>88</v>
      </c>
      <c r="K965" t="s">
        <v>98</v>
      </c>
      <c r="L965" t="s">
        <v>119</v>
      </c>
      <c r="M965" t="s">
        <v>123</v>
      </c>
      <c r="N965" t="s">
        <v>28</v>
      </c>
      <c r="O965">
        <v>3</v>
      </c>
      <c r="P965">
        <v>54648</v>
      </c>
      <c r="Q965">
        <f t="shared" si="16"/>
        <v>5.4648000000000002E-2</v>
      </c>
      <c r="R965">
        <v>43252</v>
      </c>
      <c r="S965" t="s">
        <v>122</v>
      </c>
    </row>
    <row r="966" spans="1:19">
      <c r="A966">
        <v>60000331</v>
      </c>
      <c r="B966">
        <v>21</v>
      </c>
      <c r="C966" t="s">
        <v>33</v>
      </c>
      <c r="D966" t="s">
        <v>19</v>
      </c>
      <c r="E966" t="s">
        <v>75</v>
      </c>
      <c r="F966" t="s">
        <v>21</v>
      </c>
      <c r="G966" s="23">
        <v>0.24</v>
      </c>
      <c r="H966" t="s">
        <v>29</v>
      </c>
      <c r="I966" t="s">
        <v>68</v>
      </c>
      <c r="J966" t="s">
        <v>91</v>
      </c>
      <c r="K966" t="s">
        <v>62</v>
      </c>
      <c r="L966" t="s">
        <v>26</v>
      </c>
      <c r="M966" t="s">
        <v>123</v>
      </c>
      <c r="N966" t="s">
        <v>51</v>
      </c>
      <c r="O966">
        <v>7</v>
      </c>
      <c r="P966">
        <v>81653</v>
      </c>
      <c r="Q966">
        <f t="shared" si="16"/>
        <v>8.1653000000000003E-2</v>
      </c>
      <c r="R966">
        <v>43252</v>
      </c>
      <c r="S966" t="s">
        <v>122</v>
      </c>
    </row>
    <row r="967" spans="1:19">
      <c r="A967">
        <v>60000332</v>
      </c>
      <c r="B967">
        <v>36</v>
      </c>
      <c r="C967" t="s">
        <v>33</v>
      </c>
      <c r="D967" t="s">
        <v>19</v>
      </c>
      <c r="E967" t="s">
        <v>72</v>
      </c>
      <c r="F967" t="s">
        <v>21</v>
      </c>
      <c r="G967" s="23">
        <v>0.38</v>
      </c>
      <c r="H967" t="s">
        <v>42</v>
      </c>
      <c r="I967" t="s">
        <v>62</v>
      </c>
      <c r="J967" t="s">
        <v>58</v>
      </c>
      <c r="K967" t="s">
        <v>93</v>
      </c>
      <c r="L967" t="s">
        <v>119</v>
      </c>
      <c r="M967" t="s">
        <v>123</v>
      </c>
      <c r="N967" t="s">
        <v>51</v>
      </c>
      <c r="O967">
        <v>7</v>
      </c>
      <c r="P967">
        <v>77875</v>
      </c>
      <c r="Q967">
        <f t="shared" si="16"/>
        <v>7.7875E-2</v>
      </c>
      <c r="R967">
        <v>43252</v>
      </c>
      <c r="S967" t="s">
        <v>122</v>
      </c>
    </row>
    <row r="968" spans="1:19">
      <c r="A968">
        <v>60000333</v>
      </c>
      <c r="B968">
        <v>25</v>
      </c>
      <c r="C968" t="s">
        <v>18</v>
      </c>
      <c r="D968" t="s">
        <v>19</v>
      </c>
      <c r="E968" t="s">
        <v>75</v>
      </c>
      <c r="F968" t="s">
        <v>21</v>
      </c>
      <c r="G968" s="23">
        <v>0.11</v>
      </c>
      <c r="H968" t="s">
        <v>36</v>
      </c>
      <c r="I968" t="s">
        <v>62</v>
      </c>
      <c r="J968" t="s">
        <v>54</v>
      </c>
      <c r="K968" t="s">
        <v>83</v>
      </c>
      <c r="L968" t="s">
        <v>121</v>
      </c>
      <c r="M968" t="s">
        <v>123</v>
      </c>
      <c r="N968" t="s">
        <v>28</v>
      </c>
      <c r="O968">
        <v>0</v>
      </c>
      <c r="P968">
        <v>45273</v>
      </c>
      <c r="Q968">
        <f t="shared" si="16"/>
        <v>4.5273000000000001E-2</v>
      </c>
      <c r="R968">
        <v>43252</v>
      </c>
      <c r="S968" t="s">
        <v>122</v>
      </c>
    </row>
    <row r="969" spans="1:19">
      <c r="A969">
        <v>60000334</v>
      </c>
      <c r="B969">
        <v>21</v>
      </c>
      <c r="C969" t="s">
        <v>18</v>
      </c>
      <c r="D969" t="s">
        <v>40</v>
      </c>
      <c r="E969" t="s">
        <v>52</v>
      </c>
      <c r="F969" t="s">
        <v>21</v>
      </c>
      <c r="G969" s="23">
        <v>0.25</v>
      </c>
      <c r="H969" t="s">
        <v>53</v>
      </c>
      <c r="I969" t="s">
        <v>60</v>
      </c>
      <c r="J969" t="s">
        <v>78</v>
      </c>
      <c r="K969" t="s">
        <v>60</v>
      </c>
      <c r="L969" t="s">
        <v>119</v>
      </c>
      <c r="M969" t="s">
        <v>123</v>
      </c>
      <c r="N969" t="s">
        <v>28</v>
      </c>
      <c r="O969">
        <v>3</v>
      </c>
      <c r="P969">
        <v>61595</v>
      </c>
      <c r="Q969">
        <f t="shared" si="16"/>
        <v>6.1594999999999997E-2</v>
      </c>
      <c r="R969">
        <v>43252</v>
      </c>
      <c r="S969" t="s">
        <v>122</v>
      </c>
    </row>
    <row r="970" spans="1:19">
      <c r="A970">
        <v>60000335</v>
      </c>
      <c r="B970">
        <v>58</v>
      </c>
      <c r="C970" t="s">
        <v>18</v>
      </c>
      <c r="D970" t="s">
        <v>19</v>
      </c>
      <c r="E970" t="s">
        <v>34</v>
      </c>
      <c r="F970" t="s">
        <v>21</v>
      </c>
      <c r="G970" s="23">
        <v>0.14000000000000001</v>
      </c>
      <c r="H970" t="s">
        <v>22</v>
      </c>
      <c r="I970" t="s">
        <v>70</v>
      </c>
      <c r="J970" t="s">
        <v>38</v>
      </c>
      <c r="K970" t="s">
        <v>113</v>
      </c>
      <c r="L970" t="s">
        <v>119</v>
      </c>
      <c r="M970" t="s">
        <v>123</v>
      </c>
      <c r="N970" t="s">
        <v>51</v>
      </c>
      <c r="O970">
        <v>0</v>
      </c>
      <c r="P970">
        <v>63891</v>
      </c>
      <c r="Q970">
        <f t="shared" si="16"/>
        <v>6.3891000000000003E-2</v>
      </c>
      <c r="R970">
        <v>43252</v>
      </c>
      <c r="S970" t="s">
        <v>122</v>
      </c>
    </row>
    <row r="971" spans="1:19">
      <c r="A971">
        <v>60000336</v>
      </c>
      <c r="B971">
        <v>54</v>
      </c>
      <c r="C971" t="s">
        <v>33</v>
      </c>
      <c r="D971" t="s">
        <v>40</v>
      </c>
      <c r="E971" t="s">
        <v>34</v>
      </c>
      <c r="F971" t="s">
        <v>21</v>
      </c>
      <c r="G971" s="23">
        <v>0.35</v>
      </c>
      <c r="H971" t="s">
        <v>42</v>
      </c>
      <c r="I971" t="s">
        <v>65</v>
      </c>
      <c r="J971" t="s">
        <v>61</v>
      </c>
      <c r="K971" t="s">
        <v>114</v>
      </c>
      <c r="L971" t="s">
        <v>121</v>
      </c>
      <c r="M971" t="s">
        <v>123</v>
      </c>
      <c r="N971" t="s">
        <v>51</v>
      </c>
      <c r="O971">
        <v>3</v>
      </c>
      <c r="P971">
        <v>82738</v>
      </c>
      <c r="Q971">
        <f t="shared" si="16"/>
        <v>8.2738000000000006E-2</v>
      </c>
      <c r="R971">
        <v>43252</v>
      </c>
      <c r="S971" t="s">
        <v>122</v>
      </c>
    </row>
    <row r="972" spans="1:19">
      <c r="A972">
        <v>60000337</v>
      </c>
      <c r="B972">
        <v>22</v>
      </c>
      <c r="C972" t="s">
        <v>18</v>
      </c>
      <c r="D972" t="s">
        <v>40</v>
      </c>
      <c r="E972" t="s">
        <v>64</v>
      </c>
      <c r="F972" t="s">
        <v>21</v>
      </c>
      <c r="G972" s="23">
        <v>0.2</v>
      </c>
      <c r="H972" t="s">
        <v>29</v>
      </c>
      <c r="I972" t="s">
        <v>37</v>
      </c>
      <c r="J972" t="s">
        <v>31</v>
      </c>
      <c r="K972" t="s">
        <v>101</v>
      </c>
      <c r="L972" t="s">
        <v>121</v>
      </c>
      <c r="M972" t="s">
        <v>123</v>
      </c>
      <c r="N972" t="s">
        <v>51</v>
      </c>
      <c r="O972">
        <v>0</v>
      </c>
      <c r="P972">
        <v>70406</v>
      </c>
      <c r="Q972">
        <f t="shared" si="16"/>
        <v>7.0405999999999996E-2</v>
      </c>
      <c r="R972">
        <v>43252</v>
      </c>
      <c r="S972" t="s">
        <v>122</v>
      </c>
    </row>
    <row r="973" spans="1:19">
      <c r="A973">
        <v>60000338</v>
      </c>
      <c r="B973">
        <v>43</v>
      </c>
      <c r="C973" t="s">
        <v>33</v>
      </c>
      <c r="D973" t="s">
        <v>40</v>
      </c>
      <c r="E973" t="s">
        <v>52</v>
      </c>
      <c r="F973" t="s">
        <v>21</v>
      </c>
      <c r="G973" s="23">
        <v>0.24</v>
      </c>
      <c r="H973" t="s">
        <v>29</v>
      </c>
      <c r="I973" t="s">
        <v>73</v>
      </c>
      <c r="J973" t="s">
        <v>78</v>
      </c>
      <c r="K973" t="s">
        <v>63</v>
      </c>
      <c r="L973" t="s">
        <v>26</v>
      </c>
      <c r="M973" t="s">
        <v>123</v>
      </c>
      <c r="N973" t="s">
        <v>28</v>
      </c>
      <c r="O973">
        <v>0</v>
      </c>
      <c r="P973">
        <v>32704</v>
      </c>
      <c r="Q973">
        <f t="shared" si="16"/>
        <v>3.2703999999999997E-2</v>
      </c>
      <c r="R973">
        <v>43252</v>
      </c>
      <c r="S973" t="s">
        <v>122</v>
      </c>
    </row>
    <row r="974" spans="1:19">
      <c r="A974">
        <v>60000339</v>
      </c>
      <c r="B974">
        <v>41</v>
      </c>
      <c r="C974" t="s">
        <v>18</v>
      </c>
      <c r="D974" t="s">
        <v>19</v>
      </c>
      <c r="E974" t="s">
        <v>67</v>
      </c>
      <c r="F974" t="s">
        <v>21</v>
      </c>
      <c r="G974" s="23">
        <v>0.18</v>
      </c>
      <c r="H974" t="s">
        <v>22</v>
      </c>
      <c r="I974" t="s">
        <v>76</v>
      </c>
      <c r="J974" t="s">
        <v>38</v>
      </c>
      <c r="K974" t="s">
        <v>90</v>
      </c>
      <c r="L974" t="s">
        <v>121</v>
      </c>
      <c r="M974" t="s">
        <v>123</v>
      </c>
      <c r="N974" t="s">
        <v>28</v>
      </c>
      <c r="O974">
        <v>5</v>
      </c>
      <c r="P974">
        <v>55853</v>
      </c>
      <c r="Q974">
        <f t="shared" si="16"/>
        <v>5.5853E-2</v>
      </c>
      <c r="R974">
        <v>43252</v>
      </c>
      <c r="S974" t="s">
        <v>122</v>
      </c>
    </row>
    <row r="975" spans="1:19">
      <c r="A975">
        <v>60000340</v>
      </c>
      <c r="B975">
        <v>30</v>
      </c>
      <c r="C975" t="s">
        <v>33</v>
      </c>
      <c r="D975" t="s">
        <v>19</v>
      </c>
      <c r="E975" t="s">
        <v>44</v>
      </c>
      <c r="F975" t="s">
        <v>21</v>
      </c>
      <c r="G975" s="23">
        <v>0.21</v>
      </c>
      <c r="H975" t="s">
        <v>29</v>
      </c>
      <c r="I975" t="s">
        <v>23</v>
      </c>
      <c r="J975" t="s">
        <v>61</v>
      </c>
      <c r="K975" t="s">
        <v>114</v>
      </c>
      <c r="L975" t="s">
        <v>121</v>
      </c>
      <c r="M975" t="s">
        <v>123</v>
      </c>
      <c r="N975" t="s">
        <v>28</v>
      </c>
      <c r="O975">
        <v>1</v>
      </c>
      <c r="P975">
        <v>68248</v>
      </c>
      <c r="Q975">
        <f t="shared" si="16"/>
        <v>6.8248000000000003E-2</v>
      </c>
      <c r="R975">
        <v>43252</v>
      </c>
      <c r="S975" t="s">
        <v>122</v>
      </c>
    </row>
    <row r="976" spans="1:19">
      <c r="A976">
        <v>60000341</v>
      </c>
      <c r="B976">
        <v>20</v>
      </c>
      <c r="C976" t="s">
        <v>18</v>
      </c>
      <c r="D976" t="s">
        <v>40</v>
      </c>
      <c r="E976" t="s">
        <v>72</v>
      </c>
      <c r="F976" t="s">
        <v>21</v>
      </c>
      <c r="G976" s="23">
        <v>0.21</v>
      </c>
      <c r="H976" t="s">
        <v>29</v>
      </c>
      <c r="I976" t="s">
        <v>70</v>
      </c>
      <c r="J976" t="s">
        <v>66</v>
      </c>
      <c r="K976" t="s">
        <v>83</v>
      </c>
      <c r="L976" t="s">
        <v>121</v>
      </c>
      <c r="M976" t="s">
        <v>123</v>
      </c>
      <c r="N976" t="s">
        <v>28</v>
      </c>
      <c r="O976">
        <v>7</v>
      </c>
      <c r="P976">
        <v>66416</v>
      </c>
      <c r="Q976">
        <f t="shared" si="16"/>
        <v>6.6416000000000003E-2</v>
      </c>
      <c r="R976">
        <v>43252</v>
      </c>
      <c r="S976" t="s">
        <v>122</v>
      </c>
    </row>
    <row r="977" spans="1:19">
      <c r="A977">
        <v>60000342</v>
      </c>
      <c r="B977">
        <v>35</v>
      </c>
      <c r="C977" t="s">
        <v>18</v>
      </c>
      <c r="D977" t="s">
        <v>19</v>
      </c>
      <c r="E977" t="s">
        <v>56</v>
      </c>
      <c r="F977" t="s">
        <v>21</v>
      </c>
      <c r="G977" s="23">
        <v>0.31</v>
      </c>
      <c r="H977" t="s">
        <v>53</v>
      </c>
      <c r="I977" t="s">
        <v>73</v>
      </c>
      <c r="J977" t="s">
        <v>24</v>
      </c>
      <c r="K977" t="s">
        <v>84</v>
      </c>
      <c r="L977" t="s">
        <v>119</v>
      </c>
      <c r="M977" t="s">
        <v>123</v>
      </c>
      <c r="N977" t="s">
        <v>51</v>
      </c>
      <c r="O977">
        <v>0</v>
      </c>
      <c r="P977">
        <v>30843</v>
      </c>
      <c r="Q977">
        <f t="shared" si="16"/>
        <v>3.0842999999999999E-2</v>
      </c>
      <c r="R977">
        <v>43252</v>
      </c>
      <c r="S977" t="s">
        <v>122</v>
      </c>
    </row>
    <row r="978" spans="1:19">
      <c r="A978">
        <v>60000343</v>
      </c>
      <c r="B978">
        <v>47</v>
      </c>
      <c r="C978" t="s">
        <v>18</v>
      </c>
      <c r="D978" t="s">
        <v>19</v>
      </c>
      <c r="E978" t="s">
        <v>34</v>
      </c>
      <c r="F978" t="s">
        <v>21</v>
      </c>
      <c r="G978" s="23">
        <v>0.33</v>
      </c>
      <c r="H978" t="s">
        <v>42</v>
      </c>
      <c r="I978" t="s">
        <v>23</v>
      </c>
      <c r="J978" t="s">
        <v>58</v>
      </c>
      <c r="K978" t="s">
        <v>105</v>
      </c>
      <c r="L978" t="s">
        <v>119</v>
      </c>
      <c r="M978" t="s">
        <v>123</v>
      </c>
      <c r="N978" t="s">
        <v>28</v>
      </c>
      <c r="O978">
        <v>1</v>
      </c>
      <c r="P978">
        <v>75103</v>
      </c>
      <c r="Q978">
        <f t="shared" si="16"/>
        <v>7.5103000000000003E-2</v>
      </c>
      <c r="R978">
        <v>43252</v>
      </c>
      <c r="S978" t="s">
        <v>122</v>
      </c>
    </row>
    <row r="979" spans="1:19">
      <c r="A979">
        <v>60000344</v>
      </c>
      <c r="B979">
        <v>56</v>
      </c>
      <c r="C979" t="s">
        <v>18</v>
      </c>
      <c r="D979" t="s">
        <v>40</v>
      </c>
      <c r="E979" t="s">
        <v>56</v>
      </c>
      <c r="F979" t="s">
        <v>21</v>
      </c>
      <c r="G979" s="23">
        <v>0.3</v>
      </c>
      <c r="H979" t="s">
        <v>53</v>
      </c>
      <c r="I979" t="s">
        <v>60</v>
      </c>
      <c r="J979" t="s">
        <v>24</v>
      </c>
      <c r="K979" t="s">
        <v>90</v>
      </c>
      <c r="L979" t="s">
        <v>119</v>
      </c>
      <c r="M979" t="s">
        <v>123</v>
      </c>
      <c r="N979" t="s">
        <v>28</v>
      </c>
      <c r="O979">
        <v>0</v>
      </c>
      <c r="P979">
        <v>25142</v>
      </c>
      <c r="Q979">
        <f t="shared" si="16"/>
        <v>2.5142000000000001E-2</v>
      </c>
      <c r="R979">
        <v>43252</v>
      </c>
      <c r="S979" t="s">
        <v>122</v>
      </c>
    </row>
    <row r="980" spans="1:19">
      <c r="A980">
        <v>60000345</v>
      </c>
      <c r="B980">
        <v>45</v>
      </c>
      <c r="C980" t="s">
        <v>33</v>
      </c>
      <c r="D980" t="s">
        <v>19</v>
      </c>
      <c r="E980" t="s">
        <v>64</v>
      </c>
      <c r="F980" t="s">
        <v>21</v>
      </c>
      <c r="G980" s="23">
        <v>0.25</v>
      </c>
      <c r="H980" t="s">
        <v>53</v>
      </c>
      <c r="I980" t="s">
        <v>83</v>
      </c>
      <c r="J980" t="s">
        <v>66</v>
      </c>
      <c r="K980" t="s">
        <v>60</v>
      </c>
      <c r="L980" t="s">
        <v>121</v>
      </c>
      <c r="M980" t="s">
        <v>123</v>
      </c>
      <c r="N980" t="s">
        <v>51</v>
      </c>
      <c r="O980">
        <v>0</v>
      </c>
      <c r="P980">
        <v>66513</v>
      </c>
      <c r="Q980">
        <f t="shared" si="16"/>
        <v>6.6513000000000003E-2</v>
      </c>
      <c r="R980">
        <v>43252</v>
      </c>
      <c r="S980" t="s">
        <v>122</v>
      </c>
    </row>
    <row r="981" spans="1:19">
      <c r="A981">
        <v>60000346</v>
      </c>
      <c r="B981">
        <v>61</v>
      </c>
      <c r="C981" t="s">
        <v>18</v>
      </c>
      <c r="D981" t="s">
        <v>40</v>
      </c>
      <c r="E981" t="s">
        <v>52</v>
      </c>
      <c r="F981" t="s">
        <v>21</v>
      </c>
      <c r="G981" s="23">
        <v>0.24</v>
      </c>
      <c r="H981" t="s">
        <v>29</v>
      </c>
      <c r="I981" t="s">
        <v>86</v>
      </c>
      <c r="J981" t="s">
        <v>58</v>
      </c>
      <c r="K981" t="s">
        <v>89</v>
      </c>
      <c r="L981" t="s">
        <v>119</v>
      </c>
      <c r="M981" t="s">
        <v>123</v>
      </c>
      <c r="N981" t="s">
        <v>51</v>
      </c>
      <c r="O981">
        <v>0</v>
      </c>
      <c r="P981">
        <v>27384</v>
      </c>
      <c r="Q981">
        <f t="shared" si="16"/>
        <v>2.7383999999999999E-2</v>
      </c>
      <c r="R981">
        <v>43252</v>
      </c>
      <c r="S981" t="s">
        <v>122</v>
      </c>
    </row>
    <row r="982" spans="1:19">
      <c r="A982">
        <v>60000347</v>
      </c>
      <c r="B982">
        <v>39</v>
      </c>
      <c r="C982" t="s">
        <v>18</v>
      </c>
      <c r="D982" t="s">
        <v>19</v>
      </c>
      <c r="E982" t="s">
        <v>72</v>
      </c>
      <c r="F982" t="s">
        <v>21</v>
      </c>
      <c r="G982" s="23">
        <v>0.23</v>
      </c>
      <c r="H982" t="s">
        <v>29</v>
      </c>
      <c r="I982" t="s">
        <v>68</v>
      </c>
      <c r="J982" t="s">
        <v>91</v>
      </c>
      <c r="K982" t="s">
        <v>93</v>
      </c>
      <c r="L982" t="s">
        <v>119</v>
      </c>
      <c r="M982" t="s">
        <v>123</v>
      </c>
      <c r="N982" t="s">
        <v>51</v>
      </c>
      <c r="O982">
        <v>6</v>
      </c>
      <c r="P982">
        <v>38490</v>
      </c>
      <c r="Q982">
        <f t="shared" si="16"/>
        <v>3.8490000000000003E-2</v>
      </c>
      <c r="R982">
        <v>43252</v>
      </c>
      <c r="S982" t="s">
        <v>122</v>
      </c>
    </row>
    <row r="983" spans="1:19">
      <c r="A983">
        <v>60000348</v>
      </c>
      <c r="B983">
        <v>35</v>
      </c>
      <c r="C983" t="s">
        <v>18</v>
      </c>
      <c r="D983" t="s">
        <v>19</v>
      </c>
      <c r="E983" t="s">
        <v>20</v>
      </c>
      <c r="F983" t="s">
        <v>21</v>
      </c>
      <c r="G983" s="23">
        <v>0.11</v>
      </c>
      <c r="H983" t="s">
        <v>36</v>
      </c>
      <c r="I983" t="s">
        <v>80</v>
      </c>
      <c r="J983" t="s">
        <v>78</v>
      </c>
      <c r="K983" t="s">
        <v>118</v>
      </c>
      <c r="L983" t="s">
        <v>121</v>
      </c>
      <c r="M983" t="s">
        <v>123</v>
      </c>
      <c r="N983" t="s">
        <v>28</v>
      </c>
      <c r="O983">
        <v>7</v>
      </c>
      <c r="P983">
        <v>82763</v>
      </c>
      <c r="Q983">
        <f t="shared" si="16"/>
        <v>8.2763000000000003E-2</v>
      </c>
      <c r="R983">
        <v>43252</v>
      </c>
      <c r="S983" t="s">
        <v>122</v>
      </c>
    </row>
    <row r="984" spans="1:19">
      <c r="A984">
        <v>60000349</v>
      </c>
      <c r="B984">
        <v>61</v>
      </c>
      <c r="C984" t="s">
        <v>18</v>
      </c>
      <c r="D984" t="s">
        <v>19</v>
      </c>
      <c r="E984" t="s">
        <v>52</v>
      </c>
      <c r="F984" t="s">
        <v>21</v>
      </c>
      <c r="G984" s="23">
        <v>0.36</v>
      </c>
      <c r="H984" t="s">
        <v>42</v>
      </c>
      <c r="I984" t="s">
        <v>45</v>
      </c>
      <c r="J984" t="s">
        <v>58</v>
      </c>
      <c r="K984" t="s">
        <v>106</v>
      </c>
      <c r="L984" t="s">
        <v>26</v>
      </c>
      <c r="M984" t="s">
        <v>123</v>
      </c>
      <c r="N984" t="s">
        <v>28</v>
      </c>
      <c r="O984">
        <v>3</v>
      </c>
      <c r="P984">
        <v>43345</v>
      </c>
      <c r="Q984">
        <f t="shared" si="16"/>
        <v>4.3345000000000002E-2</v>
      </c>
      <c r="R984">
        <v>43252</v>
      </c>
      <c r="S984" t="s">
        <v>122</v>
      </c>
    </row>
    <row r="985" spans="1:19">
      <c r="A985">
        <v>60000350</v>
      </c>
      <c r="B985">
        <v>42</v>
      </c>
      <c r="C985" t="s">
        <v>33</v>
      </c>
      <c r="D985" t="s">
        <v>19</v>
      </c>
      <c r="E985" t="s">
        <v>20</v>
      </c>
      <c r="F985" t="s">
        <v>21</v>
      </c>
      <c r="G985" s="23">
        <v>0.32</v>
      </c>
      <c r="H985" t="s">
        <v>42</v>
      </c>
      <c r="I985" t="s">
        <v>37</v>
      </c>
      <c r="J985" t="s">
        <v>66</v>
      </c>
      <c r="K985" t="s">
        <v>87</v>
      </c>
      <c r="L985" t="s">
        <v>121</v>
      </c>
      <c r="M985" t="s">
        <v>123</v>
      </c>
      <c r="N985" t="s">
        <v>28</v>
      </c>
      <c r="O985">
        <v>0</v>
      </c>
      <c r="P985">
        <v>24990</v>
      </c>
      <c r="Q985">
        <f t="shared" ref="Q985:Q1048" si="17">+P985/1000000</f>
        <v>2.4989999999999998E-2</v>
      </c>
      <c r="R985">
        <v>43252</v>
      </c>
      <c r="S985" t="s">
        <v>122</v>
      </c>
    </row>
    <row r="986" spans="1:19">
      <c r="A986">
        <v>60000351</v>
      </c>
      <c r="B986">
        <v>63</v>
      </c>
      <c r="C986" t="s">
        <v>18</v>
      </c>
      <c r="D986" t="s">
        <v>19</v>
      </c>
      <c r="E986" t="s">
        <v>41</v>
      </c>
      <c r="F986" t="s">
        <v>21</v>
      </c>
      <c r="G986" s="23">
        <v>0.18</v>
      </c>
      <c r="H986" t="s">
        <v>22</v>
      </c>
      <c r="I986" t="s">
        <v>62</v>
      </c>
      <c r="J986" t="s">
        <v>58</v>
      </c>
      <c r="K986" t="s">
        <v>107</v>
      </c>
      <c r="L986" t="s">
        <v>121</v>
      </c>
      <c r="M986" t="s">
        <v>123</v>
      </c>
      <c r="N986" t="s">
        <v>28</v>
      </c>
      <c r="O986">
        <v>0</v>
      </c>
      <c r="P986">
        <v>25961</v>
      </c>
      <c r="Q986">
        <f t="shared" si="17"/>
        <v>2.5961000000000001E-2</v>
      </c>
      <c r="R986">
        <v>43252</v>
      </c>
      <c r="S986" t="s">
        <v>122</v>
      </c>
    </row>
    <row r="987" spans="1:19">
      <c r="A987">
        <v>60000352</v>
      </c>
      <c r="B987">
        <v>34</v>
      </c>
      <c r="C987" t="s">
        <v>18</v>
      </c>
      <c r="D987" t="s">
        <v>19</v>
      </c>
      <c r="E987" t="s">
        <v>85</v>
      </c>
      <c r="F987" t="s">
        <v>21</v>
      </c>
      <c r="G987" s="23">
        <v>0.38</v>
      </c>
      <c r="H987" t="s">
        <v>42</v>
      </c>
      <c r="I987" t="s">
        <v>83</v>
      </c>
      <c r="J987" t="s">
        <v>74</v>
      </c>
      <c r="K987" t="s">
        <v>39</v>
      </c>
      <c r="L987" t="s">
        <v>26</v>
      </c>
      <c r="M987" t="s">
        <v>123</v>
      </c>
      <c r="N987" t="s">
        <v>28</v>
      </c>
      <c r="O987">
        <v>4</v>
      </c>
      <c r="P987">
        <v>37228</v>
      </c>
      <c r="Q987">
        <f t="shared" si="17"/>
        <v>3.7227999999999997E-2</v>
      </c>
      <c r="R987">
        <v>43252</v>
      </c>
      <c r="S987" t="s">
        <v>122</v>
      </c>
    </row>
    <row r="988" spans="1:19">
      <c r="A988">
        <v>60000353</v>
      </c>
      <c r="B988">
        <v>48</v>
      </c>
      <c r="C988" t="s">
        <v>33</v>
      </c>
      <c r="D988" t="s">
        <v>19</v>
      </c>
      <c r="E988" t="s">
        <v>64</v>
      </c>
      <c r="F988" t="s">
        <v>21</v>
      </c>
      <c r="G988" s="23">
        <v>0.28999999999999998</v>
      </c>
      <c r="H988" t="s">
        <v>53</v>
      </c>
      <c r="I988" t="s">
        <v>37</v>
      </c>
      <c r="J988" t="s">
        <v>31</v>
      </c>
      <c r="K988" t="s">
        <v>32</v>
      </c>
      <c r="L988" t="s">
        <v>119</v>
      </c>
      <c r="M988" t="s">
        <v>123</v>
      </c>
      <c r="N988" t="s">
        <v>28</v>
      </c>
      <c r="O988">
        <v>0</v>
      </c>
      <c r="P988">
        <v>26244</v>
      </c>
      <c r="Q988">
        <f t="shared" si="17"/>
        <v>2.6244E-2</v>
      </c>
      <c r="R988">
        <v>43252</v>
      </c>
      <c r="S988" t="s">
        <v>122</v>
      </c>
    </row>
    <row r="989" spans="1:19">
      <c r="A989">
        <v>60000354</v>
      </c>
      <c r="B989">
        <v>53</v>
      </c>
      <c r="C989" t="s">
        <v>18</v>
      </c>
      <c r="D989" t="s">
        <v>19</v>
      </c>
      <c r="E989" t="s">
        <v>52</v>
      </c>
      <c r="F989" t="s">
        <v>21</v>
      </c>
      <c r="G989" s="23">
        <v>0.35</v>
      </c>
      <c r="H989" t="s">
        <v>42</v>
      </c>
      <c r="I989" t="s">
        <v>49</v>
      </c>
      <c r="J989" t="s">
        <v>61</v>
      </c>
      <c r="K989" t="s">
        <v>90</v>
      </c>
      <c r="L989" t="s">
        <v>121</v>
      </c>
      <c r="M989" t="s">
        <v>123</v>
      </c>
      <c r="N989" t="s">
        <v>51</v>
      </c>
      <c r="O989">
        <v>6</v>
      </c>
      <c r="P989">
        <v>69760</v>
      </c>
      <c r="Q989">
        <f t="shared" si="17"/>
        <v>6.9760000000000003E-2</v>
      </c>
      <c r="R989">
        <v>43252</v>
      </c>
      <c r="S989" t="s">
        <v>122</v>
      </c>
    </row>
    <row r="990" spans="1:19">
      <c r="A990">
        <v>60000355</v>
      </c>
      <c r="B990">
        <v>52</v>
      </c>
      <c r="C990" t="s">
        <v>18</v>
      </c>
      <c r="D990" t="s">
        <v>40</v>
      </c>
      <c r="E990" t="s">
        <v>64</v>
      </c>
      <c r="F990" t="s">
        <v>21</v>
      </c>
      <c r="G990" s="23">
        <v>0.36</v>
      </c>
      <c r="H990" t="s">
        <v>42</v>
      </c>
      <c r="I990" t="s">
        <v>60</v>
      </c>
      <c r="J990" t="s">
        <v>61</v>
      </c>
      <c r="K990" t="s">
        <v>82</v>
      </c>
      <c r="L990" t="s">
        <v>26</v>
      </c>
      <c r="M990" t="s">
        <v>123</v>
      </c>
      <c r="N990" t="s">
        <v>51</v>
      </c>
      <c r="O990">
        <v>2</v>
      </c>
      <c r="P990">
        <v>49433</v>
      </c>
      <c r="Q990">
        <f t="shared" si="17"/>
        <v>4.9432999999999998E-2</v>
      </c>
      <c r="R990">
        <v>43252</v>
      </c>
      <c r="S990" t="s">
        <v>122</v>
      </c>
    </row>
    <row r="991" spans="1:19">
      <c r="A991">
        <v>60000356</v>
      </c>
      <c r="B991">
        <v>30</v>
      </c>
      <c r="C991" t="s">
        <v>33</v>
      </c>
      <c r="D991" t="s">
        <v>19</v>
      </c>
      <c r="E991" t="s">
        <v>41</v>
      </c>
      <c r="F991" t="s">
        <v>21</v>
      </c>
      <c r="G991" s="23">
        <v>0.37</v>
      </c>
      <c r="H991" t="s">
        <v>42</v>
      </c>
      <c r="I991" t="s">
        <v>65</v>
      </c>
      <c r="J991" t="s">
        <v>88</v>
      </c>
      <c r="K991" t="s">
        <v>114</v>
      </c>
      <c r="L991" t="s">
        <v>26</v>
      </c>
      <c r="M991" t="s">
        <v>123</v>
      </c>
      <c r="N991" t="s">
        <v>51</v>
      </c>
      <c r="O991">
        <v>0</v>
      </c>
      <c r="P991">
        <v>32841</v>
      </c>
      <c r="Q991">
        <f t="shared" si="17"/>
        <v>3.2841000000000002E-2</v>
      </c>
      <c r="R991">
        <v>43252</v>
      </c>
      <c r="S991" t="s">
        <v>122</v>
      </c>
    </row>
    <row r="992" spans="1:19">
      <c r="A992">
        <v>60000357</v>
      </c>
      <c r="B992">
        <v>55</v>
      </c>
      <c r="C992" t="s">
        <v>18</v>
      </c>
      <c r="D992" t="s">
        <v>40</v>
      </c>
      <c r="E992" t="s">
        <v>34</v>
      </c>
      <c r="F992" t="s">
        <v>21</v>
      </c>
      <c r="G992" s="23">
        <v>0.35</v>
      </c>
      <c r="H992" t="s">
        <v>42</v>
      </c>
      <c r="I992" t="s">
        <v>68</v>
      </c>
      <c r="J992" t="s">
        <v>69</v>
      </c>
      <c r="K992" t="s">
        <v>93</v>
      </c>
      <c r="L992" t="s">
        <v>26</v>
      </c>
      <c r="M992" t="s">
        <v>123</v>
      </c>
      <c r="N992" t="s">
        <v>51</v>
      </c>
      <c r="O992">
        <v>0</v>
      </c>
      <c r="P992">
        <v>26497</v>
      </c>
      <c r="Q992">
        <f t="shared" si="17"/>
        <v>2.6497E-2</v>
      </c>
      <c r="R992">
        <v>43252</v>
      </c>
      <c r="S992" t="s">
        <v>122</v>
      </c>
    </row>
    <row r="993" spans="1:19">
      <c r="A993">
        <v>60000358</v>
      </c>
      <c r="B993">
        <v>42</v>
      </c>
      <c r="C993" t="s">
        <v>18</v>
      </c>
      <c r="D993" t="s">
        <v>19</v>
      </c>
      <c r="E993" t="s">
        <v>85</v>
      </c>
      <c r="F993" t="s">
        <v>21</v>
      </c>
      <c r="G993" s="23">
        <v>0.37</v>
      </c>
      <c r="H993" t="s">
        <v>42</v>
      </c>
      <c r="I993" t="s">
        <v>83</v>
      </c>
      <c r="J993" t="s">
        <v>31</v>
      </c>
      <c r="K993" t="s">
        <v>55</v>
      </c>
      <c r="L993" t="s">
        <v>26</v>
      </c>
      <c r="M993" t="s">
        <v>123</v>
      </c>
      <c r="N993" t="s">
        <v>51</v>
      </c>
      <c r="O993">
        <v>3</v>
      </c>
      <c r="P993">
        <v>24475</v>
      </c>
      <c r="Q993">
        <f t="shared" si="17"/>
        <v>2.4475E-2</v>
      </c>
      <c r="R993">
        <v>43252</v>
      </c>
      <c r="S993" t="s">
        <v>122</v>
      </c>
    </row>
    <row r="994" spans="1:19">
      <c r="A994">
        <v>60000359</v>
      </c>
      <c r="B994">
        <v>60</v>
      </c>
      <c r="C994" t="s">
        <v>18</v>
      </c>
      <c r="D994" t="s">
        <v>19</v>
      </c>
      <c r="E994" t="s">
        <v>85</v>
      </c>
      <c r="F994" t="s">
        <v>21</v>
      </c>
      <c r="G994" s="23">
        <v>0.35</v>
      </c>
      <c r="H994" t="s">
        <v>42</v>
      </c>
      <c r="I994" t="s">
        <v>86</v>
      </c>
      <c r="J994" t="s">
        <v>24</v>
      </c>
      <c r="K994" t="s">
        <v>60</v>
      </c>
      <c r="L994" t="s">
        <v>121</v>
      </c>
      <c r="M994" t="s">
        <v>123</v>
      </c>
      <c r="N994" t="s">
        <v>28</v>
      </c>
      <c r="O994">
        <v>0</v>
      </c>
      <c r="P994">
        <v>61193</v>
      </c>
      <c r="Q994">
        <f t="shared" si="17"/>
        <v>6.1192999999999997E-2</v>
      </c>
      <c r="R994">
        <v>43252</v>
      </c>
      <c r="S994" t="s">
        <v>122</v>
      </c>
    </row>
    <row r="995" spans="1:19">
      <c r="A995">
        <v>60000360</v>
      </c>
      <c r="B995">
        <v>36</v>
      </c>
      <c r="C995" t="s">
        <v>33</v>
      </c>
      <c r="D995" t="s">
        <v>40</v>
      </c>
      <c r="E995" t="s">
        <v>72</v>
      </c>
      <c r="F995" t="s">
        <v>21</v>
      </c>
      <c r="G995" s="23">
        <v>0.14000000000000001</v>
      </c>
      <c r="H995" t="s">
        <v>22</v>
      </c>
      <c r="I995" t="s">
        <v>80</v>
      </c>
      <c r="J995" t="s">
        <v>66</v>
      </c>
      <c r="K995" t="s">
        <v>25</v>
      </c>
      <c r="L995" t="s">
        <v>26</v>
      </c>
      <c r="M995" t="s">
        <v>123</v>
      </c>
      <c r="N995" t="s">
        <v>28</v>
      </c>
      <c r="O995">
        <v>6</v>
      </c>
      <c r="P995">
        <v>55051</v>
      </c>
      <c r="Q995">
        <f t="shared" si="17"/>
        <v>5.5051000000000003E-2</v>
      </c>
      <c r="R995">
        <v>43252</v>
      </c>
      <c r="S995" t="s">
        <v>122</v>
      </c>
    </row>
    <row r="996" spans="1:19">
      <c r="A996">
        <v>60000361</v>
      </c>
      <c r="B996">
        <v>42</v>
      </c>
      <c r="C996" t="s">
        <v>18</v>
      </c>
      <c r="D996" t="s">
        <v>19</v>
      </c>
      <c r="E996" t="s">
        <v>41</v>
      </c>
      <c r="F996" t="s">
        <v>21</v>
      </c>
      <c r="G996" s="23">
        <v>0.28000000000000003</v>
      </c>
      <c r="H996" t="s">
        <v>53</v>
      </c>
      <c r="I996" t="s">
        <v>23</v>
      </c>
      <c r="J996" t="s">
        <v>24</v>
      </c>
      <c r="K996" t="s">
        <v>94</v>
      </c>
      <c r="L996" t="s">
        <v>119</v>
      </c>
      <c r="M996" t="s">
        <v>123</v>
      </c>
      <c r="N996" t="s">
        <v>28</v>
      </c>
      <c r="O996">
        <v>0</v>
      </c>
      <c r="P996">
        <v>36268</v>
      </c>
      <c r="Q996">
        <f t="shared" si="17"/>
        <v>3.6268000000000002E-2</v>
      </c>
      <c r="R996">
        <v>43252</v>
      </c>
      <c r="S996" t="s">
        <v>122</v>
      </c>
    </row>
    <row r="997" spans="1:19">
      <c r="A997">
        <v>60000362</v>
      </c>
      <c r="B997">
        <v>26</v>
      </c>
      <c r="C997" t="s">
        <v>18</v>
      </c>
      <c r="D997" t="s">
        <v>40</v>
      </c>
      <c r="E997" t="s">
        <v>41</v>
      </c>
      <c r="F997" t="s">
        <v>21</v>
      </c>
      <c r="G997" s="23">
        <v>0.21</v>
      </c>
      <c r="H997" t="s">
        <v>29</v>
      </c>
      <c r="I997" t="s">
        <v>73</v>
      </c>
      <c r="J997" t="s">
        <v>61</v>
      </c>
      <c r="K997" t="s">
        <v>117</v>
      </c>
      <c r="L997" t="s">
        <v>121</v>
      </c>
      <c r="M997" t="s">
        <v>123</v>
      </c>
      <c r="N997" t="s">
        <v>28</v>
      </c>
      <c r="O997">
        <v>5</v>
      </c>
      <c r="P997">
        <v>62522</v>
      </c>
      <c r="Q997">
        <f t="shared" si="17"/>
        <v>6.2521999999999994E-2</v>
      </c>
      <c r="R997">
        <v>43252</v>
      </c>
      <c r="S997" t="s">
        <v>122</v>
      </c>
    </row>
    <row r="998" spans="1:19">
      <c r="A998">
        <v>60000363</v>
      </c>
      <c r="B998">
        <v>56</v>
      </c>
      <c r="C998" t="s">
        <v>18</v>
      </c>
      <c r="D998" t="s">
        <v>40</v>
      </c>
      <c r="E998" t="s">
        <v>44</v>
      </c>
      <c r="F998" t="s">
        <v>21</v>
      </c>
      <c r="G998" s="23">
        <v>0.16</v>
      </c>
      <c r="H998" t="s">
        <v>22</v>
      </c>
      <c r="I998" t="s">
        <v>45</v>
      </c>
      <c r="J998" t="s">
        <v>31</v>
      </c>
      <c r="K998" t="s">
        <v>114</v>
      </c>
      <c r="L998" t="s">
        <v>26</v>
      </c>
      <c r="M998" t="s">
        <v>123</v>
      </c>
      <c r="N998" t="s">
        <v>28</v>
      </c>
      <c r="O998">
        <v>0</v>
      </c>
      <c r="P998">
        <v>74630</v>
      </c>
      <c r="Q998">
        <f t="shared" si="17"/>
        <v>7.4630000000000002E-2</v>
      </c>
      <c r="R998">
        <v>43252</v>
      </c>
      <c r="S998" t="s">
        <v>122</v>
      </c>
    </row>
    <row r="999" spans="1:19">
      <c r="A999">
        <v>60000364</v>
      </c>
      <c r="B999">
        <v>28</v>
      </c>
      <c r="C999" t="s">
        <v>18</v>
      </c>
      <c r="D999" t="s">
        <v>40</v>
      </c>
      <c r="E999" t="s">
        <v>56</v>
      </c>
      <c r="F999" t="s">
        <v>21</v>
      </c>
      <c r="G999" s="23">
        <v>0.14000000000000001</v>
      </c>
      <c r="H999" t="s">
        <v>22</v>
      </c>
      <c r="I999" t="s">
        <v>60</v>
      </c>
      <c r="J999" t="s">
        <v>61</v>
      </c>
      <c r="K999" t="s">
        <v>63</v>
      </c>
      <c r="L999" t="s">
        <v>121</v>
      </c>
      <c r="M999" t="s">
        <v>123</v>
      </c>
      <c r="N999" t="s">
        <v>28</v>
      </c>
      <c r="O999">
        <v>0</v>
      </c>
      <c r="P999">
        <v>39889</v>
      </c>
      <c r="Q999">
        <f t="shared" si="17"/>
        <v>3.9889000000000001E-2</v>
      </c>
      <c r="R999">
        <v>43252</v>
      </c>
      <c r="S999" t="s">
        <v>122</v>
      </c>
    </row>
    <row r="1000" spans="1:19">
      <c r="A1000">
        <v>60000365</v>
      </c>
      <c r="B1000">
        <v>37</v>
      </c>
      <c r="C1000" t="s">
        <v>33</v>
      </c>
      <c r="D1000" t="s">
        <v>40</v>
      </c>
      <c r="E1000" t="s">
        <v>34</v>
      </c>
      <c r="F1000" t="s">
        <v>21</v>
      </c>
      <c r="G1000" s="23">
        <v>0.28999999999999998</v>
      </c>
      <c r="H1000" t="s">
        <v>53</v>
      </c>
      <c r="I1000" t="s">
        <v>23</v>
      </c>
      <c r="J1000" t="s">
        <v>88</v>
      </c>
      <c r="K1000" t="s">
        <v>77</v>
      </c>
      <c r="L1000" t="s">
        <v>119</v>
      </c>
      <c r="M1000" t="s">
        <v>123</v>
      </c>
      <c r="N1000" t="s">
        <v>51</v>
      </c>
      <c r="O1000">
        <v>5</v>
      </c>
      <c r="P1000">
        <v>27928</v>
      </c>
      <c r="Q1000">
        <f t="shared" si="17"/>
        <v>2.7928000000000001E-2</v>
      </c>
      <c r="R1000">
        <v>43252</v>
      </c>
      <c r="S1000" t="s">
        <v>122</v>
      </c>
    </row>
    <row r="1001" spans="1:19">
      <c r="A1001">
        <v>60000366</v>
      </c>
      <c r="B1001">
        <v>60</v>
      </c>
      <c r="C1001" t="s">
        <v>18</v>
      </c>
      <c r="D1001" t="s">
        <v>40</v>
      </c>
      <c r="E1001" t="s">
        <v>67</v>
      </c>
      <c r="F1001" t="s">
        <v>21</v>
      </c>
      <c r="G1001" s="23">
        <v>0.25</v>
      </c>
      <c r="H1001" t="s">
        <v>53</v>
      </c>
      <c r="I1001" t="s">
        <v>68</v>
      </c>
      <c r="J1001" t="s">
        <v>61</v>
      </c>
      <c r="K1001" t="s">
        <v>103</v>
      </c>
      <c r="L1001" t="s">
        <v>26</v>
      </c>
      <c r="M1001" t="s">
        <v>123</v>
      </c>
      <c r="N1001" t="s">
        <v>28</v>
      </c>
      <c r="O1001">
        <v>1</v>
      </c>
      <c r="P1001">
        <v>49493</v>
      </c>
      <c r="Q1001">
        <f t="shared" si="17"/>
        <v>4.9493000000000002E-2</v>
      </c>
      <c r="R1001">
        <v>43252</v>
      </c>
      <c r="S1001" t="s">
        <v>122</v>
      </c>
    </row>
    <row r="1002" spans="1:19">
      <c r="A1002">
        <v>60000367</v>
      </c>
      <c r="B1002">
        <v>44</v>
      </c>
      <c r="C1002" t="s">
        <v>18</v>
      </c>
      <c r="D1002" t="s">
        <v>40</v>
      </c>
      <c r="E1002" t="s">
        <v>85</v>
      </c>
      <c r="F1002" t="s">
        <v>21</v>
      </c>
      <c r="G1002" s="23">
        <v>0.16</v>
      </c>
      <c r="H1002" t="s">
        <v>22</v>
      </c>
      <c r="I1002" t="s">
        <v>62</v>
      </c>
      <c r="J1002" t="s">
        <v>54</v>
      </c>
      <c r="K1002" t="s">
        <v>104</v>
      </c>
      <c r="L1002" t="s">
        <v>26</v>
      </c>
      <c r="M1002" t="s">
        <v>123</v>
      </c>
      <c r="N1002" t="s">
        <v>28</v>
      </c>
      <c r="O1002">
        <v>0</v>
      </c>
      <c r="P1002">
        <v>64826</v>
      </c>
      <c r="Q1002">
        <f t="shared" si="17"/>
        <v>6.4825999999999995E-2</v>
      </c>
      <c r="R1002">
        <v>43252</v>
      </c>
      <c r="S1002" t="s">
        <v>122</v>
      </c>
    </row>
    <row r="1003" spans="1:19">
      <c r="A1003">
        <v>60000368</v>
      </c>
      <c r="B1003">
        <v>36</v>
      </c>
      <c r="C1003" t="s">
        <v>18</v>
      </c>
      <c r="D1003" t="s">
        <v>19</v>
      </c>
      <c r="E1003" t="s">
        <v>75</v>
      </c>
      <c r="F1003" t="s">
        <v>21</v>
      </c>
      <c r="G1003" s="23">
        <v>0.14000000000000001</v>
      </c>
      <c r="H1003" t="s">
        <v>22</v>
      </c>
      <c r="I1003" t="s">
        <v>23</v>
      </c>
      <c r="J1003" t="s">
        <v>91</v>
      </c>
      <c r="K1003" t="s">
        <v>112</v>
      </c>
      <c r="L1003" t="s">
        <v>121</v>
      </c>
      <c r="M1003" t="s">
        <v>123</v>
      </c>
      <c r="N1003" t="s">
        <v>28</v>
      </c>
      <c r="O1003">
        <v>3</v>
      </c>
      <c r="P1003">
        <v>54304</v>
      </c>
      <c r="Q1003">
        <f t="shared" si="17"/>
        <v>5.4303999999999998E-2</v>
      </c>
      <c r="R1003">
        <v>43252</v>
      </c>
      <c r="S1003" t="s">
        <v>122</v>
      </c>
    </row>
    <row r="1004" spans="1:19">
      <c r="A1004">
        <v>60000369</v>
      </c>
      <c r="B1004">
        <v>56</v>
      </c>
      <c r="C1004" t="s">
        <v>33</v>
      </c>
      <c r="D1004" t="s">
        <v>40</v>
      </c>
      <c r="E1004" t="s">
        <v>75</v>
      </c>
      <c r="F1004" t="s">
        <v>21</v>
      </c>
      <c r="G1004" s="23">
        <v>0.28999999999999998</v>
      </c>
      <c r="H1004" t="s">
        <v>53</v>
      </c>
      <c r="I1004" t="s">
        <v>23</v>
      </c>
      <c r="J1004" t="s">
        <v>61</v>
      </c>
      <c r="K1004" t="s">
        <v>94</v>
      </c>
      <c r="L1004" t="s">
        <v>121</v>
      </c>
      <c r="M1004" t="s">
        <v>123</v>
      </c>
      <c r="N1004" t="s">
        <v>51</v>
      </c>
      <c r="O1004">
        <v>0</v>
      </c>
      <c r="P1004">
        <v>80617</v>
      </c>
      <c r="Q1004">
        <f t="shared" si="17"/>
        <v>8.0616999999999994E-2</v>
      </c>
      <c r="R1004">
        <v>43252</v>
      </c>
      <c r="S1004" t="s">
        <v>122</v>
      </c>
    </row>
    <row r="1005" spans="1:19">
      <c r="A1005">
        <v>60000370</v>
      </c>
      <c r="B1005">
        <v>26</v>
      </c>
      <c r="C1005" t="s">
        <v>18</v>
      </c>
      <c r="D1005" t="s">
        <v>19</v>
      </c>
      <c r="E1005" t="s">
        <v>20</v>
      </c>
      <c r="F1005" t="s">
        <v>21</v>
      </c>
      <c r="G1005" s="23">
        <v>0.19</v>
      </c>
      <c r="H1005" t="s">
        <v>29</v>
      </c>
      <c r="I1005" t="s">
        <v>45</v>
      </c>
      <c r="J1005" t="s">
        <v>24</v>
      </c>
      <c r="K1005" t="s">
        <v>110</v>
      </c>
      <c r="L1005" t="s">
        <v>121</v>
      </c>
      <c r="M1005" t="s">
        <v>123</v>
      </c>
      <c r="N1005" t="s">
        <v>28</v>
      </c>
      <c r="O1005">
        <v>0</v>
      </c>
      <c r="P1005">
        <v>74854</v>
      </c>
      <c r="Q1005">
        <f t="shared" si="17"/>
        <v>7.4854000000000004E-2</v>
      </c>
      <c r="R1005">
        <v>43252</v>
      </c>
      <c r="S1005" t="s">
        <v>122</v>
      </c>
    </row>
    <row r="1006" spans="1:19">
      <c r="A1006">
        <v>60000371</v>
      </c>
      <c r="B1006">
        <v>46</v>
      </c>
      <c r="C1006" t="s">
        <v>33</v>
      </c>
      <c r="D1006" t="s">
        <v>40</v>
      </c>
      <c r="E1006" t="s">
        <v>34</v>
      </c>
      <c r="F1006" t="s">
        <v>21</v>
      </c>
      <c r="G1006" s="23">
        <v>0.16</v>
      </c>
      <c r="H1006" t="s">
        <v>22</v>
      </c>
      <c r="I1006" t="s">
        <v>49</v>
      </c>
      <c r="J1006" t="s">
        <v>91</v>
      </c>
      <c r="K1006" t="s">
        <v>89</v>
      </c>
      <c r="L1006" t="s">
        <v>119</v>
      </c>
      <c r="M1006" t="s">
        <v>123</v>
      </c>
      <c r="N1006" t="s">
        <v>51</v>
      </c>
      <c r="O1006">
        <v>0</v>
      </c>
      <c r="P1006">
        <v>49343</v>
      </c>
      <c r="Q1006">
        <f t="shared" si="17"/>
        <v>4.9342999999999998E-2</v>
      </c>
      <c r="R1006">
        <v>43252</v>
      </c>
      <c r="S1006" t="s">
        <v>122</v>
      </c>
    </row>
    <row r="1007" spans="1:19">
      <c r="A1007">
        <v>60000372</v>
      </c>
      <c r="B1007">
        <v>31</v>
      </c>
      <c r="C1007" t="s">
        <v>33</v>
      </c>
      <c r="D1007" t="s">
        <v>40</v>
      </c>
      <c r="E1007" t="s">
        <v>85</v>
      </c>
      <c r="F1007" t="s">
        <v>21</v>
      </c>
      <c r="G1007" s="23">
        <v>0.16</v>
      </c>
      <c r="H1007" t="s">
        <v>22</v>
      </c>
      <c r="I1007" t="s">
        <v>80</v>
      </c>
      <c r="J1007" t="s">
        <v>54</v>
      </c>
      <c r="K1007" t="s">
        <v>93</v>
      </c>
      <c r="L1007" t="s">
        <v>121</v>
      </c>
      <c r="M1007" t="s">
        <v>123</v>
      </c>
      <c r="N1007" t="s">
        <v>28</v>
      </c>
      <c r="O1007">
        <v>4</v>
      </c>
      <c r="P1007">
        <v>80425</v>
      </c>
      <c r="Q1007">
        <f t="shared" si="17"/>
        <v>8.0424999999999996E-2</v>
      </c>
      <c r="R1007">
        <v>43252</v>
      </c>
      <c r="S1007" t="s">
        <v>122</v>
      </c>
    </row>
    <row r="1008" spans="1:19">
      <c r="A1008">
        <v>60000373</v>
      </c>
      <c r="B1008">
        <v>21</v>
      </c>
      <c r="C1008" t="s">
        <v>33</v>
      </c>
      <c r="D1008" t="s">
        <v>19</v>
      </c>
      <c r="E1008" t="s">
        <v>56</v>
      </c>
      <c r="F1008" t="s">
        <v>21</v>
      </c>
      <c r="G1008" s="23">
        <v>0.19</v>
      </c>
      <c r="H1008" t="s">
        <v>29</v>
      </c>
      <c r="I1008" t="s">
        <v>30</v>
      </c>
      <c r="J1008" t="s">
        <v>74</v>
      </c>
      <c r="K1008" t="s">
        <v>97</v>
      </c>
      <c r="L1008" t="s">
        <v>26</v>
      </c>
      <c r="M1008" t="s">
        <v>123</v>
      </c>
      <c r="N1008" t="s">
        <v>28</v>
      </c>
      <c r="O1008">
        <v>0</v>
      </c>
      <c r="P1008">
        <v>28635</v>
      </c>
      <c r="Q1008">
        <f t="shared" si="17"/>
        <v>2.8635000000000001E-2</v>
      </c>
      <c r="R1008">
        <v>43252</v>
      </c>
      <c r="S1008" t="s">
        <v>122</v>
      </c>
    </row>
    <row r="1009" spans="1:19">
      <c r="A1009">
        <v>60000374</v>
      </c>
      <c r="B1009">
        <v>51</v>
      </c>
      <c r="C1009" t="s">
        <v>18</v>
      </c>
      <c r="D1009" t="s">
        <v>19</v>
      </c>
      <c r="E1009" t="s">
        <v>44</v>
      </c>
      <c r="F1009" t="s">
        <v>21</v>
      </c>
      <c r="G1009" s="23">
        <v>0.26</v>
      </c>
      <c r="H1009" t="s">
        <v>53</v>
      </c>
      <c r="I1009" t="s">
        <v>60</v>
      </c>
      <c r="J1009" t="s">
        <v>91</v>
      </c>
      <c r="K1009" t="s">
        <v>95</v>
      </c>
      <c r="L1009" t="s">
        <v>121</v>
      </c>
      <c r="M1009" t="s">
        <v>123</v>
      </c>
      <c r="N1009" t="s">
        <v>28</v>
      </c>
      <c r="O1009">
        <v>0</v>
      </c>
      <c r="P1009">
        <v>28074</v>
      </c>
      <c r="Q1009">
        <f t="shared" si="17"/>
        <v>2.8074000000000002E-2</v>
      </c>
      <c r="R1009">
        <v>43252</v>
      </c>
      <c r="S1009" t="s">
        <v>122</v>
      </c>
    </row>
    <row r="1010" spans="1:19">
      <c r="A1010">
        <v>60000375</v>
      </c>
      <c r="B1010">
        <v>64</v>
      </c>
      <c r="C1010" t="s">
        <v>33</v>
      </c>
      <c r="D1010" t="s">
        <v>19</v>
      </c>
      <c r="E1010" t="s">
        <v>56</v>
      </c>
      <c r="F1010" t="s">
        <v>21</v>
      </c>
      <c r="G1010" s="23">
        <v>0.34</v>
      </c>
      <c r="H1010" t="s">
        <v>42</v>
      </c>
      <c r="I1010" t="s">
        <v>60</v>
      </c>
      <c r="J1010" t="s">
        <v>88</v>
      </c>
      <c r="K1010" t="s">
        <v>96</v>
      </c>
      <c r="L1010" t="s">
        <v>119</v>
      </c>
      <c r="M1010" t="s">
        <v>123</v>
      </c>
      <c r="N1010" t="s">
        <v>28</v>
      </c>
      <c r="O1010">
        <v>3</v>
      </c>
      <c r="P1010">
        <v>68445</v>
      </c>
      <c r="Q1010">
        <f t="shared" si="17"/>
        <v>6.8445000000000006E-2</v>
      </c>
      <c r="R1010">
        <v>43252</v>
      </c>
      <c r="S1010" t="s">
        <v>122</v>
      </c>
    </row>
    <row r="1011" spans="1:19">
      <c r="A1011">
        <v>60000376</v>
      </c>
      <c r="B1011">
        <v>21</v>
      </c>
      <c r="C1011" t="s">
        <v>33</v>
      </c>
      <c r="D1011" t="s">
        <v>40</v>
      </c>
      <c r="E1011" t="s">
        <v>64</v>
      </c>
      <c r="F1011" t="s">
        <v>21</v>
      </c>
      <c r="G1011" s="23">
        <v>0.25</v>
      </c>
      <c r="H1011" t="s">
        <v>53</v>
      </c>
      <c r="I1011" t="s">
        <v>68</v>
      </c>
      <c r="J1011" t="s">
        <v>91</v>
      </c>
      <c r="K1011" t="s">
        <v>113</v>
      </c>
      <c r="L1011" t="s">
        <v>119</v>
      </c>
      <c r="M1011" t="s">
        <v>123</v>
      </c>
      <c r="N1011" t="s">
        <v>51</v>
      </c>
      <c r="O1011">
        <v>0</v>
      </c>
      <c r="P1011">
        <v>84067</v>
      </c>
      <c r="Q1011">
        <f t="shared" si="17"/>
        <v>8.4067000000000003E-2</v>
      </c>
      <c r="R1011">
        <v>43252</v>
      </c>
      <c r="S1011" t="s">
        <v>122</v>
      </c>
    </row>
    <row r="1012" spans="1:19">
      <c r="A1012">
        <v>60000377</v>
      </c>
      <c r="B1012">
        <v>50</v>
      </c>
      <c r="C1012" t="s">
        <v>18</v>
      </c>
      <c r="D1012" t="s">
        <v>40</v>
      </c>
      <c r="E1012" t="s">
        <v>20</v>
      </c>
      <c r="F1012" t="s">
        <v>21</v>
      </c>
      <c r="G1012" s="23">
        <v>0.11</v>
      </c>
      <c r="H1012" t="s">
        <v>36</v>
      </c>
      <c r="I1012" t="s">
        <v>70</v>
      </c>
      <c r="J1012" t="s">
        <v>78</v>
      </c>
      <c r="K1012" t="s">
        <v>115</v>
      </c>
      <c r="L1012" t="s">
        <v>26</v>
      </c>
      <c r="M1012" t="s">
        <v>123</v>
      </c>
      <c r="N1012" t="s">
        <v>28</v>
      </c>
      <c r="O1012">
        <v>0</v>
      </c>
      <c r="P1012">
        <v>83731</v>
      </c>
      <c r="Q1012">
        <f t="shared" si="17"/>
        <v>8.3731E-2</v>
      </c>
      <c r="R1012">
        <v>43252</v>
      </c>
      <c r="S1012" t="s">
        <v>122</v>
      </c>
    </row>
    <row r="1013" spans="1:19">
      <c r="A1013">
        <v>60000378</v>
      </c>
      <c r="B1013">
        <v>39</v>
      </c>
      <c r="C1013" t="s">
        <v>33</v>
      </c>
      <c r="D1013" t="s">
        <v>40</v>
      </c>
      <c r="E1013" t="s">
        <v>52</v>
      </c>
      <c r="F1013" t="s">
        <v>21</v>
      </c>
      <c r="G1013" s="23">
        <v>0.27</v>
      </c>
      <c r="H1013" t="s">
        <v>53</v>
      </c>
      <c r="I1013" t="s">
        <v>80</v>
      </c>
      <c r="J1013" t="s">
        <v>88</v>
      </c>
      <c r="K1013" t="s">
        <v>101</v>
      </c>
      <c r="L1013" t="s">
        <v>26</v>
      </c>
      <c r="M1013" t="s">
        <v>123</v>
      </c>
      <c r="N1013" t="s">
        <v>51</v>
      </c>
      <c r="O1013">
        <v>1</v>
      </c>
      <c r="P1013">
        <v>28557</v>
      </c>
      <c r="Q1013">
        <f t="shared" si="17"/>
        <v>2.8556999999999999E-2</v>
      </c>
      <c r="R1013">
        <v>43252</v>
      </c>
      <c r="S1013" t="s">
        <v>122</v>
      </c>
    </row>
    <row r="1014" spans="1:19">
      <c r="A1014">
        <v>60000379</v>
      </c>
      <c r="B1014">
        <v>38</v>
      </c>
      <c r="C1014" t="s">
        <v>33</v>
      </c>
      <c r="D1014" t="s">
        <v>19</v>
      </c>
      <c r="E1014" t="s">
        <v>20</v>
      </c>
      <c r="F1014" t="s">
        <v>21</v>
      </c>
      <c r="G1014" s="23">
        <v>0.35</v>
      </c>
      <c r="H1014" t="s">
        <v>42</v>
      </c>
      <c r="I1014" t="s">
        <v>65</v>
      </c>
      <c r="J1014" t="s">
        <v>91</v>
      </c>
      <c r="K1014" t="s">
        <v>43</v>
      </c>
      <c r="L1014" t="s">
        <v>121</v>
      </c>
      <c r="M1014" t="s">
        <v>123</v>
      </c>
      <c r="N1014" t="s">
        <v>51</v>
      </c>
      <c r="O1014">
        <v>5</v>
      </c>
      <c r="P1014">
        <v>79614</v>
      </c>
      <c r="Q1014">
        <f t="shared" si="17"/>
        <v>7.9614000000000004E-2</v>
      </c>
      <c r="R1014">
        <v>43252</v>
      </c>
      <c r="S1014" t="s">
        <v>122</v>
      </c>
    </row>
    <row r="1015" spans="1:19">
      <c r="A1015">
        <v>60000380</v>
      </c>
      <c r="B1015">
        <v>34</v>
      </c>
      <c r="C1015" t="s">
        <v>18</v>
      </c>
      <c r="D1015" t="s">
        <v>19</v>
      </c>
      <c r="E1015" t="s">
        <v>52</v>
      </c>
      <c r="F1015" t="s">
        <v>21</v>
      </c>
      <c r="G1015" s="23">
        <v>0.3</v>
      </c>
      <c r="H1015" t="s">
        <v>53</v>
      </c>
      <c r="I1015" t="s">
        <v>70</v>
      </c>
      <c r="J1015" t="s">
        <v>61</v>
      </c>
      <c r="K1015" t="s">
        <v>96</v>
      </c>
      <c r="L1015" t="s">
        <v>119</v>
      </c>
      <c r="M1015" t="s">
        <v>123</v>
      </c>
      <c r="N1015" t="s">
        <v>51</v>
      </c>
      <c r="O1015">
        <v>0</v>
      </c>
      <c r="P1015">
        <v>54684</v>
      </c>
      <c r="Q1015">
        <f t="shared" si="17"/>
        <v>5.4684000000000003E-2</v>
      </c>
      <c r="R1015">
        <v>43252</v>
      </c>
      <c r="S1015" t="s">
        <v>122</v>
      </c>
    </row>
    <row r="1016" spans="1:19">
      <c r="A1016">
        <v>60000381</v>
      </c>
      <c r="B1016">
        <v>57</v>
      </c>
      <c r="C1016" t="s">
        <v>33</v>
      </c>
      <c r="D1016" t="s">
        <v>19</v>
      </c>
      <c r="E1016" t="s">
        <v>52</v>
      </c>
      <c r="F1016" t="s">
        <v>21</v>
      </c>
      <c r="G1016" s="23">
        <v>0.31</v>
      </c>
      <c r="H1016" t="s">
        <v>53</v>
      </c>
      <c r="I1016" t="s">
        <v>70</v>
      </c>
      <c r="J1016" t="s">
        <v>31</v>
      </c>
      <c r="K1016" t="s">
        <v>100</v>
      </c>
      <c r="L1016" t="s">
        <v>121</v>
      </c>
      <c r="M1016" t="s">
        <v>123</v>
      </c>
      <c r="N1016" t="s">
        <v>28</v>
      </c>
      <c r="O1016">
        <v>7</v>
      </c>
      <c r="P1016">
        <v>27227</v>
      </c>
      <c r="Q1016">
        <f t="shared" si="17"/>
        <v>2.7227000000000001E-2</v>
      </c>
      <c r="R1016">
        <v>43252</v>
      </c>
      <c r="S1016" t="s">
        <v>122</v>
      </c>
    </row>
    <row r="1017" spans="1:19">
      <c r="A1017">
        <v>60000382</v>
      </c>
      <c r="B1017">
        <v>47</v>
      </c>
      <c r="C1017" t="s">
        <v>33</v>
      </c>
      <c r="D1017" t="s">
        <v>19</v>
      </c>
      <c r="E1017" t="s">
        <v>67</v>
      </c>
      <c r="F1017" t="s">
        <v>21</v>
      </c>
      <c r="G1017" s="23">
        <v>0.13</v>
      </c>
      <c r="H1017" t="s">
        <v>22</v>
      </c>
      <c r="I1017" t="s">
        <v>68</v>
      </c>
      <c r="J1017" t="s">
        <v>54</v>
      </c>
      <c r="K1017" t="s">
        <v>62</v>
      </c>
      <c r="L1017" t="s">
        <v>119</v>
      </c>
      <c r="M1017" t="s">
        <v>123</v>
      </c>
      <c r="N1017" t="s">
        <v>51</v>
      </c>
      <c r="O1017">
        <v>0</v>
      </c>
      <c r="P1017">
        <v>32045</v>
      </c>
      <c r="Q1017">
        <f t="shared" si="17"/>
        <v>3.2044999999999997E-2</v>
      </c>
      <c r="R1017">
        <v>43252</v>
      </c>
      <c r="S1017" t="s">
        <v>122</v>
      </c>
    </row>
    <row r="1018" spans="1:19">
      <c r="A1018">
        <v>60000383</v>
      </c>
      <c r="B1018">
        <v>36</v>
      </c>
      <c r="C1018" t="s">
        <v>18</v>
      </c>
      <c r="D1018" t="s">
        <v>40</v>
      </c>
      <c r="E1018" t="s">
        <v>85</v>
      </c>
      <c r="F1018" t="s">
        <v>21</v>
      </c>
      <c r="G1018" s="23">
        <v>0.28000000000000003</v>
      </c>
      <c r="H1018" t="s">
        <v>53</v>
      </c>
      <c r="I1018" t="s">
        <v>37</v>
      </c>
      <c r="J1018" t="s">
        <v>88</v>
      </c>
      <c r="K1018" t="s">
        <v>107</v>
      </c>
      <c r="L1018" t="s">
        <v>121</v>
      </c>
      <c r="M1018" t="s">
        <v>123</v>
      </c>
      <c r="N1018" t="s">
        <v>51</v>
      </c>
      <c r="O1018">
        <v>0</v>
      </c>
      <c r="P1018">
        <v>25551</v>
      </c>
      <c r="Q1018">
        <f t="shared" si="17"/>
        <v>2.5551000000000001E-2</v>
      </c>
      <c r="R1018">
        <v>43252</v>
      </c>
      <c r="S1018" t="s">
        <v>122</v>
      </c>
    </row>
    <row r="1019" spans="1:19">
      <c r="A1019">
        <v>60000384</v>
      </c>
      <c r="B1019">
        <v>21</v>
      </c>
      <c r="C1019" t="s">
        <v>18</v>
      </c>
      <c r="D1019" t="s">
        <v>40</v>
      </c>
      <c r="E1019" t="s">
        <v>52</v>
      </c>
      <c r="F1019" t="s">
        <v>21</v>
      </c>
      <c r="G1019" s="23">
        <v>0.2</v>
      </c>
      <c r="H1019" t="s">
        <v>29</v>
      </c>
      <c r="I1019" t="s">
        <v>60</v>
      </c>
      <c r="J1019" t="s">
        <v>54</v>
      </c>
      <c r="K1019" t="s">
        <v>90</v>
      </c>
      <c r="L1019" t="s">
        <v>26</v>
      </c>
      <c r="M1019" t="s">
        <v>123</v>
      </c>
      <c r="N1019" t="s">
        <v>51</v>
      </c>
      <c r="O1019">
        <v>0</v>
      </c>
      <c r="P1019">
        <v>43464</v>
      </c>
      <c r="Q1019">
        <f t="shared" si="17"/>
        <v>4.3464000000000003E-2</v>
      </c>
      <c r="R1019">
        <v>43252</v>
      </c>
      <c r="S1019" t="s">
        <v>122</v>
      </c>
    </row>
    <row r="1020" spans="1:19">
      <c r="A1020">
        <v>60000385</v>
      </c>
      <c r="B1020">
        <v>21</v>
      </c>
      <c r="C1020" t="s">
        <v>33</v>
      </c>
      <c r="D1020" t="s">
        <v>40</v>
      </c>
      <c r="E1020" t="s">
        <v>85</v>
      </c>
      <c r="F1020" t="s">
        <v>21</v>
      </c>
      <c r="G1020" s="23">
        <v>0.3</v>
      </c>
      <c r="H1020" t="s">
        <v>53</v>
      </c>
      <c r="I1020" t="s">
        <v>57</v>
      </c>
      <c r="J1020" t="s">
        <v>46</v>
      </c>
      <c r="K1020" t="s">
        <v>62</v>
      </c>
      <c r="L1020" t="s">
        <v>121</v>
      </c>
      <c r="M1020" t="s">
        <v>123</v>
      </c>
      <c r="N1020" t="s">
        <v>28</v>
      </c>
      <c r="O1020">
        <v>5</v>
      </c>
      <c r="P1020">
        <v>41890</v>
      </c>
      <c r="Q1020">
        <f t="shared" si="17"/>
        <v>4.1889999999999997E-2</v>
      </c>
      <c r="R1020">
        <v>43252</v>
      </c>
      <c r="S1020" t="s">
        <v>122</v>
      </c>
    </row>
    <row r="1021" spans="1:19">
      <c r="A1021">
        <v>60000386</v>
      </c>
      <c r="B1021">
        <v>36</v>
      </c>
      <c r="C1021" t="s">
        <v>33</v>
      </c>
      <c r="D1021" t="s">
        <v>19</v>
      </c>
      <c r="E1021" t="s">
        <v>52</v>
      </c>
      <c r="F1021" t="s">
        <v>21</v>
      </c>
      <c r="G1021" s="23">
        <v>0.17</v>
      </c>
      <c r="H1021" t="s">
        <v>22</v>
      </c>
      <c r="I1021" t="s">
        <v>65</v>
      </c>
      <c r="J1021" t="s">
        <v>24</v>
      </c>
      <c r="K1021" t="s">
        <v>111</v>
      </c>
      <c r="L1021" t="s">
        <v>119</v>
      </c>
      <c r="M1021" t="s">
        <v>123</v>
      </c>
      <c r="N1021" t="s">
        <v>28</v>
      </c>
      <c r="O1021">
        <v>7</v>
      </c>
      <c r="P1021">
        <v>36063</v>
      </c>
      <c r="Q1021">
        <f t="shared" si="17"/>
        <v>3.6062999999999998E-2</v>
      </c>
      <c r="R1021">
        <v>43252</v>
      </c>
      <c r="S1021" t="s">
        <v>122</v>
      </c>
    </row>
    <row r="1022" spans="1:19">
      <c r="A1022">
        <v>60000387</v>
      </c>
      <c r="B1022">
        <v>52</v>
      </c>
      <c r="C1022" t="s">
        <v>18</v>
      </c>
      <c r="D1022" t="s">
        <v>19</v>
      </c>
      <c r="E1022" t="s">
        <v>85</v>
      </c>
      <c r="F1022" t="s">
        <v>21</v>
      </c>
      <c r="G1022" s="23">
        <v>0.24</v>
      </c>
      <c r="H1022" t="s">
        <v>29</v>
      </c>
      <c r="I1022" t="s">
        <v>70</v>
      </c>
      <c r="J1022" t="s">
        <v>78</v>
      </c>
      <c r="K1022" t="s">
        <v>60</v>
      </c>
      <c r="L1022" t="s">
        <v>26</v>
      </c>
      <c r="M1022" t="s">
        <v>123</v>
      </c>
      <c r="N1022" t="s">
        <v>51</v>
      </c>
      <c r="O1022">
        <v>0</v>
      </c>
      <c r="P1022">
        <v>80040</v>
      </c>
      <c r="Q1022">
        <f t="shared" si="17"/>
        <v>8.004E-2</v>
      </c>
      <c r="R1022">
        <v>43252</v>
      </c>
      <c r="S1022" t="s">
        <v>122</v>
      </c>
    </row>
    <row r="1023" spans="1:19">
      <c r="A1023">
        <v>60000388</v>
      </c>
      <c r="B1023">
        <v>47</v>
      </c>
      <c r="C1023" t="s">
        <v>33</v>
      </c>
      <c r="D1023" t="s">
        <v>40</v>
      </c>
      <c r="E1023" t="s">
        <v>41</v>
      </c>
      <c r="F1023" t="s">
        <v>21</v>
      </c>
      <c r="G1023" s="23">
        <v>0.32</v>
      </c>
      <c r="H1023" t="s">
        <v>42</v>
      </c>
      <c r="I1023" t="s">
        <v>80</v>
      </c>
      <c r="J1023" t="s">
        <v>66</v>
      </c>
      <c r="K1023" t="s">
        <v>82</v>
      </c>
      <c r="L1023" t="s">
        <v>121</v>
      </c>
      <c r="M1023" t="s">
        <v>123</v>
      </c>
      <c r="N1023" t="s">
        <v>28</v>
      </c>
      <c r="O1023">
        <v>1</v>
      </c>
      <c r="P1023">
        <v>72998</v>
      </c>
      <c r="Q1023">
        <f t="shared" si="17"/>
        <v>7.2997999999999993E-2</v>
      </c>
      <c r="R1023">
        <v>43252</v>
      </c>
      <c r="S1023" t="s">
        <v>122</v>
      </c>
    </row>
    <row r="1024" spans="1:19">
      <c r="A1024">
        <v>60000389</v>
      </c>
      <c r="B1024">
        <v>44</v>
      </c>
      <c r="C1024" t="s">
        <v>33</v>
      </c>
      <c r="D1024" t="s">
        <v>19</v>
      </c>
      <c r="E1024" t="s">
        <v>64</v>
      </c>
      <c r="F1024" t="s">
        <v>21</v>
      </c>
      <c r="G1024" s="23">
        <v>0.12</v>
      </c>
      <c r="H1024" t="s">
        <v>22</v>
      </c>
      <c r="I1024" t="s">
        <v>86</v>
      </c>
      <c r="J1024" t="s">
        <v>61</v>
      </c>
      <c r="K1024" t="s">
        <v>111</v>
      </c>
      <c r="L1024" t="s">
        <v>121</v>
      </c>
      <c r="M1024" t="s">
        <v>123</v>
      </c>
      <c r="N1024" t="s">
        <v>28</v>
      </c>
      <c r="O1024">
        <v>0</v>
      </c>
      <c r="P1024">
        <v>66477</v>
      </c>
      <c r="Q1024">
        <f t="shared" si="17"/>
        <v>6.6476999999999994E-2</v>
      </c>
      <c r="R1024">
        <v>43252</v>
      </c>
      <c r="S1024" t="s">
        <v>122</v>
      </c>
    </row>
    <row r="1025" spans="1:19">
      <c r="A1025">
        <v>60000390</v>
      </c>
      <c r="B1025">
        <v>23</v>
      </c>
      <c r="C1025" t="s">
        <v>33</v>
      </c>
      <c r="D1025" t="s">
        <v>40</v>
      </c>
      <c r="E1025" t="s">
        <v>52</v>
      </c>
      <c r="F1025" t="s">
        <v>21</v>
      </c>
      <c r="G1025" s="23">
        <v>0.13</v>
      </c>
      <c r="H1025" t="s">
        <v>22</v>
      </c>
      <c r="I1025" t="s">
        <v>65</v>
      </c>
      <c r="J1025" t="s">
        <v>88</v>
      </c>
      <c r="K1025" t="s">
        <v>49</v>
      </c>
      <c r="L1025" t="s">
        <v>121</v>
      </c>
      <c r="M1025" t="s">
        <v>123</v>
      </c>
      <c r="N1025" t="s">
        <v>28</v>
      </c>
      <c r="O1025">
        <v>7</v>
      </c>
      <c r="P1025">
        <v>48518</v>
      </c>
      <c r="Q1025">
        <f t="shared" si="17"/>
        <v>4.8517999999999999E-2</v>
      </c>
      <c r="R1025">
        <v>43252</v>
      </c>
      <c r="S1025" t="s">
        <v>122</v>
      </c>
    </row>
    <row r="1026" spans="1:19">
      <c r="A1026">
        <v>60000391</v>
      </c>
      <c r="B1026">
        <v>37</v>
      </c>
      <c r="C1026" t="s">
        <v>18</v>
      </c>
      <c r="D1026" t="s">
        <v>19</v>
      </c>
      <c r="E1026" t="s">
        <v>56</v>
      </c>
      <c r="F1026" t="s">
        <v>21</v>
      </c>
      <c r="G1026" s="23">
        <v>0.14000000000000001</v>
      </c>
      <c r="H1026" t="s">
        <v>22</v>
      </c>
      <c r="I1026" t="s">
        <v>60</v>
      </c>
      <c r="J1026" t="s">
        <v>58</v>
      </c>
      <c r="K1026" t="s">
        <v>77</v>
      </c>
      <c r="L1026" t="s">
        <v>119</v>
      </c>
      <c r="M1026" t="s">
        <v>123</v>
      </c>
      <c r="N1026" t="s">
        <v>28</v>
      </c>
      <c r="O1026">
        <v>4</v>
      </c>
      <c r="P1026">
        <v>34127</v>
      </c>
      <c r="Q1026">
        <f t="shared" si="17"/>
        <v>3.4126999999999998E-2</v>
      </c>
      <c r="R1026">
        <v>43252</v>
      </c>
      <c r="S1026" t="s">
        <v>122</v>
      </c>
    </row>
    <row r="1027" spans="1:19">
      <c r="A1027">
        <v>60000392</v>
      </c>
      <c r="B1027">
        <v>47</v>
      </c>
      <c r="C1027" t="s">
        <v>18</v>
      </c>
      <c r="D1027" t="s">
        <v>19</v>
      </c>
      <c r="E1027" t="s">
        <v>20</v>
      </c>
      <c r="F1027" t="s">
        <v>21</v>
      </c>
      <c r="G1027" s="23">
        <v>0.21</v>
      </c>
      <c r="H1027" t="s">
        <v>29</v>
      </c>
      <c r="I1027" t="s">
        <v>37</v>
      </c>
      <c r="J1027" t="s">
        <v>88</v>
      </c>
      <c r="K1027" t="s">
        <v>117</v>
      </c>
      <c r="L1027" t="s">
        <v>26</v>
      </c>
      <c r="M1027" t="s">
        <v>123</v>
      </c>
      <c r="N1027" t="s">
        <v>28</v>
      </c>
      <c r="O1027">
        <v>0</v>
      </c>
      <c r="P1027">
        <v>64482</v>
      </c>
      <c r="Q1027">
        <f t="shared" si="17"/>
        <v>6.4481999999999998E-2</v>
      </c>
      <c r="R1027">
        <v>43252</v>
      </c>
      <c r="S1027" t="s">
        <v>122</v>
      </c>
    </row>
    <row r="1028" spans="1:19">
      <c r="A1028">
        <v>60000393</v>
      </c>
      <c r="B1028">
        <v>44</v>
      </c>
      <c r="C1028" t="s">
        <v>33</v>
      </c>
      <c r="D1028" t="s">
        <v>40</v>
      </c>
      <c r="E1028" t="s">
        <v>34</v>
      </c>
      <c r="F1028" t="s">
        <v>21</v>
      </c>
      <c r="G1028" s="23">
        <v>0.21</v>
      </c>
      <c r="H1028" t="s">
        <v>29</v>
      </c>
      <c r="I1028" t="s">
        <v>86</v>
      </c>
      <c r="J1028" t="s">
        <v>78</v>
      </c>
      <c r="K1028" t="s">
        <v>39</v>
      </c>
      <c r="L1028" t="s">
        <v>119</v>
      </c>
      <c r="M1028" t="s">
        <v>123</v>
      </c>
      <c r="N1028" t="s">
        <v>28</v>
      </c>
      <c r="O1028">
        <v>6</v>
      </c>
      <c r="P1028">
        <v>54672</v>
      </c>
      <c r="Q1028">
        <f t="shared" si="17"/>
        <v>5.4671999999999998E-2</v>
      </c>
      <c r="R1028">
        <v>43252</v>
      </c>
      <c r="S1028" t="s">
        <v>122</v>
      </c>
    </row>
    <row r="1029" spans="1:19">
      <c r="A1029">
        <v>60000394</v>
      </c>
      <c r="B1029">
        <v>45</v>
      </c>
      <c r="C1029" t="s">
        <v>33</v>
      </c>
      <c r="D1029" t="s">
        <v>40</v>
      </c>
      <c r="E1029" t="s">
        <v>85</v>
      </c>
      <c r="F1029" t="s">
        <v>21</v>
      </c>
      <c r="G1029" s="23">
        <v>0.17</v>
      </c>
      <c r="H1029" t="s">
        <v>22</v>
      </c>
      <c r="I1029" t="s">
        <v>68</v>
      </c>
      <c r="J1029" t="s">
        <v>88</v>
      </c>
      <c r="K1029" t="s">
        <v>82</v>
      </c>
      <c r="L1029" t="s">
        <v>121</v>
      </c>
      <c r="M1029" t="s">
        <v>123</v>
      </c>
      <c r="N1029" t="s">
        <v>28</v>
      </c>
      <c r="O1029">
        <v>4</v>
      </c>
      <c r="P1029">
        <v>51554</v>
      </c>
      <c r="Q1029">
        <f t="shared" si="17"/>
        <v>5.1554000000000003E-2</v>
      </c>
      <c r="R1029">
        <v>43252</v>
      </c>
      <c r="S1029" t="s">
        <v>122</v>
      </c>
    </row>
    <row r="1030" spans="1:19">
      <c r="A1030">
        <v>60000395</v>
      </c>
      <c r="B1030">
        <v>25</v>
      </c>
      <c r="C1030" t="s">
        <v>33</v>
      </c>
      <c r="D1030" t="s">
        <v>19</v>
      </c>
      <c r="E1030" t="s">
        <v>64</v>
      </c>
      <c r="F1030" t="s">
        <v>21</v>
      </c>
      <c r="G1030" s="23">
        <v>0.37</v>
      </c>
      <c r="H1030" t="s">
        <v>42</v>
      </c>
      <c r="I1030" t="s">
        <v>73</v>
      </c>
      <c r="J1030" t="s">
        <v>38</v>
      </c>
      <c r="K1030" t="s">
        <v>101</v>
      </c>
      <c r="L1030" t="s">
        <v>26</v>
      </c>
      <c r="M1030" t="s">
        <v>123</v>
      </c>
      <c r="N1030" t="s">
        <v>51</v>
      </c>
      <c r="O1030">
        <v>0</v>
      </c>
      <c r="P1030">
        <v>44090</v>
      </c>
      <c r="Q1030">
        <f t="shared" si="17"/>
        <v>4.4089999999999997E-2</v>
      </c>
      <c r="R1030">
        <v>43252</v>
      </c>
      <c r="S1030" t="s">
        <v>122</v>
      </c>
    </row>
    <row r="1031" spans="1:19">
      <c r="A1031">
        <v>60000396</v>
      </c>
      <c r="B1031">
        <v>31</v>
      </c>
      <c r="C1031" t="s">
        <v>18</v>
      </c>
      <c r="D1031" t="s">
        <v>40</v>
      </c>
      <c r="E1031" t="s">
        <v>52</v>
      </c>
      <c r="F1031" t="s">
        <v>21</v>
      </c>
      <c r="G1031" s="23">
        <v>0.23</v>
      </c>
      <c r="H1031" t="s">
        <v>29</v>
      </c>
      <c r="I1031" t="s">
        <v>73</v>
      </c>
      <c r="J1031" t="s">
        <v>24</v>
      </c>
      <c r="K1031" t="s">
        <v>101</v>
      </c>
      <c r="L1031" t="s">
        <v>26</v>
      </c>
      <c r="M1031" t="s">
        <v>123</v>
      </c>
      <c r="N1031" t="s">
        <v>28</v>
      </c>
      <c r="O1031">
        <v>0</v>
      </c>
      <c r="P1031">
        <v>81393</v>
      </c>
      <c r="Q1031">
        <f t="shared" si="17"/>
        <v>8.1392999999999993E-2</v>
      </c>
      <c r="R1031">
        <v>43252</v>
      </c>
      <c r="S1031" t="s">
        <v>122</v>
      </c>
    </row>
    <row r="1032" spans="1:19">
      <c r="A1032">
        <v>60000397</v>
      </c>
      <c r="B1032">
        <v>44</v>
      </c>
      <c r="C1032" t="s">
        <v>33</v>
      </c>
      <c r="D1032" t="s">
        <v>40</v>
      </c>
      <c r="E1032" t="s">
        <v>75</v>
      </c>
      <c r="F1032" t="s">
        <v>21</v>
      </c>
      <c r="G1032" s="23">
        <v>0.33</v>
      </c>
      <c r="H1032" t="s">
        <v>42</v>
      </c>
      <c r="I1032" t="s">
        <v>80</v>
      </c>
      <c r="J1032" t="s">
        <v>24</v>
      </c>
      <c r="K1032" t="s">
        <v>112</v>
      </c>
      <c r="L1032" t="s">
        <v>26</v>
      </c>
      <c r="M1032" t="s">
        <v>123</v>
      </c>
      <c r="N1032" t="s">
        <v>28</v>
      </c>
      <c r="O1032">
        <v>1</v>
      </c>
      <c r="P1032">
        <v>35847</v>
      </c>
      <c r="Q1032">
        <f t="shared" si="17"/>
        <v>3.5846999999999997E-2</v>
      </c>
      <c r="R1032">
        <v>43252</v>
      </c>
      <c r="S1032" t="s">
        <v>122</v>
      </c>
    </row>
    <row r="1033" spans="1:19">
      <c r="A1033">
        <v>60000398</v>
      </c>
      <c r="B1033">
        <v>31</v>
      </c>
      <c r="C1033" t="s">
        <v>33</v>
      </c>
      <c r="D1033" t="s">
        <v>40</v>
      </c>
      <c r="E1033" t="s">
        <v>56</v>
      </c>
      <c r="F1033" t="s">
        <v>21</v>
      </c>
      <c r="G1033" s="23">
        <v>0.27</v>
      </c>
      <c r="H1033" t="s">
        <v>53</v>
      </c>
      <c r="I1033" t="s">
        <v>80</v>
      </c>
      <c r="J1033" t="s">
        <v>66</v>
      </c>
      <c r="K1033" t="s">
        <v>113</v>
      </c>
      <c r="L1033" t="s">
        <v>26</v>
      </c>
      <c r="M1033" t="s">
        <v>123</v>
      </c>
      <c r="N1033" t="s">
        <v>51</v>
      </c>
      <c r="O1033">
        <v>3</v>
      </c>
      <c r="P1033">
        <v>73014</v>
      </c>
      <c r="Q1033">
        <f t="shared" si="17"/>
        <v>7.3013999999999996E-2</v>
      </c>
      <c r="R1033">
        <v>43252</v>
      </c>
      <c r="S1033" t="s">
        <v>122</v>
      </c>
    </row>
    <row r="1034" spans="1:19">
      <c r="A1034">
        <v>60000399</v>
      </c>
      <c r="B1034">
        <v>40</v>
      </c>
      <c r="C1034" t="s">
        <v>18</v>
      </c>
      <c r="D1034" t="s">
        <v>19</v>
      </c>
      <c r="E1034" t="s">
        <v>48</v>
      </c>
      <c r="F1034" t="s">
        <v>21</v>
      </c>
      <c r="G1034" s="23">
        <v>0.16</v>
      </c>
      <c r="H1034" t="s">
        <v>22</v>
      </c>
      <c r="I1034" t="s">
        <v>83</v>
      </c>
      <c r="J1034" t="s">
        <v>31</v>
      </c>
      <c r="K1034" t="s">
        <v>111</v>
      </c>
      <c r="L1034" t="s">
        <v>26</v>
      </c>
      <c r="M1034" t="s">
        <v>123</v>
      </c>
      <c r="N1034" t="s">
        <v>28</v>
      </c>
      <c r="O1034">
        <v>2</v>
      </c>
      <c r="P1034">
        <v>48965</v>
      </c>
      <c r="Q1034">
        <f t="shared" si="17"/>
        <v>4.8965000000000002E-2</v>
      </c>
      <c r="R1034">
        <v>43252</v>
      </c>
      <c r="S1034" t="s">
        <v>122</v>
      </c>
    </row>
    <row r="1035" spans="1:19">
      <c r="A1035">
        <v>60000400</v>
      </c>
      <c r="B1035">
        <v>20</v>
      </c>
      <c r="C1035" t="s">
        <v>18</v>
      </c>
      <c r="D1035" t="s">
        <v>19</v>
      </c>
      <c r="E1035" t="s">
        <v>44</v>
      </c>
      <c r="F1035" t="s">
        <v>21</v>
      </c>
      <c r="G1035" s="23">
        <v>0.15</v>
      </c>
      <c r="H1035" t="s">
        <v>22</v>
      </c>
      <c r="I1035" t="s">
        <v>83</v>
      </c>
      <c r="J1035" t="s">
        <v>88</v>
      </c>
      <c r="K1035" t="s">
        <v>62</v>
      </c>
      <c r="L1035" t="s">
        <v>119</v>
      </c>
      <c r="M1035" t="s">
        <v>123</v>
      </c>
      <c r="N1035" t="s">
        <v>51</v>
      </c>
      <c r="O1035">
        <v>0</v>
      </c>
      <c r="P1035">
        <v>23504</v>
      </c>
      <c r="Q1035">
        <f t="shared" si="17"/>
        <v>2.3504000000000001E-2</v>
      </c>
      <c r="R1035">
        <v>43252</v>
      </c>
      <c r="S1035" t="s">
        <v>122</v>
      </c>
    </row>
    <row r="1036" spans="1:19">
      <c r="A1036">
        <v>60000401</v>
      </c>
      <c r="B1036">
        <v>27</v>
      </c>
      <c r="C1036" t="s">
        <v>18</v>
      </c>
      <c r="D1036" t="s">
        <v>19</v>
      </c>
      <c r="E1036" t="s">
        <v>85</v>
      </c>
      <c r="F1036" t="s">
        <v>21</v>
      </c>
      <c r="G1036" s="23">
        <v>0.12</v>
      </c>
      <c r="H1036" t="s">
        <v>22</v>
      </c>
      <c r="I1036" t="s">
        <v>76</v>
      </c>
      <c r="J1036" t="s">
        <v>74</v>
      </c>
      <c r="K1036" t="s">
        <v>99</v>
      </c>
      <c r="L1036" t="s">
        <v>26</v>
      </c>
      <c r="M1036" t="s">
        <v>123</v>
      </c>
      <c r="N1036" t="s">
        <v>51</v>
      </c>
      <c r="O1036">
        <v>0</v>
      </c>
      <c r="P1036">
        <v>28997</v>
      </c>
      <c r="Q1036">
        <f t="shared" si="17"/>
        <v>2.8996999999999998E-2</v>
      </c>
      <c r="R1036">
        <v>43252</v>
      </c>
      <c r="S1036" t="s">
        <v>122</v>
      </c>
    </row>
    <row r="1037" spans="1:19">
      <c r="A1037">
        <v>60000402</v>
      </c>
      <c r="B1037">
        <v>20</v>
      </c>
      <c r="C1037" t="s">
        <v>33</v>
      </c>
      <c r="D1037" t="s">
        <v>40</v>
      </c>
      <c r="E1037" t="s">
        <v>52</v>
      </c>
      <c r="F1037" t="s">
        <v>21</v>
      </c>
      <c r="G1037" s="23">
        <v>0.37</v>
      </c>
      <c r="H1037" t="s">
        <v>42</v>
      </c>
      <c r="I1037" t="s">
        <v>70</v>
      </c>
      <c r="J1037" t="s">
        <v>78</v>
      </c>
      <c r="K1037" t="s">
        <v>84</v>
      </c>
      <c r="L1037" t="s">
        <v>26</v>
      </c>
      <c r="M1037" t="s">
        <v>123</v>
      </c>
      <c r="N1037" t="s">
        <v>28</v>
      </c>
      <c r="O1037">
        <v>0</v>
      </c>
      <c r="P1037">
        <v>29285</v>
      </c>
      <c r="Q1037">
        <f t="shared" si="17"/>
        <v>2.9284999999999999E-2</v>
      </c>
      <c r="R1037">
        <v>43252</v>
      </c>
      <c r="S1037" t="s">
        <v>122</v>
      </c>
    </row>
    <row r="1038" spans="1:19">
      <c r="A1038">
        <v>60000403</v>
      </c>
      <c r="B1038">
        <v>58</v>
      </c>
      <c r="C1038" t="s">
        <v>18</v>
      </c>
      <c r="D1038" t="s">
        <v>19</v>
      </c>
      <c r="E1038" t="s">
        <v>48</v>
      </c>
      <c r="F1038" t="s">
        <v>21</v>
      </c>
      <c r="G1038" s="23">
        <v>0.14000000000000001</v>
      </c>
      <c r="H1038" t="s">
        <v>22</v>
      </c>
      <c r="I1038" t="s">
        <v>70</v>
      </c>
      <c r="J1038" t="s">
        <v>78</v>
      </c>
      <c r="K1038" t="s">
        <v>103</v>
      </c>
      <c r="L1038" t="s">
        <v>121</v>
      </c>
      <c r="M1038" t="s">
        <v>123</v>
      </c>
      <c r="N1038" t="s">
        <v>28</v>
      </c>
      <c r="O1038">
        <v>0</v>
      </c>
      <c r="P1038">
        <v>47552</v>
      </c>
      <c r="Q1038">
        <f t="shared" si="17"/>
        <v>4.7551999999999997E-2</v>
      </c>
      <c r="R1038">
        <v>43252</v>
      </c>
      <c r="S1038" t="s">
        <v>122</v>
      </c>
    </row>
    <row r="1039" spans="1:19">
      <c r="A1039">
        <v>60000404</v>
      </c>
      <c r="B1039">
        <v>49</v>
      </c>
      <c r="C1039" t="s">
        <v>33</v>
      </c>
      <c r="D1039" t="s">
        <v>19</v>
      </c>
      <c r="E1039" t="s">
        <v>34</v>
      </c>
      <c r="F1039" t="s">
        <v>21</v>
      </c>
      <c r="G1039" s="23">
        <v>0.36</v>
      </c>
      <c r="H1039" t="s">
        <v>42</v>
      </c>
      <c r="I1039" t="s">
        <v>80</v>
      </c>
      <c r="J1039" t="s">
        <v>66</v>
      </c>
      <c r="K1039" t="s">
        <v>104</v>
      </c>
      <c r="L1039" t="s">
        <v>121</v>
      </c>
      <c r="M1039" t="s">
        <v>123</v>
      </c>
      <c r="N1039" t="s">
        <v>51</v>
      </c>
      <c r="O1039">
        <v>7</v>
      </c>
      <c r="P1039">
        <v>69505</v>
      </c>
      <c r="Q1039">
        <f t="shared" si="17"/>
        <v>6.9504999999999997E-2</v>
      </c>
      <c r="R1039">
        <v>43252</v>
      </c>
      <c r="S1039" t="s">
        <v>122</v>
      </c>
    </row>
    <row r="1040" spans="1:19">
      <c r="A1040">
        <v>60000405</v>
      </c>
      <c r="B1040">
        <v>59</v>
      </c>
      <c r="C1040" t="s">
        <v>18</v>
      </c>
      <c r="D1040" t="s">
        <v>40</v>
      </c>
      <c r="E1040" t="s">
        <v>52</v>
      </c>
      <c r="F1040" t="s">
        <v>21</v>
      </c>
      <c r="G1040" s="23">
        <v>0.12</v>
      </c>
      <c r="H1040" t="s">
        <v>22</v>
      </c>
      <c r="I1040" t="s">
        <v>80</v>
      </c>
      <c r="J1040" t="s">
        <v>24</v>
      </c>
      <c r="K1040" t="s">
        <v>49</v>
      </c>
      <c r="L1040" t="s">
        <v>121</v>
      </c>
      <c r="M1040" t="s">
        <v>123</v>
      </c>
      <c r="N1040" t="s">
        <v>28</v>
      </c>
      <c r="O1040">
        <v>0</v>
      </c>
      <c r="P1040">
        <v>67632</v>
      </c>
      <c r="Q1040">
        <f t="shared" si="17"/>
        <v>6.7631999999999998E-2</v>
      </c>
      <c r="R1040">
        <v>43252</v>
      </c>
      <c r="S1040" t="s">
        <v>122</v>
      </c>
    </row>
    <row r="1041" spans="1:19">
      <c r="A1041">
        <v>60000406</v>
      </c>
      <c r="B1041">
        <v>20</v>
      </c>
      <c r="C1041" t="s">
        <v>33</v>
      </c>
      <c r="D1041" t="s">
        <v>19</v>
      </c>
      <c r="E1041" t="s">
        <v>41</v>
      </c>
      <c r="F1041" t="s">
        <v>21</v>
      </c>
      <c r="G1041" s="23">
        <v>0.21</v>
      </c>
      <c r="H1041" t="s">
        <v>29</v>
      </c>
      <c r="I1041" t="s">
        <v>45</v>
      </c>
      <c r="J1041" t="s">
        <v>91</v>
      </c>
      <c r="K1041" t="s">
        <v>106</v>
      </c>
      <c r="L1041" t="s">
        <v>119</v>
      </c>
      <c r="M1041" t="s">
        <v>123</v>
      </c>
      <c r="N1041" t="s">
        <v>28</v>
      </c>
      <c r="O1041">
        <v>0</v>
      </c>
      <c r="P1041">
        <v>60132</v>
      </c>
      <c r="Q1041">
        <f t="shared" si="17"/>
        <v>6.0131999999999998E-2</v>
      </c>
      <c r="R1041">
        <v>43252</v>
      </c>
      <c r="S1041" t="s">
        <v>122</v>
      </c>
    </row>
    <row r="1042" spans="1:19">
      <c r="A1042">
        <v>60000407</v>
      </c>
      <c r="B1042">
        <v>36</v>
      </c>
      <c r="C1042" t="s">
        <v>33</v>
      </c>
      <c r="D1042" t="s">
        <v>40</v>
      </c>
      <c r="E1042" t="s">
        <v>64</v>
      </c>
      <c r="F1042" t="s">
        <v>21</v>
      </c>
      <c r="G1042" s="23">
        <v>0.38</v>
      </c>
      <c r="H1042" t="s">
        <v>42</v>
      </c>
      <c r="I1042" t="s">
        <v>37</v>
      </c>
      <c r="J1042" t="s">
        <v>46</v>
      </c>
      <c r="K1042" t="s">
        <v>107</v>
      </c>
      <c r="L1042" t="s">
        <v>26</v>
      </c>
      <c r="M1042" t="s">
        <v>123</v>
      </c>
      <c r="N1042" t="s">
        <v>28</v>
      </c>
      <c r="O1042">
        <v>6</v>
      </c>
      <c r="P1042">
        <v>81351</v>
      </c>
      <c r="Q1042">
        <f t="shared" si="17"/>
        <v>8.1351000000000007E-2</v>
      </c>
      <c r="R1042">
        <v>43252</v>
      </c>
      <c r="S1042" t="s">
        <v>122</v>
      </c>
    </row>
    <row r="1043" spans="1:19">
      <c r="A1043">
        <v>60000408</v>
      </c>
      <c r="B1043">
        <v>62</v>
      </c>
      <c r="C1043" t="s">
        <v>18</v>
      </c>
      <c r="D1043" t="s">
        <v>19</v>
      </c>
      <c r="E1043" t="s">
        <v>34</v>
      </c>
      <c r="F1043" t="s">
        <v>21</v>
      </c>
      <c r="G1043" s="23">
        <v>0.32</v>
      </c>
      <c r="H1043" t="s">
        <v>42</v>
      </c>
      <c r="I1043" t="s">
        <v>37</v>
      </c>
      <c r="J1043" t="s">
        <v>58</v>
      </c>
      <c r="K1043" t="s">
        <v>62</v>
      </c>
      <c r="L1043" t="s">
        <v>26</v>
      </c>
      <c r="M1043" t="s">
        <v>123</v>
      </c>
      <c r="N1043" t="s">
        <v>51</v>
      </c>
      <c r="O1043">
        <v>1</v>
      </c>
      <c r="P1043">
        <v>56880</v>
      </c>
      <c r="Q1043">
        <f t="shared" si="17"/>
        <v>5.688E-2</v>
      </c>
      <c r="R1043">
        <v>43252</v>
      </c>
      <c r="S1043" t="s">
        <v>122</v>
      </c>
    </row>
    <row r="1044" spans="1:19">
      <c r="A1044">
        <v>60000409</v>
      </c>
      <c r="B1044">
        <v>37</v>
      </c>
      <c r="C1044" t="s">
        <v>33</v>
      </c>
      <c r="D1044" t="s">
        <v>40</v>
      </c>
      <c r="E1044" t="s">
        <v>41</v>
      </c>
      <c r="F1044" t="s">
        <v>21</v>
      </c>
      <c r="G1044" s="23">
        <v>0.3</v>
      </c>
      <c r="H1044" t="s">
        <v>53</v>
      </c>
      <c r="I1044" t="s">
        <v>70</v>
      </c>
      <c r="J1044" t="s">
        <v>54</v>
      </c>
      <c r="K1044" t="s">
        <v>111</v>
      </c>
      <c r="L1044" t="s">
        <v>119</v>
      </c>
      <c r="M1044" t="s">
        <v>123</v>
      </c>
      <c r="N1044" t="s">
        <v>28</v>
      </c>
      <c r="O1044">
        <v>1</v>
      </c>
      <c r="P1044">
        <v>58453</v>
      </c>
      <c r="Q1044">
        <f t="shared" si="17"/>
        <v>5.8452999999999998E-2</v>
      </c>
      <c r="R1044">
        <v>43252</v>
      </c>
      <c r="S1044" t="s">
        <v>122</v>
      </c>
    </row>
    <row r="1045" spans="1:19">
      <c r="A1045">
        <v>60000410</v>
      </c>
      <c r="B1045">
        <v>54</v>
      </c>
      <c r="C1045" t="s">
        <v>33</v>
      </c>
      <c r="D1045" t="s">
        <v>40</v>
      </c>
      <c r="E1045" t="s">
        <v>20</v>
      </c>
      <c r="F1045" t="s">
        <v>21</v>
      </c>
      <c r="G1045" s="23">
        <v>0.2</v>
      </c>
      <c r="H1045" t="s">
        <v>29</v>
      </c>
      <c r="I1045" t="s">
        <v>65</v>
      </c>
      <c r="J1045" t="s">
        <v>61</v>
      </c>
      <c r="K1045" t="s">
        <v>92</v>
      </c>
      <c r="L1045" t="s">
        <v>119</v>
      </c>
      <c r="M1045" t="s">
        <v>123</v>
      </c>
      <c r="N1045" t="s">
        <v>28</v>
      </c>
      <c r="O1045">
        <v>5</v>
      </c>
      <c r="P1045">
        <v>67984</v>
      </c>
      <c r="Q1045">
        <f t="shared" si="17"/>
        <v>6.7984000000000003E-2</v>
      </c>
      <c r="R1045">
        <v>43252</v>
      </c>
      <c r="S1045" t="s">
        <v>122</v>
      </c>
    </row>
    <row r="1046" spans="1:19">
      <c r="A1046">
        <v>60000411</v>
      </c>
      <c r="B1046">
        <v>55</v>
      </c>
      <c r="C1046" t="s">
        <v>18</v>
      </c>
      <c r="D1046" t="s">
        <v>19</v>
      </c>
      <c r="E1046" t="s">
        <v>44</v>
      </c>
      <c r="F1046" t="s">
        <v>21</v>
      </c>
      <c r="G1046" s="23">
        <v>0.32</v>
      </c>
      <c r="H1046" t="s">
        <v>42</v>
      </c>
      <c r="I1046" t="s">
        <v>83</v>
      </c>
      <c r="J1046" t="s">
        <v>61</v>
      </c>
      <c r="K1046" t="s">
        <v>90</v>
      </c>
      <c r="L1046" t="s">
        <v>26</v>
      </c>
      <c r="M1046" t="s">
        <v>123</v>
      </c>
      <c r="N1046" t="s">
        <v>28</v>
      </c>
      <c r="O1046">
        <v>1</v>
      </c>
      <c r="P1046">
        <v>72612</v>
      </c>
      <c r="Q1046">
        <f t="shared" si="17"/>
        <v>7.2611999999999996E-2</v>
      </c>
      <c r="R1046">
        <v>43252</v>
      </c>
      <c r="S1046" t="s">
        <v>122</v>
      </c>
    </row>
    <row r="1047" spans="1:19">
      <c r="A1047">
        <v>60000412</v>
      </c>
      <c r="B1047">
        <v>30</v>
      </c>
      <c r="C1047" t="s">
        <v>33</v>
      </c>
      <c r="D1047" t="s">
        <v>40</v>
      </c>
      <c r="E1047" t="s">
        <v>72</v>
      </c>
      <c r="F1047" t="s">
        <v>21</v>
      </c>
      <c r="G1047" s="23">
        <v>0.33</v>
      </c>
      <c r="H1047" t="s">
        <v>42</v>
      </c>
      <c r="I1047" t="s">
        <v>86</v>
      </c>
      <c r="J1047" t="s">
        <v>54</v>
      </c>
      <c r="K1047" t="s">
        <v>102</v>
      </c>
      <c r="L1047" t="s">
        <v>121</v>
      </c>
      <c r="M1047" t="s">
        <v>123</v>
      </c>
      <c r="N1047" t="s">
        <v>28</v>
      </c>
      <c r="O1047">
        <v>0</v>
      </c>
      <c r="P1047">
        <v>27132</v>
      </c>
      <c r="Q1047">
        <f t="shared" si="17"/>
        <v>2.7132E-2</v>
      </c>
      <c r="R1047">
        <v>43252</v>
      </c>
      <c r="S1047" t="s">
        <v>122</v>
      </c>
    </row>
    <row r="1048" spans="1:19">
      <c r="A1048">
        <v>60000413</v>
      </c>
      <c r="B1048">
        <v>48</v>
      </c>
      <c r="C1048" t="s">
        <v>18</v>
      </c>
      <c r="D1048" t="s">
        <v>40</v>
      </c>
      <c r="E1048" t="s">
        <v>85</v>
      </c>
      <c r="F1048" t="s">
        <v>21</v>
      </c>
      <c r="G1048" s="23">
        <v>0.36</v>
      </c>
      <c r="H1048" t="s">
        <v>42</v>
      </c>
      <c r="I1048" t="s">
        <v>73</v>
      </c>
      <c r="J1048" t="s">
        <v>58</v>
      </c>
      <c r="K1048" t="s">
        <v>97</v>
      </c>
      <c r="L1048" t="s">
        <v>26</v>
      </c>
      <c r="M1048" t="s">
        <v>123</v>
      </c>
      <c r="N1048" t="s">
        <v>28</v>
      </c>
      <c r="O1048">
        <v>0</v>
      </c>
      <c r="P1048">
        <v>42131</v>
      </c>
      <c r="Q1048">
        <f t="shared" si="17"/>
        <v>4.2131000000000002E-2</v>
      </c>
      <c r="R1048">
        <v>43252</v>
      </c>
      <c r="S1048" t="s">
        <v>122</v>
      </c>
    </row>
    <row r="1049" spans="1:19">
      <c r="A1049">
        <v>60000414</v>
      </c>
      <c r="B1049">
        <v>57</v>
      </c>
      <c r="C1049" t="s">
        <v>33</v>
      </c>
      <c r="D1049" t="s">
        <v>19</v>
      </c>
      <c r="E1049" t="s">
        <v>67</v>
      </c>
      <c r="F1049" t="s">
        <v>21</v>
      </c>
      <c r="G1049" s="23">
        <v>0.21</v>
      </c>
      <c r="H1049" t="s">
        <v>29</v>
      </c>
      <c r="I1049" t="s">
        <v>70</v>
      </c>
      <c r="J1049" t="s">
        <v>46</v>
      </c>
      <c r="K1049" t="s">
        <v>79</v>
      </c>
      <c r="L1049" t="s">
        <v>119</v>
      </c>
      <c r="M1049" t="s">
        <v>123</v>
      </c>
      <c r="N1049" t="s">
        <v>51</v>
      </c>
      <c r="O1049">
        <v>4</v>
      </c>
      <c r="P1049">
        <v>31293</v>
      </c>
      <c r="Q1049">
        <f t="shared" ref="Q1049:Q1112" si="18">+P1049/1000000</f>
        <v>3.1293000000000001E-2</v>
      </c>
      <c r="R1049">
        <v>43252</v>
      </c>
      <c r="S1049" t="s">
        <v>122</v>
      </c>
    </row>
    <row r="1050" spans="1:19">
      <c r="A1050">
        <v>60000415</v>
      </c>
      <c r="B1050">
        <v>36</v>
      </c>
      <c r="C1050" t="s">
        <v>18</v>
      </c>
      <c r="D1050" t="s">
        <v>19</v>
      </c>
      <c r="E1050" t="s">
        <v>64</v>
      </c>
      <c r="F1050" t="s">
        <v>21</v>
      </c>
      <c r="G1050" s="23">
        <v>0.28000000000000003</v>
      </c>
      <c r="H1050" t="s">
        <v>53</v>
      </c>
      <c r="I1050" t="s">
        <v>57</v>
      </c>
      <c r="J1050" t="s">
        <v>61</v>
      </c>
      <c r="K1050" t="s">
        <v>102</v>
      </c>
      <c r="L1050" t="s">
        <v>26</v>
      </c>
      <c r="M1050" t="s">
        <v>123</v>
      </c>
      <c r="N1050" t="s">
        <v>51</v>
      </c>
      <c r="O1050">
        <v>4</v>
      </c>
      <c r="P1050">
        <v>50744</v>
      </c>
      <c r="Q1050">
        <f t="shared" si="18"/>
        <v>5.0743999999999997E-2</v>
      </c>
      <c r="R1050">
        <v>43252</v>
      </c>
      <c r="S1050" t="s">
        <v>122</v>
      </c>
    </row>
    <row r="1051" spans="1:19">
      <c r="A1051">
        <v>60000416</v>
      </c>
      <c r="B1051">
        <v>54</v>
      </c>
      <c r="C1051" t="s">
        <v>18</v>
      </c>
      <c r="D1051" t="s">
        <v>40</v>
      </c>
      <c r="E1051" t="s">
        <v>34</v>
      </c>
      <c r="F1051" t="s">
        <v>21</v>
      </c>
      <c r="G1051" s="23">
        <v>0.3</v>
      </c>
      <c r="H1051" t="s">
        <v>53</v>
      </c>
      <c r="I1051" t="s">
        <v>68</v>
      </c>
      <c r="J1051" t="s">
        <v>61</v>
      </c>
      <c r="K1051" t="s">
        <v>117</v>
      </c>
      <c r="L1051" t="s">
        <v>121</v>
      </c>
      <c r="M1051" t="s">
        <v>123</v>
      </c>
      <c r="N1051" t="s">
        <v>51</v>
      </c>
      <c r="O1051">
        <v>0</v>
      </c>
      <c r="P1051">
        <v>27824</v>
      </c>
      <c r="Q1051">
        <f t="shared" si="18"/>
        <v>2.7824000000000002E-2</v>
      </c>
      <c r="R1051">
        <v>43252</v>
      </c>
      <c r="S1051" t="s">
        <v>122</v>
      </c>
    </row>
    <row r="1052" spans="1:19">
      <c r="A1052">
        <v>60000417</v>
      </c>
      <c r="B1052">
        <v>40</v>
      </c>
      <c r="C1052" t="s">
        <v>18</v>
      </c>
      <c r="D1052" t="s">
        <v>40</v>
      </c>
      <c r="E1052" t="s">
        <v>85</v>
      </c>
      <c r="F1052" t="s">
        <v>21</v>
      </c>
      <c r="G1052" s="23">
        <v>0.19</v>
      </c>
      <c r="H1052" t="s">
        <v>29</v>
      </c>
      <c r="I1052" t="s">
        <v>45</v>
      </c>
      <c r="J1052" t="s">
        <v>54</v>
      </c>
      <c r="K1052" t="s">
        <v>107</v>
      </c>
      <c r="L1052" t="s">
        <v>26</v>
      </c>
      <c r="M1052" t="s">
        <v>123</v>
      </c>
      <c r="N1052" t="s">
        <v>28</v>
      </c>
      <c r="O1052">
        <v>3</v>
      </c>
      <c r="P1052">
        <v>37576</v>
      </c>
      <c r="Q1052">
        <f t="shared" si="18"/>
        <v>3.7575999999999998E-2</v>
      </c>
      <c r="R1052">
        <v>43252</v>
      </c>
      <c r="S1052" t="s">
        <v>122</v>
      </c>
    </row>
    <row r="1053" spans="1:19">
      <c r="A1053">
        <v>60000418</v>
      </c>
      <c r="B1053">
        <v>34</v>
      </c>
      <c r="C1053" t="s">
        <v>18</v>
      </c>
      <c r="D1053" t="s">
        <v>19</v>
      </c>
      <c r="E1053" t="s">
        <v>34</v>
      </c>
      <c r="F1053" t="s">
        <v>21</v>
      </c>
      <c r="G1053" s="23">
        <v>0.2</v>
      </c>
      <c r="H1053" t="s">
        <v>29</v>
      </c>
      <c r="I1053" t="s">
        <v>83</v>
      </c>
      <c r="J1053" t="s">
        <v>91</v>
      </c>
      <c r="K1053" t="s">
        <v>98</v>
      </c>
      <c r="L1053" t="s">
        <v>26</v>
      </c>
      <c r="M1053" t="s">
        <v>123</v>
      </c>
      <c r="N1053" t="s">
        <v>51</v>
      </c>
      <c r="O1053">
        <v>0</v>
      </c>
      <c r="P1053">
        <v>28458</v>
      </c>
      <c r="Q1053">
        <f t="shared" si="18"/>
        <v>2.8458000000000001E-2</v>
      </c>
      <c r="R1053">
        <v>43252</v>
      </c>
      <c r="S1053" t="s">
        <v>122</v>
      </c>
    </row>
    <row r="1054" spans="1:19">
      <c r="A1054">
        <v>60000419</v>
      </c>
      <c r="B1054">
        <v>30</v>
      </c>
      <c r="C1054" t="s">
        <v>18</v>
      </c>
      <c r="D1054" t="s">
        <v>40</v>
      </c>
      <c r="E1054" t="s">
        <v>44</v>
      </c>
      <c r="F1054" t="s">
        <v>21</v>
      </c>
      <c r="G1054" s="23">
        <v>0.18</v>
      </c>
      <c r="H1054" t="s">
        <v>22</v>
      </c>
      <c r="I1054" t="s">
        <v>65</v>
      </c>
      <c r="J1054" t="s">
        <v>61</v>
      </c>
      <c r="K1054" t="s">
        <v>101</v>
      </c>
      <c r="L1054" t="s">
        <v>119</v>
      </c>
      <c r="M1054" t="s">
        <v>123</v>
      </c>
      <c r="N1054" t="s">
        <v>28</v>
      </c>
      <c r="O1054">
        <v>0</v>
      </c>
      <c r="P1054">
        <v>23995</v>
      </c>
      <c r="Q1054">
        <f t="shared" si="18"/>
        <v>2.3994999999999999E-2</v>
      </c>
      <c r="R1054">
        <v>43252</v>
      </c>
      <c r="S1054" t="s">
        <v>122</v>
      </c>
    </row>
    <row r="1055" spans="1:19">
      <c r="A1055">
        <v>60000420</v>
      </c>
      <c r="B1055">
        <v>50</v>
      </c>
      <c r="C1055" t="s">
        <v>33</v>
      </c>
      <c r="D1055" t="s">
        <v>19</v>
      </c>
      <c r="E1055" t="s">
        <v>85</v>
      </c>
      <c r="F1055" t="s">
        <v>21</v>
      </c>
      <c r="G1055" s="23">
        <v>0.26</v>
      </c>
      <c r="H1055" t="s">
        <v>53</v>
      </c>
      <c r="I1055" t="s">
        <v>83</v>
      </c>
      <c r="J1055" t="s">
        <v>46</v>
      </c>
      <c r="K1055" t="s">
        <v>63</v>
      </c>
      <c r="L1055" t="s">
        <v>119</v>
      </c>
      <c r="M1055" t="s">
        <v>123</v>
      </c>
      <c r="N1055" t="s">
        <v>51</v>
      </c>
      <c r="O1055">
        <v>5</v>
      </c>
      <c r="P1055">
        <v>23626</v>
      </c>
      <c r="Q1055">
        <f t="shared" si="18"/>
        <v>2.3626000000000001E-2</v>
      </c>
      <c r="R1055">
        <v>43252</v>
      </c>
      <c r="S1055" t="s">
        <v>122</v>
      </c>
    </row>
    <row r="1056" spans="1:19">
      <c r="A1056">
        <v>60000421</v>
      </c>
      <c r="B1056">
        <v>61</v>
      </c>
      <c r="C1056" t="s">
        <v>33</v>
      </c>
      <c r="D1056" t="s">
        <v>40</v>
      </c>
      <c r="E1056" t="s">
        <v>20</v>
      </c>
      <c r="F1056" t="s">
        <v>21</v>
      </c>
      <c r="G1056" s="23">
        <v>0.1</v>
      </c>
      <c r="H1056" t="s">
        <v>36</v>
      </c>
      <c r="I1056" t="s">
        <v>68</v>
      </c>
      <c r="J1056" t="s">
        <v>24</v>
      </c>
      <c r="K1056" t="s">
        <v>104</v>
      </c>
      <c r="L1056" t="s">
        <v>121</v>
      </c>
      <c r="M1056" t="s">
        <v>123</v>
      </c>
      <c r="N1056" t="s">
        <v>51</v>
      </c>
      <c r="O1056">
        <v>5</v>
      </c>
      <c r="P1056">
        <v>24556</v>
      </c>
      <c r="Q1056">
        <f t="shared" si="18"/>
        <v>2.4556000000000001E-2</v>
      </c>
      <c r="R1056">
        <v>43252</v>
      </c>
      <c r="S1056" t="s">
        <v>122</v>
      </c>
    </row>
    <row r="1057" spans="1:19">
      <c r="A1057">
        <v>60000422</v>
      </c>
      <c r="B1057">
        <v>23</v>
      </c>
      <c r="C1057" t="s">
        <v>18</v>
      </c>
      <c r="D1057" t="s">
        <v>19</v>
      </c>
      <c r="E1057" t="s">
        <v>64</v>
      </c>
      <c r="F1057" t="s">
        <v>21</v>
      </c>
      <c r="G1057" s="23">
        <v>0.12</v>
      </c>
      <c r="H1057" t="s">
        <v>22</v>
      </c>
      <c r="I1057" t="s">
        <v>60</v>
      </c>
      <c r="J1057" t="s">
        <v>38</v>
      </c>
      <c r="K1057" t="s">
        <v>71</v>
      </c>
      <c r="L1057" t="s">
        <v>121</v>
      </c>
      <c r="M1057" t="s">
        <v>123</v>
      </c>
      <c r="N1057" t="s">
        <v>51</v>
      </c>
      <c r="O1057">
        <v>7</v>
      </c>
      <c r="P1057">
        <v>36555</v>
      </c>
      <c r="Q1057">
        <f t="shared" si="18"/>
        <v>3.6554999999999997E-2</v>
      </c>
      <c r="R1057">
        <v>43252</v>
      </c>
      <c r="S1057" t="s">
        <v>122</v>
      </c>
    </row>
    <row r="1058" spans="1:19">
      <c r="A1058">
        <v>60000423</v>
      </c>
      <c r="B1058">
        <v>33</v>
      </c>
      <c r="C1058" t="s">
        <v>33</v>
      </c>
      <c r="D1058" t="s">
        <v>19</v>
      </c>
      <c r="E1058" t="s">
        <v>44</v>
      </c>
      <c r="F1058" t="s">
        <v>21</v>
      </c>
      <c r="G1058" s="23">
        <v>0.3</v>
      </c>
      <c r="H1058" t="s">
        <v>53</v>
      </c>
      <c r="I1058" t="s">
        <v>83</v>
      </c>
      <c r="J1058" t="s">
        <v>31</v>
      </c>
      <c r="K1058" t="s">
        <v>115</v>
      </c>
      <c r="L1058" t="s">
        <v>119</v>
      </c>
      <c r="M1058" t="s">
        <v>123</v>
      </c>
      <c r="N1058" t="s">
        <v>51</v>
      </c>
      <c r="O1058">
        <v>0</v>
      </c>
      <c r="P1058">
        <v>61440</v>
      </c>
      <c r="Q1058">
        <f t="shared" si="18"/>
        <v>6.1440000000000002E-2</v>
      </c>
      <c r="R1058">
        <v>43252</v>
      </c>
      <c r="S1058" t="s">
        <v>122</v>
      </c>
    </row>
    <row r="1059" spans="1:19">
      <c r="A1059">
        <v>60000424</v>
      </c>
      <c r="B1059">
        <v>22</v>
      </c>
      <c r="C1059" t="s">
        <v>33</v>
      </c>
      <c r="D1059" t="s">
        <v>40</v>
      </c>
      <c r="E1059" t="s">
        <v>41</v>
      </c>
      <c r="F1059" t="s">
        <v>21</v>
      </c>
      <c r="G1059" s="23">
        <v>0.16</v>
      </c>
      <c r="H1059" t="s">
        <v>22</v>
      </c>
      <c r="I1059" t="s">
        <v>68</v>
      </c>
      <c r="J1059" t="s">
        <v>58</v>
      </c>
      <c r="K1059" t="s">
        <v>89</v>
      </c>
      <c r="L1059" t="s">
        <v>119</v>
      </c>
      <c r="M1059" t="s">
        <v>123</v>
      </c>
      <c r="N1059" t="s">
        <v>51</v>
      </c>
      <c r="O1059">
        <v>7</v>
      </c>
      <c r="P1059">
        <v>38307</v>
      </c>
      <c r="Q1059">
        <f t="shared" si="18"/>
        <v>3.8307000000000001E-2</v>
      </c>
      <c r="R1059">
        <v>43252</v>
      </c>
      <c r="S1059" t="s">
        <v>122</v>
      </c>
    </row>
    <row r="1060" spans="1:19">
      <c r="A1060">
        <v>60000425</v>
      </c>
      <c r="B1060">
        <v>55</v>
      </c>
      <c r="C1060" t="s">
        <v>33</v>
      </c>
      <c r="D1060" t="s">
        <v>19</v>
      </c>
      <c r="E1060" t="s">
        <v>34</v>
      </c>
      <c r="F1060" t="s">
        <v>21</v>
      </c>
      <c r="G1060" s="23">
        <v>0.24</v>
      </c>
      <c r="H1060" t="s">
        <v>29</v>
      </c>
      <c r="I1060" t="s">
        <v>86</v>
      </c>
      <c r="J1060" t="s">
        <v>46</v>
      </c>
      <c r="K1060" t="s">
        <v>62</v>
      </c>
      <c r="L1060" t="s">
        <v>26</v>
      </c>
      <c r="M1060" t="s">
        <v>123</v>
      </c>
      <c r="N1060" t="s">
        <v>28</v>
      </c>
      <c r="O1060">
        <v>0</v>
      </c>
      <c r="P1060">
        <v>49359</v>
      </c>
      <c r="Q1060">
        <f t="shared" si="18"/>
        <v>4.9359E-2</v>
      </c>
      <c r="R1060">
        <v>43252</v>
      </c>
      <c r="S1060" t="s">
        <v>122</v>
      </c>
    </row>
    <row r="1061" spans="1:19">
      <c r="A1061">
        <v>60000426</v>
      </c>
      <c r="B1061">
        <v>34</v>
      </c>
      <c r="C1061" t="s">
        <v>33</v>
      </c>
      <c r="D1061" t="s">
        <v>40</v>
      </c>
      <c r="E1061" t="s">
        <v>41</v>
      </c>
      <c r="F1061" t="s">
        <v>21</v>
      </c>
      <c r="G1061" s="23">
        <v>0.1</v>
      </c>
      <c r="H1061" t="s">
        <v>36</v>
      </c>
      <c r="I1061" t="s">
        <v>65</v>
      </c>
      <c r="J1061" t="s">
        <v>61</v>
      </c>
      <c r="K1061" t="s">
        <v>32</v>
      </c>
      <c r="L1061" t="s">
        <v>121</v>
      </c>
      <c r="M1061" t="s">
        <v>123</v>
      </c>
      <c r="N1061" t="s">
        <v>28</v>
      </c>
      <c r="O1061">
        <v>4</v>
      </c>
      <c r="P1061">
        <v>73142</v>
      </c>
      <c r="Q1061">
        <f t="shared" si="18"/>
        <v>7.3141999999999999E-2</v>
      </c>
      <c r="R1061">
        <v>43252</v>
      </c>
      <c r="S1061" t="s">
        <v>122</v>
      </c>
    </row>
    <row r="1062" spans="1:19">
      <c r="A1062">
        <v>60000427</v>
      </c>
      <c r="B1062">
        <v>49</v>
      </c>
      <c r="C1062" t="s">
        <v>33</v>
      </c>
      <c r="D1062" t="s">
        <v>40</v>
      </c>
      <c r="E1062" t="s">
        <v>48</v>
      </c>
      <c r="F1062" t="s">
        <v>21</v>
      </c>
      <c r="G1062" s="23">
        <v>0.22</v>
      </c>
      <c r="H1062" t="s">
        <v>29</v>
      </c>
      <c r="I1062" t="s">
        <v>30</v>
      </c>
      <c r="J1062" t="s">
        <v>31</v>
      </c>
      <c r="K1062" t="s">
        <v>63</v>
      </c>
      <c r="L1062" t="s">
        <v>26</v>
      </c>
      <c r="M1062" t="s">
        <v>123</v>
      </c>
      <c r="N1062" t="s">
        <v>28</v>
      </c>
      <c r="O1062">
        <v>4</v>
      </c>
      <c r="P1062">
        <v>36101</v>
      </c>
      <c r="Q1062">
        <f t="shared" si="18"/>
        <v>3.6101000000000001E-2</v>
      </c>
      <c r="R1062">
        <v>43252</v>
      </c>
      <c r="S1062" t="s">
        <v>122</v>
      </c>
    </row>
    <row r="1063" spans="1:19">
      <c r="A1063">
        <v>60000428</v>
      </c>
      <c r="B1063">
        <v>47</v>
      </c>
      <c r="C1063" t="s">
        <v>33</v>
      </c>
      <c r="D1063" t="s">
        <v>40</v>
      </c>
      <c r="E1063" t="s">
        <v>72</v>
      </c>
      <c r="F1063" t="s">
        <v>21</v>
      </c>
      <c r="G1063" s="23">
        <v>0.35</v>
      </c>
      <c r="H1063" t="s">
        <v>42</v>
      </c>
      <c r="I1063" t="s">
        <v>62</v>
      </c>
      <c r="J1063" t="s">
        <v>91</v>
      </c>
      <c r="K1063" t="s">
        <v>55</v>
      </c>
      <c r="L1063" t="s">
        <v>119</v>
      </c>
      <c r="M1063" t="s">
        <v>123</v>
      </c>
      <c r="N1063" t="s">
        <v>51</v>
      </c>
      <c r="O1063">
        <v>5</v>
      </c>
      <c r="P1063">
        <v>25090</v>
      </c>
      <c r="Q1063">
        <f t="shared" si="18"/>
        <v>2.5090000000000001E-2</v>
      </c>
      <c r="R1063">
        <v>43252</v>
      </c>
      <c r="S1063" t="s">
        <v>122</v>
      </c>
    </row>
    <row r="1064" spans="1:19">
      <c r="A1064">
        <v>60000429</v>
      </c>
      <c r="B1064">
        <v>36</v>
      </c>
      <c r="C1064" t="s">
        <v>18</v>
      </c>
      <c r="D1064" t="s">
        <v>40</v>
      </c>
      <c r="E1064" t="s">
        <v>34</v>
      </c>
      <c r="F1064" t="s">
        <v>21</v>
      </c>
      <c r="G1064" s="23">
        <v>0.33</v>
      </c>
      <c r="H1064" t="s">
        <v>42</v>
      </c>
      <c r="I1064" t="s">
        <v>49</v>
      </c>
      <c r="J1064" t="s">
        <v>66</v>
      </c>
      <c r="K1064" t="s">
        <v>117</v>
      </c>
      <c r="L1064" t="s">
        <v>119</v>
      </c>
      <c r="M1064" t="s">
        <v>123</v>
      </c>
      <c r="N1064" t="s">
        <v>28</v>
      </c>
      <c r="O1064">
        <v>0</v>
      </c>
      <c r="P1064">
        <v>41042</v>
      </c>
      <c r="Q1064">
        <f t="shared" si="18"/>
        <v>4.1042000000000002E-2</v>
      </c>
      <c r="R1064">
        <v>43252</v>
      </c>
      <c r="S1064" t="s">
        <v>122</v>
      </c>
    </row>
    <row r="1065" spans="1:19">
      <c r="A1065">
        <v>60000430</v>
      </c>
      <c r="B1065">
        <v>29</v>
      </c>
      <c r="C1065" t="s">
        <v>18</v>
      </c>
      <c r="D1065" t="s">
        <v>40</v>
      </c>
      <c r="E1065" t="s">
        <v>48</v>
      </c>
      <c r="F1065" t="s">
        <v>21</v>
      </c>
      <c r="G1065" s="23">
        <v>0.21</v>
      </c>
      <c r="H1065" t="s">
        <v>29</v>
      </c>
      <c r="I1065" t="s">
        <v>49</v>
      </c>
      <c r="J1065" t="s">
        <v>38</v>
      </c>
      <c r="K1065" t="s">
        <v>110</v>
      </c>
      <c r="L1065" t="s">
        <v>26</v>
      </c>
      <c r="M1065" t="s">
        <v>123</v>
      </c>
      <c r="N1065" t="s">
        <v>28</v>
      </c>
      <c r="O1065">
        <v>0</v>
      </c>
      <c r="P1065">
        <v>60451</v>
      </c>
      <c r="Q1065">
        <f t="shared" si="18"/>
        <v>6.0450999999999998E-2</v>
      </c>
      <c r="R1065">
        <v>43252</v>
      </c>
      <c r="S1065" t="s">
        <v>122</v>
      </c>
    </row>
    <row r="1066" spans="1:19">
      <c r="A1066">
        <v>60000431</v>
      </c>
      <c r="B1066">
        <v>54</v>
      </c>
      <c r="C1066" t="s">
        <v>18</v>
      </c>
      <c r="D1066" t="s">
        <v>40</v>
      </c>
      <c r="E1066" t="s">
        <v>41</v>
      </c>
      <c r="F1066" t="s">
        <v>21</v>
      </c>
      <c r="G1066" s="23">
        <v>0.12</v>
      </c>
      <c r="H1066" t="s">
        <v>22</v>
      </c>
      <c r="I1066" t="s">
        <v>86</v>
      </c>
      <c r="J1066" t="s">
        <v>69</v>
      </c>
      <c r="K1066" t="s">
        <v>83</v>
      </c>
      <c r="L1066" t="s">
        <v>26</v>
      </c>
      <c r="M1066" t="s">
        <v>123</v>
      </c>
      <c r="N1066" t="s">
        <v>28</v>
      </c>
      <c r="O1066">
        <v>6</v>
      </c>
      <c r="P1066">
        <v>26178</v>
      </c>
      <c r="Q1066">
        <f t="shared" si="18"/>
        <v>2.6178E-2</v>
      </c>
      <c r="R1066">
        <v>43252</v>
      </c>
      <c r="S1066" t="s">
        <v>122</v>
      </c>
    </row>
    <row r="1067" spans="1:19">
      <c r="A1067">
        <v>60000432</v>
      </c>
      <c r="B1067">
        <v>31</v>
      </c>
      <c r="C1067" t="s">
        <v>33</v>
      </c>
      <c r="D1067" t="s">
        <v>19</v>
      </c>
      <c r="E1067" t="s">
        <v>75</v>
      </c>
      <c r="F1067" t="s">
        <v>21</v>
      </c>
      <c r="G1067" s="23">
        <v>0.22</v>
      </c>
      <c r="H1067" t="s">
        <v>29</v>
      </c>
      <c r="I1067" t="s">
        <v>60</v>
      </c>
      <c r="J1067" t="s">
        <v>66</v>
      </c>
      <c r="K1067" t="s">
        <v>55</v>
      </c>
      <c r="L1067" t="s">
        <v>26</v>
      </c>
      <c r="M1067" t="s">
        <v>123</v>
      </c>
      <c r="N1067" t="s">
        <v>51</v>
      </c>
      <c r="O1067">
        <v>1</v>
      </c>
      <c r="P1067">
        <v>57367</v>
      </c>
      <c r="Q1067">
        <f t="shared" si="18"/>
        <v>5.7367000000000001E-2</v>
      </c>
      <c r="R1067">
        <v>43252</v>
      </c>
      <c r="S1067" t="s">
        <v>122</v>
      </c>
    </row>
    <row r="1068" spans="1:19">
      <c r="A1068">
        <v>60000433</v>
      </c>
      <c r="B1068">
        <v>29</v>
      </c>
      <c r="C1068" t="s">
        <v>18</v>
      </c>
      <c r="D1068" t="s">
        <v>40</v>
      </c>
      <c r="E1068" t="s">
        <v>44</v>
      </c>
      <c r="F1068" t="s">
        <v>21</v>
      </c>
      <c r="G1068" s="23">
        <v>0.33</v>
      </c>
      <c r="H1068" t="s">
        <v>42</v>
      </c>
      <c r="I1068" t="s">
        <v>70</v>
      </c>
      <c r="J1068" t="s">
        <v>91</v>
      </c>
      <c r="K1068" t="s">
        <v>47</v>
      </c>
      <c r="L1068" t="s">
        <v>121</v>
      </c>
      <c r="M1068" t="s">
        <v>123</v>
      </c>
      <c r="N1068" t="s">
        <v>28</v>
      </c>
      <c r="O1068">
        <v>0</v>
      </c>
      <c r="P1068">
        <v>70761</v>
      </c>
      <c r="Q1068">
        <f t="shared" si="18"/>
        <v>7.0761000000000004E-2</v>
      </c>
      <c r="R1068">
        <v>43252</v>
      </c>
      <c r="S1068" t="s">
        <v>122</v>
      </c>
    </row>
    <row r="1069" spans="1:19">
      <c r="A1069">
        <v>60000434</v>
      </c>
      <c r="B1069">
        <v>51</v>
      </c>
      <c r="C1069" t="s">
        <v>18</v>
      </c>
      <c r="D1069" t="s">
        <v>19</v>
      </c>
      <c r="E1069" t="s">
        <v>56</v>
      </c>
      <c r="F1069" t="s">
        <v>21</v>
      </c>
      <c r="G1069" s="23">
        <v>0.13</v>
      </c>
      <c r="H1069" t="s">
        <v>22</v>
      </c>
      <c r="I1069" t="s">
        <v>65</v>
      </c>
      <c r="J1069" t="s">
        <v>88</v>
      </c>
      <c r="K1069" t="s">
        <v>118</v>
      </c>
      <c r="L1069" t="s">
        <v>26</v>
      </c>
      <c r="M1069" t="s">
        <v>123</v>
      </c>
      <c r="N1069" t="s">
        <v>28</v>
      </c>
      <c r="O1069">
        <v>2</v>
      </c>
      <c r="P1069">
        <v>26855</v>
      </c>
      <c r="Q1069">
        <f t="shared" si="18"/>
        <v>2.6855E-2</v>
      </c>
      <c r="R1069">
        <v>43252</v>
      </c>
      <c r="S1069" t="s">
        <v>122</v>
      </c>
    </row>
    <row r="1070" spans="1:19">
      <c r="A1070">
        <v>60000435</v>
      </c>
      <c r="B1070">
        <v>50</v>
      </c>
      <c r="C1070" t="s">
        <v>33</v>
      </c>
      <c r="D1070" t="s">
        <v>19</v>
      </c>
      <c r="E1070" t="s">
        <v>34</v>
      </c>
      <c r="F1070" t="s">
        <v>21</v>
      </c>
      <c r="G1070" s="23">
        <v>0.33</v>
      </c>
      <c r="H1070" t="s">
        <v>42</v>
      </c>
      <c r="I1070" t="s">
        <v>62</v>
      </c>
      <c r="J1070" t="s">
        <v>31</v>
      </c>
      <c r="K1070" t="s">
        <v>55</v>
      </c>
      <c r="L1070" t="s">
        <v>121</v>
      </c>
      <c r="M1070" t="s">
        <v>123</v>
      </c>
      <c r="N1070" t="s">
        <v>28</v>
      </c>
      <c r="O1070">
        <v>0</v>
      </c>
      <c r="P1070">
        <v>78889</v>
      </c>
      <c r="Q1070">
        <f t="shared" si="18"/>
        <v>7.8889000000000001E-2</v>
      </c>
      <c r="R1070">
        <v>43252</v>
      </c>
      <c r="S1070" t="s">
        <v>122</v>
      </c>
    </row>
    <row r="1071" spans="1:19">
      <c r="A1071">
        <v>60000436</v>
      </c>
      <c r="B1071">
        <v>65</v>
      </c>
      <c r="C1071" t="s">
        <v>33</v>
      </c>
      <c r="D1071" t="s">
        <v>19</v>
      </c>
      <c r="E1071" t="s">
        <v>41</v>
      </c>
      <c r="F1071" t="s">
        <v>21</v>
      </c>
      <c r="G1071" s="23">
        <v>0.38</v>
      </c>
      <c r="H1071" t="s">
        <v>42</v>
      </c>
      <c r="I1071" t="s">
        <v>68</v>
      </c>
      <c r="J1071" t="s">
        <v>91</v>
      </c>
      <c r="K1071" t="s">
        <v>49</v>
      </c>
      <c r="L1071" t="s">
        <v>119</v>
      </c>
      <c r="M1071" t="s">
        <v>123</v>
      </c>
      <c r="N1071" t="s">
        <v>28</v>
      </c>
      <c r="O1071">
        <v>3</v>
      </c>
      <c r="P1071">
        <v>34581</v>
      </c>
      <c r="Q1071">
        <f t="shared" si="18"/>
        <v>3.4581000000000001E-2</v>
      </c>
      <c r="R1071">
        <v>43252</v>
      </c>
      <c r="S1071" t="s">
        <v>122</v>
      </c>
    </row>
    <row r="1072" spans="1:19">
      <c r="A1072">
        <v>60000437</v>
      </c>
      <c r="B1072">
        <v>55</v>
      </c>
      <c r="C1072" t="s">
        <v>18</v>
      </c>
      <c r="D1072" t="s">
        <v>40</v>
      </c>
      <c r="E1072" t="s">
        <v>44</v>
      </c>
      <c r="F1072" t="s">
        <v>21</v>
      </c>
      <c r="G1072" s="23">
        <v>0.37</v>
      </c>
      <c r="H1072" t="s">
        <v>42</v>
      </c>
      <c r="I1072" t="s">
        <v>73</v>
      </c>
      <c r="J1072" t="s">
        <v>69</v>
      </c>
      <c r="K1072" t="s">
        <v>87</v>
      </c>
      <c r="L1072" t="s">
        <v>26</v>
      </c>
      <c r="M1072" t="s">
        <v>123</v>
      </c>
      <c r="N1072" t="s">
        <v>28</v>
      </c>
      <c r="O1072">
        <v>0</v>
      </c>
      <c r="P1072">
        <v>38750</v>
      </c>
      <c r="Q1072">
        <f t="shared" si="18"/>
        <v>3.875E-2</v>
      </c>
      <c r="R1072">
        <v>43252</v>
      </c>
      <c r="S1072" t="s">
        <v>122</v>
      </c>
    </row>
    <row r="1073" spans="1:19">
      <c r="A1073">
        <v>60000438</v>
      </c>
      <c r="B1073">
        <v>26</v>
      </c>
      <c r="C1073" t="s">
        <v>18</v>
      </c>
      <c r="D1073" t="s">
        <v>40</v>
      </c>
      <c r="E1073" t="s">
        <v>52</v>
      </c>
      <c r="F1073" t="s">
        <v>21</v>
      </c>
      <c r="G1073" s="23">
        <v>0.15</v>
      </c>
      <c r="H1073" t="s">
        <v>22</v>
      </c>
      <c r="I1073" t="s">
        <v>37</v>
      </c>
      <c r="J1073" t="s">
        <v>88</v>
      </c>
      <c r="K1073" t="s">
        <v>97</v>
      </c>
      <c r="L1073" t="s">
        <v>26</v>
      </c>
      <c r="M1073" t="s">
        <v>123</v>
      </c>
      <c r="N1073" t="s">
        <v>51</v>
      </c>
      <c r="O1073">
        <v>3</v>
      </c>
      <c r="P1073">
        <v>27003</v>
      </c>
      <c r="Q1073">
        <f t="shared" si="18"/>
        <v>2.7002999999999999E-2</v>
      </c>
      <c r="R1073">
        <v>43252</v>
      </c>
      <c r="S1073" t="s">
        <v>122</v>
      </c>
    </row>
    <row r="1074" spans="1:19">
      <c r="A1074">
        <v>60000439</v>
      </c>
      <c r="B1074">
        <v>21</v>
      </c>
      <c r="C1074" t="s">
        <v>33</v>
      </c>
      <c r="D1074" t="s">
        <v>19</v>
      </c>
      <c r="E1074" t="s">
        <v>20</v>
      </c>
      <c r="F1074" t="s">
        <v>21</v>
      </c>
      <c r="G1074" s="23">
        <v>0.1</v>
      </c>
      <c r="H1074" t="s">
        <v>36</v>
      </c>
      <c r="I1074" t="s">
        <v>37</v>
      </c>
      <c r="J1074" t="s">
        <v>31</v>
      </c>
      <c r="K1074" t="s">
        <v>79</v>
      </c>
      <c r="L1074" t="s">
        <v>119</v>
      </c>
      <c r="M1074" t="s">
        <v>123</v>
      </c>
      <c r="N1074" t="s">
        <v>51</v>
      </c>
      <c r="O1074">
        <v>7</v>
      </c>
      <c r="P1074">
        <v>35593</v>
      </c>
      <c r="Q1074">
        <f t="shared" si="18"/>
        <v>3.5593E-2</v>
      </c>
      <c r="R1074">
        <v>43252</v>
      </c>
      <c r="S1074" t="s">
        <v>122</v>
      </c>
    </row>
    <row r="1075" spans="1:19">
      <c r="A1075">
        <v>60000440</v>
      </c>
      <c r="B1075">
        <v>49</v>
      </c>
      <c r="C1075" t="s">
        <v>18</v>
      </c>
      <c r="D1075" t="s">
        <v>19</v>
      </c>
      <c r="E1075" t="s">
        <v>44</v>
      </c>
      <c r="F1075" t="s">
        <v>120</v>
      </c>
      <c r="G1075" s="23">
        <v>0.18</v>
      </c>
      <c r="H1075" t="s">
        <v>22</v>
      </c>
      <c r="I1075" t="s">
        <v>65</v>
      </c>
      <c r="J1075" t="s">
        <v>24</v>
      </c>
      <c r="K1075" t="s">
        <v>111</v>
      </c>
      <c r="L1075" t="s">
        <v>121</v>
      </c>
      <c r="M1075" t="s">
        <v>123</v>
      </c>
      <c r="N1075" t="s">
        <v>51</v>
      </c>
      <c r="O1075">
        <v>4</v>
      </c>
      <c r="P1075">
        <v>54011</v>
      </c>
      <c r="Q1075">
        <f t="shared" si="18"/>
        <v>5.4011000000000003E-2</v>
      </c>
      <c r="R1075">
        <v>43252</v>
      </c>
      <c r="S1075" t="s">
        <v>122</v>
      </c>
    </row>
    <row r="1076" spans="1:19">
      <c r="A1076">
        <v>60000441</v>
      </c>
      <c r="B1076">
        <v>21</v>
      </c>
      <c r="C1076" t="s">
        <v>18</v>
      </c>
      <c r="D1076" t="s">
        <v>19</v>
      </c>
      <c r="E1076" t="s">
        <v>48</v>
      </c>
      <c r="F1076" t="s">
        <v>120</v>
      </c>
      <c r="G1076" s="23">
        <v>0.1</v>
      </c>
      <c r="H1076" t="s">
        <v>36</v>
      </c>
      <c r="I1076" t="s">
        <v>68</v>
      </c>
      <c r="J1076" t="s">
        <v>88</v>
      </c>
      <c r="K1076" t="s">
        <v>43</v>
      </c>
      <c r="L1076" t="s">
        <v>121</v>
      </c>
      <c r="M1076" t="s">
        <v>123</v>
      </c>
      <c r="N1076" t="s">
        <v>51</v>
      </c>
      <c r="O1076">
        <v>0</v>
      </c>
      <c r="P1076">
        <v>39860</v>
      </c>
      <c r="Q1076">
        <f t="shared" si="18"/>
        <v>3.986E-2</v>
      </c>
      <c r="R1076">
        <v>43252</v>
      </c>
      <c r="S1076" t="s">
        <v>122</v>
      </c>
    </row>
    <row r="1077" spans="1:19">
      <c r="A1077">
        <v>60000442</v>
      </c>
      <c r="B1077">
        <v>20</v>
      </c>
      <c r="C1077" t="s">
        <v>33</v>
      </c>
      <c r="D1077" t="s">
        <v>40</v>
      </c>
      <c r="E1077" t="s">
        <v>48</v>
      </c>
      <c r="F1077" t="s">
        <v>21</v>
      </c>
      <c r="G1077" s="23">
        <v>0.35</v>
      </c>
      <c r="H1077" t="s">
        <v>42</v>
      </c>
      <c r="I1077" t="s">
        <v>73</v>
      </c>
      <c r="J1077" t="s">
        <v>38</v>
      </c>
      <c r="K1077" t="s">
        <v>96</v>
      </c>
      <c r="L1077" t="s">
        <v>26</v>
      </c>
      <c r="M1077" t="s">
        <v>123</v>
      </c>
      <c r="N1077" t="s">
        <v>28</v>
      </c>
      <c r="O1077">
        <v>0</v>
      </c>
      <c r="P1077">
        <v>78921</v>
      </c>
      <c r="Q1077">
        <f t="shared" si="18"/>
        <v>7.8921000000000005E-2</v>
      </c>
      <c r="R1077">
        <v>43252</v>
      </c>
      <c r="S1077" t="s">
        <v>122</v>
      </c>
    </row>
    <row r="1078" spans="1:19">
      <c r="A1078">
        <v>60000443</v>
      </c>
      <c r="B1078">
        <v>63</v>
      </c>
      <c r="C1078" t="s">
        <v>33</v>
      </c>
      <c r="D1078" t="s">
        <v>40</v>
      </c>
      <c r="E1078" t="s">
        <v>41</v>
      </c>
      <c r="F1078" t="s">
        <v>21</v>
      </c>
      <c r="G1078" s="23">
        <v>0.37</v>
      </c>
      <c r="H1078" t="s">
        <v>42</v>
      </c>
      <c r="I1078" t="s">
        <v>57</v>
      </c>
      <c r="J1078" t="s">
        <v>46</v>
      </c>
      <c r="K1078" t="s">
        <v>118</v>
      </c>
      <c r="L1078" t="s">
        <v>26</v>
      </c>
      <c r="M1078" t="s">
        <v>123</v>
      </c>
      <c r="N1078" t="s">
        <v>28</v>
      </c>
      <c r="O1078">
        <v>3</v>
      </c>
      <c r="P1078">
        <v>49834</v>
      </c>
      <c r="Q1078">
        <f t="shared" si="18"/>
        <v>4.9834000000000003E-2</v>
      </c>
      <c r="R1078">
        <v>43252</v>
      </c>
      <c r="S1078" t="s">
        <v>122</v>
      </c>
    </row>
    <row r="1079" spans="1:19">
      <c r="A1079">
        <v>60000444</v>
      </c>
      <c r="B1079">
        <v>37</v>
      </c>
      <c r="C1079" t="s">
        <v>33</v>
      </c>
      <c r="D1079" t="s">
        <v>19</v>
      </c>
      <c r="E1079" t="s">
        <v>34</v>
      </c>
      <c r="F1079" t="s">
        <v>35</v>
      </c>
      <c r="G1079" s="23">
        <v>0.19</v>
      </c>
      <c r="H1079" t="s">
        <v>29</v>
      </c>
      <c r="I1079" t="s">
        <v>45</v>
      </c>
      <c r="J1079" t="s">
        <v>61</v>
      </c>
      <c r="K1079" t="s">
        <v>96</v>
      </c>
      <c r="L1079" t="s">
        <v>121</v>
      </c>
      <c r="M1079" t="s">
        <v>123</v>
      </c>
      <c r="N1079" t="s">
        <v>51</v>
      </c>
      <c r="O1079">
        <v>0</v>
      </c>
      <c r="P1079">
        <v>37822</v>
      </c>
      <c r="Q1079">
        <f t="shared" si="18"/>
        <v>3.7822000000000001E-2</v>
      </c>
      <c r="R1079">
        <v>43252</v>
      </c>
      <c r="S1079" t="s">
        <v>122</v>
      </c>
    </row>
    <row r="1080" spans="1:19">
      <c r="A1080">
        <v>60000445</v>
      </c>
      <c r="B1080">
        <v>56</v>
      </c>
      <c r="C1080" t="s">
        <v>18</v>
      </c>
      <c r="D1080" t="s">
        <v>40</v>
      </c>
      <c r="E1080" t="s">
        <v>20</v>
      </c>
      <c r="F1080" t="s">
        <v>21</v>
      </c>
      <c r="G1080" s="23">
        <v>0.3</v>
      </c>
      <c r="H1080" t="s">
        <v>53</v>
      </c>
      <c r="I1080" t="s">
        <v>73</v>
      </c>
      <c r="J1080" t="s">
        <v>74</v>
      </c>
      <c r="K1080" t="s">
        <v>81</v>
      </c>
      <c r="L1080" t="s">
        <v>121</v>
      </c>
      <c r="M1080" t="s">
        <v>123</v>
      </c>
      <c r="N1080" t="s">
        <v>51</v>
      </c>
      <c r="O1080">
        <v>0</v>
      </c>
      <c r="P1080">
        <v>38296</v>
      </c>
      <c r="Q1080">
        <f t="shared" si="18"/>
        <v>3.8295999999999997E-2</v>
      </c>
      <c r="R1080">
        <v>43252</v>
      </c>
      <c r="S1080" t="s">
        <v>122</v>
      </c>
    </row>
    <row r="1081" spans="1:19">
      <c r="A1081">
        <v>60000446</v>
      </c>
      <c r="B1081">
        <v>44</v>
      </c>
      <c r="C1081" t="s">
        <v>33</v>
      </c>
      <c r="D1081" t="s">
        <v>40</v>
      </c>
      <c r="E1081" t="s">
        <v>85</v>
      </c>
      <c r="F1081" t="s">
        <v>21</v>
      </c>
      <c r="G1081" s="23">
        <v>0.14000000000000001</v>
      </c>
      <c r="H1081" t="s">
        <v>22</v>
      </c>
      <c r="I1081" t="s">
        <v>23</v>
      </c>
      <c r="J1081" t="s">
        <v>46</v>
      </c>
      <c r="K1081" t="s">
        <v>96</v>
      </c>
      <c r="L1081" t="s">
        <v>119</v>
      </c>
      <c r="M1081" t="s">
        <v>123</v>
      </c>
      <c r="N1081" t="s">
        <v>51</v>
      </c>
      <c r="O1081">
        <v>0</v>
      </c>
      <c r="P1081">
        <v>78541</v>
      </c>
      <c r="Q1081">
        <f t="shared" si="18"/>
        <v>7.8541E-2</v>
      </c>
      <c r="R1081">
        <v>43252</v>
      </c>
      <c r="S1081" t="s">
        <v>122</v>
      </c>
    </row>
    <row r="1082" spans="1:19">
      <c r="A1082">
        <v>60000447</v>
      </c>
      <c r="B1082">
        <v>29</v>
      </c>
      <c r="C1082" t="s">
        <v>18</v>
      </c>
      <c r="D1082" t="s">
        <v>40</v>
      </c>
      <c r="E1082" t="s">
        <v>52</v>
      </c>
      <c r="F1082" t="s">
        <v>35</v>
      </c>
      <c r="G1082" s="23">
        <v>0.3</v>
      </c>
      <c r="H1082" t="s">
        <v>53</v>
      </c>
      <c r="I1082" t="s">
        <v>37</v>
      </c>
      <c r="J1082" t="s">
        <v>61</v>
      </c>
      <c r="K1082" t="s">
        <v>60</v>
      </c>
      <c r="L1082" t="s">
        <v>26</v>
      </c>
      <c r="M1082" t="s">
        <v>123</v>
      </c>
      <c r="N1082" t="s">
        <v>51</v>
      </c>
      <c r="O1082">
        <v>0</v>
      </c>
      <c r="P1082">
        <v>79092</v>
      </c>
      <c r="Q1082">
        <f t="shared" si="18"/>
        <v>7.9091999999999996E-2</v>
      </c>
      <c r="R1082">
        <v>43252</v>
      </c>
      <c r="S1082" t="s">
        <v>122</v>
      </c>
    </row>
    <row r="1083" spans="1:19">
      <c r="A1083">
        <v>60000448</v>
      </c>
      <c r="B1083">
        <v>64</v>
      </c>
      <c r="C1083" t="s">
        <v>18</v>
      </c>
      <c r="D1083" t="s">
        <v>40</v>
      </c>
      <c r="E1083" t="s">
        <v>75</v>
      </c>
      <c r="F1083" t="s">
        <v>120</v>
      </c>
      <c r="G1083" s="23">
        <v>0.18</v>
      </c>
      <c r="H1083" t="s">
        <v>22</v>
      </c>
      <c r="I1083" t="s">
        <v>68</v>
      </c>
      <c r="J1083" t="s">
        <v>69</v>
      </c>
      <c r="K1083" t="s">
        <v>97</v>
      </c>
      <c r="L1083" t="s">
        <v>26</v>
      </c>
      <c r="M1083" t="s">
        <v>123</v>
      </c>
      <c r="N1083" t="s">
        <v>51</v>
      </c>
      <c r="O1083">
        <v>7</v>
      </c>
      <c r="P1083">
        <v>76003</v>
      </c>
      <c r="Q1083">
        <f t="shared" si="18"/>
        <v>7.6003000000000001E-2</v>
      </c>
      <c r="R1083">
        <v>43252</v>
      </c>
      <c r="S1083" t="s">
        <v>122</v>
      </c>
    </row>
    <row r="1084" spans="1:19">
      <c r="A1084">
        <v>60000449</v>
      </c>
      <c r="B1084">
        <v>44</v>
      </c>
      <c r="C1084" t="s">
        <v>33</v>
      </c>
      <c r="D1084" t="s">
        <v>19</v>
      </c>
      <c r="E1084" t="s">
        <v>44</v>
      </c>
      <c r="F1084" t="s">
        <v>21</v>
      </c>
      <c r="G1084" s="23">
        <v>0.34</v>
      </c>
      <c r="H1084" t="s">
        <v>42</v>
      </c>
      <c r="I1084" t="s">
        <v>49</v>
      </c>
      <c r="J1084" t="s">
        <v>31</v>
      </c>
      <c r="K1084" t="s">
        <v>84</v>
      </c>
      <c r="L1084" t="s">
        <v>121</v>
      </c>
      <c r="M1084" t="s">
        <v>123</v>
      </c>
      <c r="N1084" t="s">
        <v>51</v>
      </c>
      <c r="O1084">
        <v>6</v>
      </c>
      <c r="P1084">
        <v>46543</v>
      </c>
      <c r="Q1084">
        <f t="shared" si="18"/>
        <v>4.6543000000000001E-2</v>
      </c>
      <c r="R1084">
        <v>43252</v>
      </c>
      <c r="S1084" t="s">
        <v>122</v>
      </c>
    </row>
    <row r="1085" spans="1:19">
      <c r="A1085">
        <v>60000450</v>
      </c>
      <c r="B1085">
        <v>29</v>
      </c>
      <c r="C1085" t="s">
        <v>33</v>
      </c>
      <c r="D1085" t="s">
        <v>40</v>
      </c>
      <c r="E1085" t="s">
        <v>44</v>
      </c>
      <c r="F1085" t="s">
        <v>21</v>
      </c>
      <c r="G1085" s="23">
        <v>0.18</v>
      </c>
      <c r="H1085" t="s">
        <v>22</v>
      </c>
      <c r="I1085" t="s">
        <v>62</v>
      </c>
      <c r="J1085" t="s">
        <v>54</v>
      </c>
      <c r="K1085" t="s">
        <v>99</v>
      </c>
      <c r="L1085" t="s">
        <v>119</v>
      </c>
      <c r="M1085" t="s">
        <v>123</v>
      </c>
      <c r="N1085" t="s">
        <v>28</v>
      </c>
      <c r="O1085">
        <v>0</v>
      </c>
      <c r="P1085">
        <v>81088</v>
      </c>
      <c r="Q1085">
        <f t="shared" si="18"/>
        <v>8.1087999999999993E-2</v>
      </c>
      <c r="R1085">
        <v>43252</v>
      </c>
      <c r="S1085" t="s">
        <v>122</v>
      </c>
    </row>
    <row r="1086" spans="1:19">
      <c r="A1086">
        <v>60000451</v>
      </c>
      <c r="B1086">
        <v>48</v>
      </c>
      <c r="C1086" t="s">
        <v>33</v>
      </c>
      <c r="D1086" t="s">
        <v>40</v>
      </c>
      <c r="E1086" t="s">
        <v>67</v>
      </c>
      <c r="F1086" t="s">
        <v>21</v>
      </c>
      <c r="G1086" s="23">
        <v>0.32</v>
      </c>
      <c r="H1086" t="s">
        <v>42</v>
      </c>
      <c r="I1086" t="s">
        <v>83</v>
      </c>
      <c r="J1086" t="s">
        <v>38</v>
      </c>
      <c r="K1086" t="s">
        <v>96</v>
      </c>
      <c r="L1086" t="s">
        <v>119</v>
      </c>
      <c r="M1086" t="s">
        <v>123</v>
      </c>
      <c r="N1086" t="s">
        <v>51</v>
      </c>
      <c r="O1086">
        <v>1</v>
      </c>
      <c r="P1086">
        <v>69209</v>
      </c>
      <c r="Q1086">
        <f t="shared" si="18"/>
        <v>6.9209000000000007E-2</v>
      </c>
      <c r="R1086">
        <v>43252</v>
      </c>
      <c r="S1086" t="s">
        <v>122</v>
      </c>
    </row>
    <row r="1087" spans="1:19">
      <c r="A1087">
        <v>60000452</v>
      </c>
      <c r="B1087">
        <v>23</v>
      </c>
      <c r="C1087" t="s">
        <v>18</v>
      </c>
      <c r="D1087" t="s">
        <v>40</v>
      </c>
      <c r="E1087" t="s">
        <v>67</v>
      </c>
      <c r="F1087" t="s">
        <v>35</v>
      </c>
      <c r="G1087" s="23">
        <v>0.31</v>
      </c>
      <c r="H1087" t="s">
        <v>53</v>
      </c>
      <c r="I1087" t="s">
        <v>76</v>
      </c>
      <c r="J1087" t="s">
        <v>24</v>
      </c>
      <c r="K1087" t="s">
        <v>116</v>
      </c>
      <c r="L1087" t="s">
        <v>121</v>
      </c>
      <c r="M1087" t="s">
        <v>123</v>
      </c>
      <c r="N1087" t="s">
        <v>28</v>
      </c>
      <c r="O1087">
        <v>2</v>
      </c>
      <c r="P1087">
        <v>33431</v>
      </c>
      <c r="Q1087">
        <f t="shared" si="18"/>
        <v>3.3431000000000002E-2</v>
      </c>
      <c r="R1087">
        <v>43252</v>
      </c>
      <c r="S1087" t="s">
        <v>122</v>
      </c>
    </row>
    <row r="1088" spans="1:19">
      <c r="A1088">
        <v>60000453</v>
      </c>
      <c r="B1088">
        <v>38</v>
      </c>
      <c r="C1088" t="s">
        <v>18</v>
      </c>
      <c r="D1088" t="s">
        <v>19</v>
      </c>
      <c r="E1088" t="s">
        <v>56</v>
      </c>
      <c r="F1088" t="s">
        <v>35</v>
      </c>
      <c r="G1088" s="23">
        <v>0.17</v>
      </c>
      <c r="H1088" t="s">
        <v>22</v>
      </c>
      <c r="I1088" t="s">
        <v>80</v>
      </c>
      <c r="J1088" t="s">
        <v>58</v>
      </c>
      <c r="K1088" t="s">
        <v>96</v>
      </c>
      <c r="L1088" t="s">
        <v>119</v>
      </c>
      <c r="M1088" t="s">
        <v>123</v>
      </c>
      <c r="N1088" t="s">
        <v>28</v>
      </c>
      <c r="O1088">
        <v>0</v>
      </c>
      <c r="P1088">
        <v>59716</v>
      </c>
      <c r="Q1088">
        <f t="shared" si="18"/>
        <v>5.9715999999999998E-2</v>
      </c>
      <c r="R1088">
        <v>43252</v>
      </c>
      <c r="S1088" t="s">
        <v>122</v>
      </c>
    </row>
    <row r="1089" spans="1:19">
      <c r="A1089">
        <v>60000454</v>
      </c>
      <c r="B1089">
        <v>27</v>
      </c>
      <c r="C1089" t="s">
        <v>18</v>
      </c>
      <c r="D1089" t="s">
        <v>19</v>
      </c>
      <c r="E1089" t="s">
        <v>56</v>
      </c>
      <c r="F1089" t="s">
        <v>35</v>
      </c>
      <c r="G1089" s="23">
        <v>0.32</v>
      </c>
      <c r="H1089" t="s">
        <v>42</v>
      </c>
      <c r="I1089" t="s">
        <v>23</v>
      </c>
      <c r="J1089" t="s">
        <v>66</v>
      </c>
      <c r="K1089" t="s">
        <v>49</v>
      </c>
      <c r="L1089" t="s">
        <v>119</v>
      </c>
      <c r="M1089" t="s">
        <v>123</v>
      </c>
      <c r="N1089" t="s">
        <v>51</v>
      </c>
      <c r="O1089">
        <v>4</v>
      </c>
      <c r="P1089">
        <v>84839</v>
      </c>
      <c r="Q1089">
        <f t="shared" si="18"/>
        <v>8.4838999999999998E-2</v>
      </c>
      <c r="R1089">
        <v>43252</v>
      </c>
      <c r="S1089" t="s">
        <v>122</v>
      </c>
    </row>
    <row r="1090" spans="1:19">
      <c r="A1090">
        <v>60000455</v>
      </c>
      <c r="B1090">
        <v>57</v>
      </c>
      <c r="C1090" t="s">
        <v>33</v>
      </c>
      <c r="D1090" t="s">
        <v>40</v>
      </c>
      <c r="E1090" t="s">
        <v>72</v>
      </c>
      <c r="F1090" t="s">
        <v>120</v>
      </c>
      <c r="G1090" s="23">
        <v>0.35</v>
      </c>
      <c r="H1090" t="s">
        <v>42</v>
      </c>
      <c r="I1090" t="s">
        <v>73</v>
      </c>
      <c r="J1090" t="s">
        <v>24</v>
      </c>
      <c r="K1090" t="s">
        <v>47</v>
      </c>
      <c r="L1090" t="s">
        <v>26</v>
      </c>
      <c r="M1090" t="s">
        <v>123</v>
      </c>
      <c r="N1090" t="s">
        <v>51</v>
      </c>
      <c r="O1090">
        <v>0</v>
      </c>
      <c r="P1090">
        <v>52981</v>
      </c>
      <c r="Q1090">
        <f t="shared" si="18"/>
        <v>5.2981E-2</v>
      </c>
      <c r="R1090">
        <v>43252</v>
      </c>
      <c r="S1090" t="s">
        <v>122</v>
      </c>
    </row>
    <row r="1091" spans="1:19">
      <c r="A1091">
        <v>60000456</v>
      </c>
      <c r="B1091">
        <v>27</v>
      </c>
      <c r="C1091" t="s">
        <v>18</v>
      </c>
      <c r="D1091" t="s">
        <v>19</v>
      </c>
      <c r="E1091" t="s">
        <v>56</v>
      </c>
      <c r="F1091" t="s">
        <v>21</v>
      </c>
      <c r="G1091" s="23">
        <v>0.25</v>
      </c>
      <c r="H1091" t="s">
        <v>53</v>
      </c>
      <c r="I1091" t="s">
        <v>68</v>
      </c>
      <c r="J1091" t="s">
        <v>54</v>
      </c>
      <c r="K1091" t="s">
        <v>65</v>
      </c>
      <c r="L1091" t="s">
        <v>26</v>
      </c>
      <c r="M1091" t="s">
        <v>123</v>
      </c>
      <c r="N1091" t="s">
        <v>28</v>
      </c>
      <c r="O1091">
        <v>0</v>
      </c>
      <c r="P1091">
        <v>75264</v>
      </c>
      <c r="Q1091">
        <f t="shared" si="18"/>
        <v>7.5263999999999998E-2</v>
      </c>
      <c r="R1091">
        <v>43252</v>
      </c>
      <c r="S1091" t="s">
        <v>122</v>
      </c>
    </row>
    <row r="1092" spans="1:19">
      <c r="A1092">
        <v>60000457</v>
      </c>
      <c r="B1092">
        <v>54</v>
      </c>
      <c r="C1092" t="s">
        <v>18</v>
      </c>
      <c r="D1092" t="s">
        <v>40</v>
      </c>
      <c r="E1092" t="s">
        <v>56</v>
      </c>
      <c r="F1092" t="s">
        <v>35</v>
      </c>
      <c r="G1092" s="23">
        <v>0.17</v>
      </c>
      <c r="H1092" t="s">
        <v>22</v>
      </c>
      <c r="I1092" t="s">
        <v>80</v>
      </c>
      <c r="J1092" t="s">
        <v>54</v>
      </c>
      <c r="K1092" t="s">
        <v>114</v>
      </c>
      <c r="L1092" t="s">
        <v>121</v>
      </c>
      <c r="M1092" t="s">
        <v>123</v>
      </c>
      <c r="N1092" t="s">
        <v>51</v>
      </c>
      <c r="O1092">
        <v>0</v>
      </c>
      <c r="P1092">
        <v>40112</v>
      </c>
      <c r="Q1092">
        <f t="shared" si="18"/>
        <v>4.0112000000000002E-2</v>
      </c>
      <c r="R1092">
        <v>43252</v>
      </c>
      <c r="S1092" t="s">
        <v>122</v>
      </c>
    </row>
    <row r="1093" spans="1:19">
      <c r="A1093">
        <v>60000458</v>
      </c>
      <c r="B1093">
        <v>31</v>
      </c>
      <c r="C1093" t="s">
        <v>18</v>
      </c>
      <c r="D1093" t="s">
        <v>40</v>
      </c>
      <c r="E1093" t="s">
        <v>72</v>
      </c>
      <c r="F1093" t="s">
        <v>120</v>
      </c>
      <c r="G1093" s="23">
        <v>0.32</v>
      </c>
      <c r="H1093" t="s">
        <v>42</v>
      </c>
      <c r="I1093" t="s">
        <v>76</v>
      </c>
      <c r="J1093" t="s">
        <v>74</v>
      </c>
      <c r="K1093" t="s">
        <v>25</v>
      </c>
      <c r="L1093" t="s">
        <v>121</v>
      </c>
      <c r="M1093" t="s">
        <v>123</v>
      </c>
      <c r="N1093" t="s">
        <v>28</v>
      </c>
      <c r="O1093">
        <v>1</v>
      </c>
      <c r="P1093">
        <v>35550</v>
      </c>
      <c r="Q1093">
        <f t="shared" si="18"/>
        <v>3.5549999999999998E-2</v>
      </c>
      <c r="R1093">
        <v>43252</v>
      </c>
      <c r="S1093" t="s">
        <v>122</v>
      </c>
    </row>
    <row r="1094" spans="1:19">
      <c r="A1094">
        <v>60000459</v>
      </c>
      <c r="B1094">
        <v>21</v>
      </c>
      <c r="C1094" t="s">
        <v>33</v>
      </c>
      <c r="D1094" t="s">
        <v>40</v>
      </c>
      <c r="E1094" t="s">
        <v>48</v>
      </c>
      <c r="F1094" t="s">
        <v>120</v>
      </c>
      <c r="G1094" s="23">
        <v>0.13</v>
      </c>
      <c r="H1094" t="s">
        <v>22</v>
      </c>
      <c r="I1094" t="s">
        <v>70</v>
      </c>
      <c r="J1094" t="s">
        <v>66</v>
      </c>
      <c r="K1094" t="s">
        <v>79</v>
      </c>
      <c r="L1094" t="s">
        <v>26</v>
      </c>
      <c r="M1094" t="s">
        <v>123</v>
      </c>
      <c r="N1094" t="s">
        <v>51</v>
      </c>
      <c r="O1094">
        <v>0</v>
      </c>
      <c r="P1094">
        <v>31234</v>
      </c>
      <c r="Q1094">
        <f t="shared" si="18"/>
        <v>3.1234000000000001E-2</v>
      </c>
      <c r="R1094">
        <v>43252</v>
      </c>
      <c r="S1094" t="s">
        <v>122</v>
      </c>
    </row>
    <row r="1095" spans="1:19">
      <c r="A1095">
        <v>60000460</v>
      </c>
      <c r="B1095">
        <v>24</v>
      </c>
      <c r="C1095" t="s">
        <v>18</v>
      </c>
      <c r="D1095" t="s">
        <v>19</v>
      </c>
      <c r="E1095" t="s">
        <v>48</v>
      </c>
      <c r="F1095" t="s">
        <v>21</v>
      </c>
      <c r="G1095" s="23">
        <v>0.15</v>
      </c>
      <c r="H1095" t="s">
        <v>22</v>
      </c>
      <c r="I1095" t="s">
        <v>83</v>
      </c>
      <c r="J1095" t="s">
        <v>46</v>
      </c>
      <c r="K1095" t="s">
        <v>47</v>
      </c>
      <c r="L1095" t="s">
        <v>26</v>
      </c>
      <c r="M1095" t="s">
        <v>123</v>
      </c>
      <c r="N1095" t="s">
        <v>28</v>
      </c>
      <c r="O1095">
        <v>5</v>
      </c>
      <c r="P1095">
        <v>47650</v>
      </c>
      <c r="Q1095">
        <f t="shared" si="18"/>
        <v>4.7649999999999998E-2</v>
      </c>
      <c r="R1095">
        <v>43252</v>
      </c>
      <c r="S1095" t="s">
        <v>122</v>
      </c>
    </row>
    <row r="1096" spans="1:19">
      <c r="A1096">
        <v>60000461</v>
      </c>
      <c r="B1096">
        <v>61</v>
      </c>
      <c r="C1096" t="s">
        <v>18</v>
      </c>
      <c r="D1096" t="s">
        <v>19</v>
      </c>
      <c r="E1096" t="s">
        <v>64</v>
      </c>
      <c r="F1096" t="s">
        <v>120</v>
      </c>
      <c r="G1096" s="23">
        <v>0.28999999999999998</v>
      </c>
      <c r="H1096" t="s">
        <v>53</v>
      </c>
      <c r="I1096" t="s">
        <v>68</v>
      </c>
      <c r="J1096" t="s">
        <v>24</v>
      </c>
      <c r="K1096" t="s">
        <v>25</v>
      </c>
      <c r="L1096" t="s">
        <v>119</v>
      </c>
      <c r="M1096" t="s">
        <v>123</v>
      </c>
      <c r="N1096" t="s">
        <v>51</v>
      </c>
      <c r="O1096">
        <v>0</v>
      </c>
      <c r="P1096">
        <v>74390</v>
      </c>
      <c r="Q1096">
        <f t="shared" si="18"/>
        <v>7.4389999999999998E-2</v>
      </c>
      <c r="R1096">
        <v>43252</v>
      </c>
      <c r="S1096" t="s">
        <v>122</v>
      </c>
    </row>
    <row r="1097" spans="1:19">
      <c r="A1097">
        <v>60000462</v>
      </c>
      <c r="B1097">
        <v>52</v>
      </c>
      <c r="C1097" t="s">
        <v>33</v>
      </c>
      <c r="D1097" t="s">
        <v>40</v>
      </c>
      <c r="E1097" t="s">
        <v>67</v>
      </c>
      <c r="F1097" t="s">
        <v>35</v>
      </c>
      <c r="G1097" s="23">
        <v>0.27</v>
      </c>
      <c r="H1097" t="s">
        <v>53</v>
      </c>
      <c r="I1097" t="s">
        <v>86</v>
      </c>
      <c r="J1097" t="s">
        <v>54</v>
      </c>
      <c r="K1097" t="s">
        <v>98</v>
      </c>
      <c r="L1097" t="s">
        <v>121</v>
      </c>
      <c r="M1097" t="s">
        <v>123</v>
      </c>
      <c r="N1097" t="s">
        <v>51</v>
      </c>
      <c r="O1097">
        <v>1</v>
      </c>
      <c r="P1097">
        <v>31964</v>
      </c>
      <c r="Q1097">
        <f t="shared" si="18"/>
        <v>3.1963999999999999E-2</v>
      </c>
      <c r="R1097">
        <v>43252</v>
      </c>
      <c r="S1097" t="s">
        <v>122</v>
      </c>
    </row>
    <row r="1098" spans="1:19">
      <c r="A1098">
        <v>60000463</v>
      </c>
      <c r="B1098">
        <v>62</v>
      </c>
      <c r="C1098" t="s">
        <v>33</v>
      </c>
      <c r="D1098" t="s">
        <v>40</v>
      </c>
      <c r="E1098" t="s">
        <v>20</v>
      </c>
      <c r="F1098" t="s">
        <v>35</v>
      </c>
      <c r="G1098" s="23">
        <v>0.18</v>
      </c>
      <c r="H1098" t="s">
        <v>22</v>
      </c>
      <c r="I1098" t="s">
        <v>70</v>
      </c>
      <c r="J1098" t="s">
        <v>91</v>
      </c>
      <c r="K1098" t="s">
        <v>39</v>
      </c>
      <c r="L1098" t="s">
        <v>121</v>
      </c>
      <c r="M1098" t="s">
        <v>123</v>
      </c>
      <c r="N1098" t="s">
        <v>51</v>
      </c>
      <c r="O1098">
        <v>0</v>
      </c>
      <c r="P1098">
        <v>36758</v>
      </c>
      <c r="Q1098">
        <f t="shared" si="18"/>
        <v>3.6757999999999999E-2</v>
      </c>
      <c r="R1098">
        <v>43252</v>
      </c>
      <c r="S1098" t="s">
        <v>122</v>
      </c>
    </row>
    <row r="1099" spans="1:19">
      <c r="A1099">
        <v>60000464</v>
      </c>
      <c r="B1099">
        <v>29</v>
      </c>
      <c r="C1099" t="s">
        <v>18</v>
      </c>
      <c r="D1099" t="s">
        <v>40</v>
      </c>
      <c r="E1099" t="s">
        <v>44</v>
      </c>
      <c r="F1099" t="s">
        <v>21</v>
      </c>
      <c r="G1099" s="23">
        <v>0.2</v>
      </c>
      <c r="H1099" t="s">
        <v>29</v>
      </c>
      <c r="I1099" t="s">
        <v>70</v>
      </c>
      <c r="J1099" t="s">
        <v>88</v>
      </c>
      <c r="K1099" t="s">
        <v>101</v>
      </c>
      <c r="L1099" t="s">
        <v>119</v>
      </c>
      <c r="M1099" t="s">
        <v>123</v>
      </c>
      <c r="N1099" t="s">
        <v>28</v>
      </c>
      <c r="O1099">
        <v>3</v>
      </c>
      <c r="P1099">
        <v>74360</v>
      </c>
      <c r="Q1099">
        <f t="shared" si="18"/>
        <v>7.4359999999999996E-2</v>
      </c>
      <c r="R1099">
        <v>43252</v>
      </c>
      <c r="S1099" t="s">
        <v>122</v>
      </c>
    </row>
    <row r="1100" spans="1:19">
      <c r="A1100">
        <v>60000465</v>
      </c>
      <c r="B1100">
        <v>53</v>
      </c>
      <c r="C1100" t="s">
        <v>33</v>
      </c>
      <c r="D1100" t="s">
        <v>40</v>
      </c>
      <c r="E1100" t="s">
        <v>52</v>
      </c>
      <c r="F1100" t="s">
        <v>35</v>
      </c>
      <c r="G1100" s="23">
        <v>0.15</v>
      </c>
      <c r="H1100" t="s">
        <v>22</v>
      </c>
      <c r="I1100" t="s">
        <v>23</v>
      </c>
      <c r="J1100" t="s">
        <v>54</v>
      </c>
      <c r="K1100" t="s">
        <v>115</v>
      </c>
      <c r="L1100" t="s">
        <v>121</v>
      </c>
      <c r="M1100" t="s">
        <v>123</v>
      </c>
      <c r="N1100" t="s">
        <v>28</v>
      </c>
      <c r="O1100">
        <v>6</v>
      </c>
      <c r="P1100">
        <v>38342</v>
      </c>
      <c r="Q1100">
        <f t="shared" si="18"/>
        <v>3.8342000000000001E-2</v>
      </c>
      <c r="R1100">
        <v>43252</v>
      </c>
      <c r="S1100" t="s">
        <v>122</v>
      </c>
    </row>
    <row r="1101" spans="1:19">
      <c r="A1101">
        <v>60000466</v>
      </c>
      <c r="B1101">
        <v>34</v>
      </c>
      <c r="C1101" t="s">
        <v>33</v>
      </c>
      <c r="D1101" t="s">
        <v>19</v>
      </c>
      <c r="E1101" t="s">
        <v>20</v>
      </c>
      <c r="F1101" t="s">
        <v>35</v>
      </c>
      <c r="G1101" s="23">
        <v>0.25</v>
      </c>
      <c r="H1101" t="s">
        <v>53</v>
      </c>
      <c r="I1101" t="s">
        <v>68</v>
      </c>
      <c r="J1101" t="s">
        <v>74</v>
      </c>
      <c r="K1101" t="s">
        <v>84</v>
      </c>
      <c r="L1101" t="s">
        <v>121</v>
      </c>
      <c r="M1101" t="s">
        <v>123</v>
      </c>
      <c r="N1101" t="s">
        <v>51</v>
      </c>
      <c r="O1101">
        <v>0</v>
      </c>
      <c r="P1101">
        <v>23348</v>
      </c>
      <c r="Q1101">
        <f t="shared" si="18"/>
        <v>2.3348000000000001E-2</v>
      </c>
      <c r="R1101">
        <v>43252</v>
      </c>
      <c r="S1101" t="s">
        <v>122</v>
      </c>
    </row>
    <row r="1102" spans="1:19">
      <c r="A1102">
        <v>60000467</v>
      </c>
      <c r="B1102">
        <v>23</v>
      </c>
      <c r="C1102" t="s">
        <v>33</v>
      </c>
      <c r="D1102" t="s">
        <v>19</v>
      </c>
      <c r="E1102" t="s">
        <v>67</v>
      </c>
      <c r="F1102" t="s">
        <v>35</v>
      </c>
      <c r="G1102" s="23">
        <v>0.1</v>
      </c>
      <c r="H1102" t="s">
        <v>36</v>
      </c>
      <c r="I1102" t="s">
        <v>37</v>
      </c>
      <c r="J1102" t="s">
        <v>69</v>
      </c>
      <c r="K1102" t="s">
        <v>94</v>
      </c>
      <c r="L1102" t="s">
        <v>121</v>
      </c>
      <c r="M1102" t="s">
        <v>123</v>
      </c>
      <c r="N1102" t="s">
        <v>51</v>
      </c>
      <c r="O1102">
        <v>0</v>
      </c>
      <c r="P1102">
        <v>59192</v>
      </c>
      <c r="Q1102">
        <f t="shared" si="18"/>
        <v>5.9192000000000002E-2</v>
      </c>
      <c r="R1102">
        <v>43252</v>
      </c>
      <c r="S1102" t="s">
        <v>122</v>
      </c>
    </row>
    <row r="1103" spans="1:19">
      <c r="A1103">
        <v>60000468</v>
      </c>
      <c r="B1103">
        <v>46</v>
      </c>
      <c r="C1103" t="s">
        <v>18</v>
      </c>
      <c r="D1103" t="s">
        <v>19</v>
      </c>
      <c r="E1103" t="s">
        <v>56</v>
      </c>
      <c r="F1103" t="s">
        <v>21</v>
      </c>
      <c r="G1103" s="23">
        <v>0.13</v>
      </c>
      <c r="H1103" t="s">
        <v>22</v>
      </c>
      <c r="I1103" t="s">
        <v>65</v>
      </c>
      <c r="J1103" t="s">
        <v>38</v>
      </c>
      <c r="K1103" t="s">
        <v>25</v>
      </c>
      <c r="L1103" t="s">
        <v>119</v>
      </c>
      <c r="M1103" t="s">
        <v>123</v>
      </c>
      <c r="N1103" t="s">
        <v>51</v>
      </c>
      <c r="O1103">
        <v>6</v>
      </c>
      <c r="P1103">
        <v>84233</v>
      </c>
      <c r="Q1103">
        <f t="shared" si="18"/>
        <v>8.4233000000000002E-2</v>
      </c>
      <c r="R1103">
        <v>43252</v>
      </c>
      <c r="S1103" t="s">
        <v>122</v>
      </c>
    </row>
    <row r="1104" spans="1:19">
      <c r="A1104">
        <v>60000469</v>
      </c>
      <c r="B1104">
        <v>53</v>
      </c>
      <c r="C1104" t="s">
        <v>18</v>
      </c>
      <c r="D1104" t="s">
        <v>40</v>
      </c>
      <c r="E1104" t="s">
        <v>85</v>
      </c>
      <c r="F1104" t="s">
        <v>21</v>
      </c>
      <c r="G1104" s="23">
        <v>0.28000000000000003</v>
      </c>
      <c r="H1104" t="s">
        <v>53</v>
      </c>
      <c r="I1104" t="s">
        <v>23</v>
      </c>
      <c r="J1104" t="s">
        <v>78</v>
      </c>
      <c r="K1104" t="s">
        <v>49</v>
      </c>
      <c r="L1104" t="s">
        <v>26</v>
      </c>
      <c r="M1104" t="s">
        <v>123</v>
      </c>
      <c r="N1104" t="s">
        <v>51</v>
      </c>
      <c r="O1104">
        <v>6</v>
      </c>
      <c r="P1104">
        <v>68066</v>
      </c>
      <c r="Q1104">
        <f t="shared" si="18"/>
        <v>6.8066000000000002E-2</v>
      </c>
      <c r="R1104">
        <v>43252</v>
      </c>
      <c r="S1104" t="s">
        <v>122</v>
      </c>
    </row>
    <row r="1105" spans="1:19">
      <c r="A1105">
        <v>60000470</v>
      </c>
      <c r="B1105">
        <v>58</v>
      </c>
      <c r="C1105" t="s">
        <v>33</v>
      </c>
      <c r="D1105" t="s">
        <v>19</v>
      </c>
      <c r="E1105" t="s">
        <v>41</v>
      </c>
      <c r="F1105" t="s">
        <v>21</v>
      </c>
      <c r="G1105" s="23">
        <v>0.23</v>
      </c>
      <c r="H1105" t="s">
        <v>29</v>
      </c>
      <c r="I1105" t="s">
        <v>49</v>
      </c>
      <c r="J1105" t="s">
        <v>78</v>
      </c>
      <c r="K1105" t="s">
        <v>111</v>
      </c>
      <c r="L1105" t="s">
        <v>121</v>
      </c>
      <c r="M1105" t="s">
        <v>123</v>
      </c>
      <c r="N1105" t="s">
        <v>28</v>
      </c>
      <c r="O1105">
        <v>6</v>
      </c>
      <c r="P1105">
        <v>76494</v>
      </c>
      <c r="Q1105">
        <f t="shared" si="18"/>
        <v>7.6494000000000006E-2</v>
      </c>
      <c r="R1105">
        <v>43252</v>
      </c>
      <c r="S1105" t="s">
        <v>122</v>
      </c>
    </row>
    <row r="1106" spans="1:19">
      <c r="A1106">
        <v>60000471</v>
      </c>
      <c r="B1106">
        <v>49</v>
      </c>
      <c r="C1106" t="s">
        <v>33</v>
      </c>
      <c r="D1106" t="s">
        <v>19</v>
      </c>
      <c r="E1106" t="s">
        <v>52</v>
      </c>
      <c r="F1106" t="s">
        <v>120</v>
      </c>
      <c r="G1106" s="23">
        <v>0.13</v>
      </c>
      <c r="H1106" t="s">
        <v>22</v>
      </c>
      <c r="I1106" t="s">
        <v>68</v>
      </c>
      <c r="J1106" t="s">
        <v>58</v>
      </c>
      <c r="K1106" t="s">
        <v>97</v>
      </c>
      <c r="L1106" t="s">
        <v>121</v>
      </c>
      <c r="M1106" t="s">
        <v>123</v>
      </c>
      <c r="N1106" t="s">
        <v>51</v>
      </c>
      <c r="O1106">
        <v>6</v>
      </c>
      <c r="P1106">
        <v>34053</v>
      </c>
      <c r="Q1106">
        <f t="shared" si="18"/>
        <v>3.4053E-2</v>
      </c>
      <c r="R1106">
        <v>43252</v>
      </c>
      <c r="S1106" t="s">
        <v>122</v>
      </c>
    </row>
    <row r="1107" spans="1:19">
      <c r="A1107">
        <v>60000472</v>
      </c>
      <c r="B1107">
        <v>45</v>
      </c>
      <c r="C1107" t="s">
        <v>33</v>
      </c>
      <c r="D1107" t="s">
        <v>19</v>
      </c>
      <c r="E1107" t="s">
        <v>85</v>
      </c>
      <c r="F1107" t="s">
        <v>35</v>
      </c>
      <c r="G1107" s="23">
        <v>0.32</v>
      </c>
      <c r="H1107" t="s">
        <v>42</v>
      </c>
      <c r="I1107" t="s">
        <v>23</v>
      </c>
      <c r="J1107" t="s">
        <v>38</v>
      </c>
      <c r="K1107" t="s">
        <v>106</v>
      </c>
      <c r="L1107" t="s">
        <v>121</v>
      </c>
      <c r="M1107" t="s">
        <v>123</v>
      </c>
      <c r="N1107" t="s">
        <v>28</v>
      </c>
      <c r="O1107">
        <v>0</v>
      </c>
      <c r="P1107">
        <v>79293</v>
      </c>
      <c r="Q1107">
        <f t="shared" si="18"/>
        <v>7.9293000000000002E-2</v>
      </c>
      <c r="R1107">
        <v>43252</v>
      </c>
      <c r="S1107" t="s">
        <v>122</v>
      </c>
    </row>
    <row r="1108" spans="1:19">
      <c r="A1108">
        <v>60000473</v>
      </c>
      <c r="B1108">
        <v>37</v>
      </c>
      <c r="C1108" t="s">
        <v>33</v>
      </c>
      <c r="D1108" t="s">
        <v>40</v>
      </c>
      <c r="E1108" t="s">
        <v>85</v>
      </c>
      <c r="F1108" t="s">
        <v>35</v>
      </c>
      <c r="G1108" s="23">
        <v>0.23</v>
      </c>
      <c r="H1108" t="s">
        <v>29</v>
      </c>
      <c r="I1108" t="s">
        <v>80</v>
      </c>
      <c r="J1108" t="s">
        <v>38</v>
      </c>
      <c r="K1108" t="s">
        <v>107</v>
      </c>
      <c r="L1108" t="s">
        <v>119</v>
      </c>
      <c r="M1108" t="s">
        <v>123</v>
      </c>
      <c r="N1108" t="s">
        <v>28</v>
      </c>
      <c r="O1108">
        <v>0</v>
      </c>
      <c r="P1108">
        <v>25683</v>
      </c>
      <c r="Q1108">
        <f t="shared" si="18"/>
        <v>2.5683000000000001E-2</v>
      </c>
      <c r="R1108">
        <v>43252</v>
      </c>
      <c r="S1108" t="s">
        <v>122</v>
      </c>
    </row>
    <row r="1109" spans="1:19">
      <c r="A1109">
        <v>60000474</v>
      </c>
      <c r="B1109">
        <v>28</v>
      </c>
      <c r="C1109" t="s">
        <v>33</v>
      </c>
      <c r="D1109" t="s">
        <v>19</v>
      </c>
      <c r="E1109" t="s">
        <v>85</v>
      </c>
      <c r="F1109" t="s">
        <v>21</v>
      </c>
      <c r="G1109" s="23">
        <v>0.15</v>
      </c>
      <c r="H1109" t="s">
        <v>22</v>
      </c>
      <c r="I1109" t="s">
        <v>30</v>
      </c>
      <c r="J1109" t="s">
        <v>58</v>
      </c>
      <c r="K1109" t="s">
        <v>105</v>
      </c>
      <c r="L1109" t="s">
        <v>121</v>
      </c>
      <c r="M1109" t="s">
        <v>123</v>
      </c>
      <c r="N1109" t="s">
        <v>51</v>
      </c>
      <c r="O1109">
        <v>0</v>
      </c>
      <c r="P1109">
        <v>57179</v>
      </c>
      <c r="Q1109">
        <f t="shared" si="18"/>
        <v>5.7179000000000001E-2</v>
      </c>
      <c r="R1109">
        <v>43252</v>
      </c>
      <c r="S1109" t="s">
        <v>122</v>
      </c>
    </row>
    <row r="1110" spans="1:19">
      <c r="A1110">
        <v>60000475</v>
      </c>
      <c r="B1110">
        <v>45</v>
      </c>
      <c r="C1110" t="s">
        <v>33</v>
      </c>
      <c r="D1110" t="s">
        <v>40</v>
      </c>
      <c r="E1110" t="s">
        <v>44</v>
      </c>
      <c r="F1110" t="s">
        <v>35</v>
      </c>
      <c r="G1110" s="23">
        <v>0.2</v>
      </c>
      <c r="H1110" t="s">
        <v>29</v>
      </c>
      <c r="I1110" t="s">
        <v>73</v>
      </c>
      <c r="J1110" t="s">
        <v>78</v>
      </c>
      <c r="K1110" t="s">
        <v>59</v>
      </c>
      <c r="L1110" t="s">
        <v>121</v>
      </c>
      <c r="M1110" t="s">
        <v>123</v>
      </c>
      <c r="N1110" t="s">
        <v>51</v>
      </c>
      <c r="O1110">
        <v>3</v>
      </c>
      <c r="P1110">
        <v>75455</v>
      </c>
      <c r="Q1110">
        <f t="shared" si="18"/>
        <v>7.5454999999999994E-2</v>
      </c>
      <c r="R1110">
        <v>43252</v>
      </c>
      <c r="S1110" t="s">
        <v>122</v>
      </c>
    </row>
    <row r="1111" spans="1:19">
      <c r="A1111">
        <v>60000476</v>
      </c>
      <c r="B1111">
        <v>46</v>
      </c>
      <c r="C1111" t="s">
        <v>33</v>
      </c>
      <c r="D1111" t="s">
        <v>19</v>
      </c>
      <c r="E1111" t="s">
        <v>64</v>
      </c>
      <c r="F1111" t="s">
        <v>120</v>
      </c>
      <c r="G1111" s="23">
        <v>0.31</v>
      </c>
      <c r="H1111" t="s">
        <v>53</v>
      </c>
      <c r="I1111" t="s">
        <v>73</v>
      </c>
      <c r="J1111" t="s">
        <v>24</v>
      </c>
      <c r="K1111" t="s">
        <v>105</v>
      </c>
      <c r="L1111" t="s">
        <v>119</v>
      </c>
      <c r="M1111" t="s">
        <v>123</v>
      </c>
      <c r="N1111" t="s">
        <v>51</v>
      </c>
      <c r="O1111">
        <v>3</v>
      </c>
      <c r="P1111">
        <v>84609</v>
      </c>
      <c r="Q1111">
        <f t="shared" si="18"/>
        <v>8.4609000000000004E-2</v>
      </c>
      <c r="R1111">
        <v>43252</v>
      </c>
      <c r="S1111" t="s">
        <v>122</v>
      </c>
    </row>
    <row r="1112" spans="1:19">
      <c r="A1112">
        <v>60000477</v>
      </c>
      <c r="B1112">
        <v>50</v>
      </c>
      <c r="C1112" t="s">
        <v>18</v>
      </c>
      <c r="D1112" t="s">
        <v>40</v>
      </c>
      <c r="E1112" t="s">
        <v>72</v>
      </c>
      <c r="F1112" t="s">
        <v>35</v>
      </c>
      <c r="G1112" s="23">
        <v>0.11</v>
      </c>
      <c r="H1112" t="s">
        <v>36</v>
      </c>
      <c r="I1112" t="s">
        <v>68</v>
      </c>
      <c r="J1112" t="s">
        <v>78</v>
      </c>
      <c r="K1112" t="s">
        <v>104</v>
      </c>
      <c r="L1112" t="s">
        <v>26</v>
      </c>
      <c r="M1112" t="s">
        <v>123</v>
      </c>
      <c r="N1112" t="s">
        <v>51</v>
      </c>
      <c r="O1112">
        <v>5</v>
      </c>
      <c r="P1112">
        <v>55080</v>
      </c>
      <c r="Q1112">
        <f t="shared" si="18"/>
        <v>5.5079999999999997E-2</v>
      </c>
      <c r="R1112">
        <v>43252</v>
      </c>
      <c r="S1112" t="s">
        <v>122</v>
      </c>
    </row>
    <row r="1113" spans="1:19">
      <c r="A1113">
        <v>60000478</v>
      </c>
      <c r="B1113">
        <v>25</v>
      </c>
      <c r="C1113" t="s">
        <v>33</v>
      </c>
      <c r="D1113" t="s">
        <v>19</v>
      </c>
      <c r="E1113" t="s">
        <v>52</v>
      </c>
      <c r="F1113" t="s">
        <v>21</v>
      </c>
      <c r="G1113" s="23">
        <v>0.35</v>
      </c>
      <c r="H1113" t="s">
        <v>42</v>
      </c>
      <c r="I1113" t="s">
        <v>57</v>
      </c>
      <c r="J1113" t="s">
        <v>74</v>
      </c>
      <c r="K1113" t="s">
        <v>49</v>
      </c>
      <c r="L1113" t="s">
        <v>26</v>
      </c>
      <c r="M1113" t="s">
        <v>123</v>
      </c>
      <c r="N1113" t="s">
        <v>28</v>
      </c>
      <c r="O1113">
        <v>3</v>
      </c>
      <c r="P1113">
        <v>56686</v>
      </c>
      <c r="Q1113">
        <f t="shared" ref="Q1113:Q1176" si="19">+P1113/1000000</f>
        <v>5.6686E-2</v>
      </c>
      <c r="R1113">
        <v>43252</v>
      </c>
      <c r="S1113" t="s">
        <v>122</v>
      </c>
    </row>
    <row r="1114" spans="1:19">
      <c r="A1114">
        <v>60000479</v>
      </c>
      <c r="B1114">
        <v>38</v>
      </c>
      <c r="C1114" t="s">
        <v>33</v>
      </c>
      <c r="D1114" t="s">
        <v>19</v>
      </c>
      <c r="E1114" t="s">
        <v>20</v>
      </c>
      <c r="F1114" t="s">
        <v>21</v>
      </c>
      <c r="G1114" s="23">
        <v>0.35</v>
      </c>
      <c r="H1114" t="s">
        <v>42</v>
      </c>
      <c r="I1114" t="s">
        <v>86</v>
      </c>
      <c r="J1114" t="s">
        <v>78</v>
      </c>
      <c r="K1114" t="s">
        <v>49</v>
      </c>
      <c r="L1114" t="s">
        <v>26</v>
      </c>
      <c r="M1114" t="s">
        <v>123</v>
      </c>
      <c r="N1114" t="s">
        <v>51</v>
      </c>
      <c r="O1114">
        <v>5</v>
      </c>
      <c r="P1114">
        <v>61577</v>
      </c>
      <c r="Q1114">
        <f t="shared" si="19"/>
        <v>6.1577E-2</v>
      </c>
      <c r="R1114">
        <v>43252</v>
      </c>
      <c r="S1114" t="s">
        <v>122</v>
      </c>
    </row>
    <row r="1115" spans="1:19">
      <c r="A1115">
        <v>60000480</v>
      </c>
      <c r="B1115">
        <v>38</v>
      </c>
      <c r="C1115" t="s">
        <v>33</v>
      </c>
      <c r="D1115" t="s">
        <v>19</v>
      </c>
      <c r="E1115" t="s">
        <v>85</v>
      </c>
      <c r="F1115" t="s">
        <v>35</v>
      </c>
      <c r="G1115" s="23">
        <v>0.2</v>
      </c>
      <c r="H1115" t="s">
        <v>29</v>
      </c>
      <c r="I1115" t="s">
        <v>80</v>
      </c>
      <c r="J1115" t="s">
        <v>38</v>
      </c>
      <c r="K1115" t="s">
        <v>97</v>
      </c>
      <c r="L1115" t="s">
        <v>26</v>
      </c>
      <c r="M1115" t="s">
        <v>123</v>
      </c>
      <c r="N1115" t="s">
        <v>51</v>
      </c>
      <c r="O1115">
        <v>0</v>
      </c>
      <c r="P1115">
        <v>56751</v>
      </c>
      <c r="Q1115">
        <f t="shared" si="19"/>
        <v>5.6751000000000003E-2</v>
      </c>
      <c r="R1115">
        <v>43252</v>
      </c>
      <c r="S1115" t="s">
        <v>122</v>
      </c>
    </row>
    <row r="1116" spans="1:19">
      <c r="A1116">
        <v>60000481</v>
      </c>
      <c r="B1116">
        <v>45</v>
      </c>
      <c r="C1116" t="s">
        <v>18</v>
      </c>
      <c r="D1116" t="s">
        <v>19</v>
      </c>
      <c r="E1116" t="s">
        <v>34</v>
      </c>
      <c r="F1116" t="s">
        <v>21</v>
      </c>
      <c r="G1116" s="23">
        <v>0.32</v>
      </c>
      <c r="H1116" t="s">
        <v>42</v>
      </c>
      <c r="I1116" t="s">
        <v>76</v>
      </c>
      <c r="J1116" t="s">
        <v>31</v>
      </c>
      <c r="K1116" t="s">
        <v>108</v>
      </c>
      <c r="L1116" t="s">
        <v>119</v>
      </c>
      <c r="M1116" t="s">
        <v>123</v>
      </c>
      <c r="N1116" t="s">
        <v>28</v>
      </c>
      <c r="O1116">
        <v>3</v>
      </c>
      <c r="P1116">
        <v>68563</v>
      </c>
      <c r="Q1116">
        <f t="shared" si="19"/>
        <v>6.8562999999999999E-2</v>
      </c>
      <c r="R1116">
        <v>43252</v>
      </c>
      <c r="S1116" t="s">
        <v>122</v>
      </c>
    </row>
    <row r="1117" spans="1:19">
      <c r="A1117">
        <v>60000482</v>
      </c>
      <c r="B1117">
        <v>48</v>
      </c>
      <c r="C1117" t="s">
        <v>18</v>
      </c>
      <c r="D1117" t="s">
        <v>19</v>
      </c>
      <c r="E1117" t="s">
        <v>20</v>
      </c>
      <c r="F1117" t="s">
        <v>21</v>
      </c>
      <c r="G1117" s="23">
        <v>0.31</v>
      </c>
      <c r="H1117" t="s">
        <v>53</v>
      </c>
      <c r="I1117" t="s">
        <v>73</v>
      </c>
      <c r="J1117" t="s">
        <v>38</v>
      </c>
      <c r="K1117" t="s">
        <v>114</v>
      </c>
      <c r="L1117" t="s">
        <v>26</v>
      </c>
      <c r="M1117" t="s">
        <v>123</v>
      </c>
      <c r="N1117" t="s">
        <v>28</v>
      </c>
      <c r="O1117">
        <v>3</v>
      </c>
      <c r="P1117">
        <v>71105</v>
      </c>
      <c r="Q1117">
        <f t="shared" si="19"/>
        <v>7.1105000000000002E-2</v>
      </c>
      <c r="R1117">
        <v>43252</v>
      </c>
      <c r="S1117" t="s">
        <v>122</v>
      </c>
    </row>
    <row r="1118" spans="1:19">
      <c r="A1118">
        <v>60000483</v>
      </c>
      <c r="B1118">
        <v>57</v>
      </c>
      <c r="C1118" t="s">
        <v>33</v>
      </c>
      <c r="D1118" t="s">
        <v>40</v>
      </c>
      <c r="E1118" t="s">
        <v>64</v>
      </c>
      <c r="F1118" t="s">
        <v>35</v>
      </c>
      <c r="G1118" s="23">
        <v>0.35</v>
      </c>
      <c r="H1118" t="s">
        <v>42</v>
      </c>
      <c r="I1118" t="s">
        <v>57</v>
      </c>
      <c r="J1118" t="s">
        <v>38</v>
      </c>
      <c r="K1118" t="s">
        <v>89</v>
      </c>
      <c r="L1118" t="s">
        <v>119</v>
      </c>
      <c r="M1118" t="s">
        <v>123</v>
      </c>
      <c r="N1118" t="s">
        <v>51</v>
      </c>
      <c r="O1118">
        <v>1</v>
      </c>
      <c r="P1118">
        <v>60253</v>
      </c>
      <c r="Q1118">
        <f t="shared" si="19"/>
        <v>6.0253000000000001E-2</v>
      </c>
      <c r="R1118">
        <v>43252</v>
      </c>
      <c r="S1118" t="s">
        <v>122</v>
      </c>
    </row>
    <row r="1119" spans="1:19">
      <c r="A1119">
        <v>60000484</v>
      </c>
      <c r="B1119">
        <v>60</v>
      </c>
      <c r="C1119" t="s">
        <v>33</v>
      </c>
      <c r="D1119" t="s">
        <v>19</v>
      </c>
      <c r="E1119" t="s">
        <v>85</v>
      </c>
      <c r="F1119" t="s">
        <v>21</v>
      </c>
      <c r="G1119" s="23">
        <v>0.3</v>
      </c>
      <c r="H1119" t="s">
        <v>53</v>
      </c>
      <c r="I1119" t="s">
        <v>37</v>
      </c>
      <c r="J1119" t="s">
        <v>58</v>
      </c>
      <c r="K1119" t="s">
        <v>99</v>
      </c>
      <c r="L1119" t="s">
        <v>119</v>
      </c>
      <c r="M1119" t="s">
        <v>123</v>
      </c>
      <c r="N1119" t="s">
        <v>28</v>
      </c>
      <c r="O1119">
        <v>1</v>
      </c>
      <c r="P1119">
        <v>80860</v>
      </c>
      <c r="Q1119">
        <f t="shared" si="19"/>
        <v>8.0860000000000001E-2</v>
      </c>
      <c r="R1119">
        <v>43252</v>
      </c>
      <c r="S1119" t="s">
        <v>122</v>
      </c>
    </row>
    <row r="1120" spans="1:19">
      <c r="A1120">
        <v>60000485</v>
      </c>
      <c r="B1120">
        <v>33</v>
      </c>
      <c r="C1120" t="s">
        <v>18</v>
      </c>
      <c r="D1120" t="s">
        <v>40</v>
      </c>
      <c r="E1120" t="s">
        <v>48</v>
      </c>
      <c r="F1120" t="s">
        <v>21</v>
      </c>
      <c r="G1120" s="23">
        <v>0.11</v>
      </c>
      <c r="H1120" t="s">
        <v>36</v>
      </c>
      <c r="I1120" t="s">
        <v>62</v>
      </c>
      <c r="J1120" t="s">
        <v>58</v>
      </c>
      <c r="K1120" t="s">
        <v>107</v>
      </c>
      <c r="L1120" t="s">
        <v>119</v>
      </c>
      <c r="M1120" t="s">
        <v>123</v>
      </c>
      <c r="N1120" t="s">
        <v>51</v>
      </c>
      <c r="O1120">
        <v>0</v>
      </c>
      <c r="P1120">
        <v>48374</v>
      </c>
      <c r="Q1120">
        <f t="shared" si="19"/>
        <v>4.8374E-2</v>
      </c>
      <c r="R1120">
        <v>43252</v>
      </c>
      <c r="S1120" t="s">
        <v>122</v>
      </c>
    </row>
    <row r="1121" spans="1:19">
      <c r="A1121">
        <v>60000486</v>
      </c>
      <c r="B1121">
        <v>61</v>
      </c>
      <c r="C1121" t="s">
        <v>18</v>
      </c>
      <c r="D1121" t="s">
        <v>19</v>
      </c>
      <c r="E1121" t="s">
        <v>56</v>
      </c>
      <c r="F1121" t="s">
        <v>21</v>
      </c>
      <c r="G1121" s="23">
        <v>0.14000000000000001</v>
      </c>
      <c r="H1121" t="s">
        <v>22</v>
      </c>
      <c r="I1121" t="s">
        <v>80</v>
      </c>
      <c r="J1121" t="s">
        <v>54</v>
      </c>
      <c r="K1121" t="s">
        <v>50</v>
      </c>
      <c r="L1121" t="s">
        <v>121</v>
      </c>
      <c r="M1121" t="s">
        <v>123</v>
      </c>
      <c r="N1121" t="s">
        <v>51</v>
      </c>
      <c r="O1121">
        <v>0</v>
      </c>
      <c r="P1121">
        <v>51538</v>
      </c>
      <c r="Q1121">
        <f t="shared" si="19"/>
        <v>5.1538E-2</v>
      </c>
      <c r="R1121">
        <v>43252</v>
      </c>
      <c r="S1121" t="s">
        <v>122</v>
      </c>
    </row>
    <row r="1122" spans="1:19">
      <c r="A1122">
        <v>60000487</v>
      </c>
      <c r="B1122">
        <v>40</v>
      </c>
      <c r="C1122" t="s">
        <v>33</v>
      </c>
      <c r="D1122" t="s">
        <v>40</v>
      </c>
      <c r="E1122" t="s">
        <v>67</v>
      </c>
      <c r="F1122" t="s">
        <v>35</v>
      </c>
      <c r="G1122" s="23">
        <v>0.18</v>
      </c>
      <c r="H1122" t="s">
        <v>22</v>
      </c>
      <c r="I1122" t="s">
        <v>83</v>
      </c>
      <c r="J1122" t="s">
        <v>88</v>
      </c>
      <c r="K1122" t="s">
        <v>100</v>
      </c>
      <c r="L1122" t="s">
        <v>119</v>
      </c>
      <c r="M1122" t="s">
        <v>123</v>
      </c>
      <c r="N1122" t="s">
        <v>28</v>
      </c>
      <c r="O1122">
        <v>1</v>
      </c>
      <c r="P1122">
        <v>39944</v>
      </c>
      <c r="Q1122">
        <f t="shared" si="19"/>
        <v>3.9944E-2</v>
      </c>
      <c r="R1122">
        <v>43252</v>
      </c>
      <c r="S1122" t="s">
        <v>122</v>
      </c>
    </row>
    <row r="1123" spans="1:19">
      <c r="A1123">
        <v>60000488</v>
      </c>
      <c r="B1123">
        <v>63</v>
      </c>
      <c r="C1123" t="s">
        <v>18</v>
      </c>
      <c r="D1123" t="s">
        <v>19</v>
      </c>
      <c r="E1123" t="s">
        <v>56</v>
      </c>
      <c r="F1123" t="s">
        <v>35</v>
      </c>
      <c r="G1123" s="23">
        <v>0.11</v>
      </c>
      <c r="H1123" t="s">
        <v>36</v>
      </c>
      <c r="I1123" t="s">
        <v>30</v>
      </c>
      <c r="J1123" t="s">
        <v>38</v>
      </c>
      <c r="K1123" t="s">
        <v>97</v>
      </c>
      <c r="L1123" t="s">
        <v>26</v>
      </c>
      <c r="M1123" t="s">
        <v>123</v>
      </c>
      <c r="N1123" t="s">
        <v>51</v>
      </c>
      <c r="O1123">
        <v>2</v>
      </c>
      <c r="P1123">
        <v>84587</v>
      </c>
      <c r="Q1123">
        <f t="shared" si="19"/>
        <v>8.4586999999999996E-2</v>
      </c>
      <c r="R1123">
        <v>43252</v>
      </c>
      <c r="S1123" t="s">
        <v>122</v>
      </c>
    </row>
    <row r="1124" spans="1:19">
      <c r="A1124">
        <v>60000489</v>
      </c>
      <c r="B1124">
        <v>42</v>
      </c>
      <c r="C1124" t="s">
        <v>33</v>
      </c>
      <c r="D1124" t="s">
        <v>40</v>
      </c>
      <c r="E1124" t="s">
        <v>20</v>
      </c>
      <c r="F1124" t="s">
        <v>120</v>
      </c>
      <c r="G1124" s="23">
        <v>0.36</v>
      </c>
      <c r="H1124" t="s">
        <v>42</v>
      </c>
      <c r="I1124" t="s">
        <v>60</v>
      </c>
      <c r="J1124" t="s">
        <v>31</v>
      </c>
      <c r="K1124" t="s">
        <v>82</v>
      </c>
      <c r="L1124" t="s">
        <v>119</v>
      </c>
      <c r="M1124" t="s">
        <v>123</v>
      </c>
      <c r="N1124" t="s">
        <v>51</v>
      </c>
      <c r="O1124">
        <v>0</v>
      </c>
      <c r="P1124">
        <v>30344</v>
      </c>
      <c r="Q1124">
        <f t="shared" si="19"/>
        <v>3.0343999999999999E-2</v>
      </c>
      <c r="R1124">
        <v>43252</v>
      </c>
      <c r="S1124" t="s">
        <v>122</v>
      </c>
    </row>
    <row r="1125" spans="1:19">
      <c r="A1125">
        <v>60000490</v>
      </c>
      <c r="B1125">
        <v>39</v>
      </c>
      <c r="C1125" t="s">
        <v>18</v>
      </c>
      <c r="D1125" t="s">
        <v>19</v>
      </c>
      <c r="E1125" t="s">
        <v>56</v>
      </c>
      <c r="F1125" t="s">
        <v>120</v>
      </c>
      <c r="G1125" s="23">
        <v>0.24</v>
      </c>
      <c r="H1125" t="s">
        <v>29</v>
      </c>
      <c r="I1125" t="s">
        <v>70</v>
      </c>
      <c r="J1125" t="s">
        <v>61</v>
      </c>
      <c r="K1125" t="s">
        <v>118</v>
      </c>
      <c r="L1125" t="s">
        <v>119</v>
      </c>
      <c r="M1125" t="s">
        <v>123</v>
      </c>
      <c r="N1125" t="s">
        <v>28</v>
      </c>
      <c r="O1125">
        <v>2</v>
      </c>
      <c r="P1125">
        <v>37773</v>
      </c>
      <c r="Q1125">
        <f t="shared" si="19"/>
        <v>3.7773000000000001E-2</v>
      </c>
      <c r="R1125">
        <v>43252</v>
      </c>
      <c r="S1125" t="s">
        <v>122</v>
      </c>
    </row>
    <row r="1126" spans="1:19">
      <c r="A1126">
        <v>60000491</v>
      </c>
      <c r="B1126">
        <v>50</v>
      </c>
      <c r="C1126" t="s">
        <v>33</v>
      </c>
      <c r="D1126" t="s">
        <v>19</v>
      </c>
      <c r="E1126" t="s">
        <v>20</v>
      </c>
      <c r="F1126" t="s">
        <v>21</v>
      </c>
      <c r="G1126" s="23">
        <v>0.32</v>
      </c>
      <c r="H1126" t="s">
        <v>42</v>
      </c>
      <c r="I1126" t="s">
        <v>60</v>
      </c>
      <c r="J1126" t="s">
        <v>74</v>
      </c>
      <c r="K1126" t="s">
        <v>90</v>
      </c>
      <c r="L1126" t="s">
        <v>119</v>
      </c>
      <c r="M1126" t="s">
        <v>123</v>
      </c>
      <c r="N1126" t="s">
        <v>51</v>
      </c>
      <c r="O1126">
        <v>7</v>
      </c>
      <c r="P1126">
        <v>54503</v>
      </c>
      <c r="Q1126">
        <f t="shared" si="19"/>
        <v>5.4503000000000003E-2</v>
      </c>
      <c r="R1126">
        <v>43252</v>
      </c>
      <c r="S1126" t="s">
        <v>122</v>
      </c>
    </row>
    <row r="1127" spans="1:19">
      <c r="A1127">
        <v>60000492</v>
      </c>
      <c r="B1127">
        <v>33</v>
      </c>
      <c r="C1127" t="s">
        <v>18</v>
      </c>
      <c r="D1127" t="s">
        <v>19</v>
      </c>
      <c r="E1127" t="s">
        <v>52</v>
      </c>
      <c r="F1127" t="s">
        <v>120</v>
      </c>
      <c r="G1127" s="23">
        <v>0.17</v>
      </c>
      <c r="H1127" t="s">
        <v>22</v>
      </c>
      <c r="I1127" t="s">
        <v>73</v>
      </c>
      <c r="J1127" t="s">
        <v>54</v>
      </c>
      <c r="K1127" t="s">
        <v>43</v>
      </c>
      <c r="L1127" t="s">
        <v>119</v>
      </c>
      <c r="M1127" t="s">
        <v>123</v>
      </c>
      <c r="N1127" t="s">
        <v>28</v>
      </c>
      <c r="O1127">
        <v>2</v>
      </c>
      <c r="P1127">
        <v>69843</v>
      </c>
      <c r="Q1127">
        <f t="shared" si="19"/>
        <v>6.9843000000000002E-2</v>
      </c>
      <c r="R1127">
        <v>43252</v>
      </c>
      <c r="S1127" t="s">
        <v>122</v>
      </c>
    </row>
    <row r="1128" spans="1:19">
      <c r="A1128">
        <v>60000493</v>
      </c>
      <c r="B1128">
        <v>58</v>
      </c>
      <c r="C1128" t="s">
        <v>18</v>
      </c>
      <c r="D1128" t="s">
        <v>40</v>
      </c>
      <c r="E1128" t="s">
        <v>44</v>
      </c>
      <c r="F1128" t="s">
        <v>35</v>
      </c>
      <c r="G1128" s="23">
        <v>0.26</v>
      </c>
      <c r="H1128" t="s">
        <v>53</v>
      </c>
      <c r="I1128" t="s">
        <v>37</v>
      </c>
      <c r="J1128" t="s">
        <v>74</v>
      </c>
      <c r="K1128" t="s">
        <v>60</v>
      </c>
      <c r="L1128" t="s">
        <v>119</v>
      </c>
      <c r="M1128" t="s">
        <v>123</v>
      </c>
      <c r="N1128" t="s">
        <v>51</v>
      </c>
      <c r="O1128">
        <v>2</v>
      </c>
      <c r="P1128">
        <v>52179</v>
      </c>
      <c r="Q1128">
        <f t="shared" si="19"/>
        <v>5.2179000000000003E-2</v>
      </c>
      <c r="R1128">
        <v>43252</v>
      </c>
      <c r="S1128" t="s">
        <v>122</v>
      </c>
    </row>
    <row r="1129" spans="1:19">
      <c r="A1129">
        <v>60000494</v>
      </c>
      <c r="B1129">
        <v>51</v>
      </c>
      <c r="C1129" t="s">
        <v>18</v>
      </c>
      <c r="D1129" t="s">
        <v>19</v>
      </c>
      <c r="E1129" t="s">
        <v>67</v>
      </c>
      <c r="F1129" t="s">
        <v>120</v>
      </c>
      <c r="G1129" s="23">
        <v>0.28999999999999998</v>
      </c>
      <c r="H1129" t="s">
        <v>53</v>
      </c>
      <c r="I1129" t="s">
        <v>45</v>
      </c>
      <c r="J1129" t="s">
        <v>46</v>
      </c>
      <c r="K1129" t="s">
        <v>83</v>
      </c>
      <c r="L1129" t="s">
        <v>26</v>
      </c>
      <c r="M1129" t="s">
        <v>123</v>
      </c>
      <c r="N1129" t="s">
        <v>51</v>
      </c>
      <c r="O1129">
        <v>0</v>
      </c>
      <c r="P1129">
        <v>74828</v>
      </c>
      <c r="Q1129">
        <f t="shared" si="19"/>
        <v>7.4828000000000006E-2</v>
      </c>
      <c r="R1129">
        <v>43252</v>
      </c>
      <c r="S1129" t="s">
        <v>122</v>
      </c>
    </row>
    <row r="1130" spans="1:19">
      <c r="A1130">
        <v>60000495</v>
      </c>
      <c r="B1130">
        <v>55</v>
      </c>
      <c r="C1130" t="s">
        <v>18</v>
      </c>
      <c r="D1130" t="s">
        <v>40</v>
      </c>
      <c r="E1130" t="s">
        <v>34</v>
      </c>
      <c r="F1130" t="s">
        <v>35</v>
      </c>
      <c r="G1130" s="23">
        <v>0.1</v>
      </c>
      <c r="H1130" t="s">
        <v>36</v>
      </c>
      <c r="I1130" t="s">
        <v>30</v>
      </c>
      <c r="J1130" t="s">
        <v>69</v>
      </c>
      <c r="K1130" t="s">
        <v>81</v>
      </c>
      <c r="L1130" t="s">
        <v>119</v>
      </c>
      <c r="M1130" t="s">
        <v>123</v>
      </c>
      <c r="N1130" t="s">
        <v>51</v>
      </c>
      <c r="O1130">
        <v>0</v>
      </c>
      <c r="P1130">
        <v>33616</v>
      </c>
      <c r="Q1130">
        <f t="shared" si="19"/>
        <v>3.3616E-2</v>
      </c>
      <c r="R1130">
        <v>43252</v>
      </c>
      <c r="S1130" t="s">
        <v>122</v>
      </c>
    </row>
    <row r="1131" spans="1:19">
      <c r="A1131">
        <v>60000496</v>
      </c>
      <c r="B1131">
        <v>20</v>
      </c>
      <c r="C1131" t="s">
        <v>18</v>
      </c>
      <c r="D1131" t="s">
        <v>40</v>
      </c>
      <c r="E1131" t="s">
        <v>44</v>
      </c>
      <c r="F1131" t="s">
        <v>21</v>
      </c>
      <c r="G1131" s="23">
        <v>0.18</v>
      </c>
      <c r="H1131" t="s">
        <v>22</v>
      </c>
      <c r="I1131" t="s">
        <v>76</v>
      </c>
      <c r="J1131" t="s">
        <v>88</v>
      </c>
      <c r="K1131" t="s">
        <v>110</v>
      </c>
      <c r="L1131" t="s">
        <v>121</v>
      </c>
      <c r="M1131" t="s">
        <v>123</v>
      </c>
      <c r="N1131" t="s">
        <v>28</v>
      </c>
      <c r="O1131">
        <v>0</v>
      </c>
      <c r="P1131">
        <v>26557</v>
      </c>
      <c r="Q1131">
        <f t="shared" si="19"/>
        <v>2.6557000000000001E-2</v>
      </c>
      <c r="R1131">
        <v>43252</v>
      </c>
      <c r="S1131" t="s">
        <v>122</v>
      </c>
    </row>
    <row r="1132" spans="1:19">
      <c r="A1132">
        <v>60000497</v>
      </c>
      <c r="B1132">
        <v>31</v>
      </c>
      <c r="C1132" t="s">
        <v>18</v>
      </c>
      <c r="D1132" t="s">
        <v>40</v>
      </c>
      <c r="E1132" t="s">
        <v>67</v>
      </c>
      <c r="F1132" t="s">
        <v>21</v>
      </c>
      <c r="G1132" s="23">
        <v>0.3</v>
      </c>
      <c r="H1132" t="s">
        <v>53</v>
      </c>
      <c r="I1132" t="s">
        <v>86</v>
      </c>
      <c r="J1132" t="s">
        <v>58</v>
      </c>
      <c r="K1132" t="s">
        <v>112</v>
      </c>
      <c r="L1132" t="s">
        <v>26</v>
      </c>
      <c r="M1132" t="s">
        <v>123</v>
      </c>
      <c r="N1132" t="s">
        <v>51</v>
      </c>
      <c r="O1132">
        <v>0</v>
      </c>
      <c r="P1132">
        <v>62858</v>
      </c>
      <c r="Q1132">
        <f t="shared" si="19"/>
        <v>6.2857999999999997E-2</v>
      </c>
      <c r="R1132">
        <v>43252</v>
      </c>
      <c r="S1132" t="s">
        <v>122</v>
      </c>
    </row>
    <row r="1133" spans="1:19">
      <c r="A1133">
        <v>60000498</v>
      </c>
      <c r="B1133">
        <v>22</v>
      </c>
      <c r="C1133" t="s">
        <v>33</v>
      </c>
      <c r="D1133" t="s">
        <v>40</v>
      </c>
      <c r="E1133" t="s">
        <v>41</v>
      </c>
      <c r="F1133" t="s">
        <v>21</v>
      </c>
      <c r="G1133" s="23">
        <v>0.33</v>
      </c>
      <c r="H1133" t="s">
        <v>42</v>
      </c>
      <c r="I1133" t="s">
        <v>68</v>
      </c>
      <c r="J1133" t="s">
        <v>78</v>
      </c>
      <c r="K1133" t="s">
        <v>111</v>
      </c>
      <c r="L1133" t="s">
        <v>119</v>
      </c>
      <c r="M1133" t="s">
        <v>123</v>
      </c>
      <c r="N1133" t="s">
        <v>28</v>
      </c>
      <c r="O1133">
        <v>1</v>
      </c>
      <c r="P1133">
        <v>61560</v>
      </c>
      <c r="Q1133">
        <f t="shared" si="19"/>
        <v>6.1559999999999997E-2</v>
      </c>
      <c r="R1133">
        <v>43252</v>
      </c>
      <c r="S1133" t="s">
        <v>122</v>
      </c>
    </row>
    <row r="1134" spans="1:19">
      <c r="A1134">
        <v>60000499</v>
      </c>
      <c r="B1134">
        <v>49</v>
      </c>
      <c r="C1134" t="s">
        <v>33</v>
      </c>
      <c r="D1134" t="s">
        <v>19</v>
      </c>
      <c r="E1134" t="s">
        <v>41</v>
      </c>
      <c r="F1134" t="s">
        <v>21</v>
      </c>
      <c r="G1134" s="23">
        <v>0.18</v>
      </c>
      <c r="H1134" t="s">
        <v>22</v>
      </c>
      <c r="I1134" t="s">
        <v>73</v>
      </c>
      <c r="J1134" t="s">
        <v>58</v>
      </c>
      <c r="K1134" t="s">
        <v>71</v>
      </c>
      <c r="L1134" t="s">
        <v>121</v>
      </c>
      <c r="M1134" t="s">
        <v>123</v>
      </c>
      <c r="N1134" t="s">
        <v>28</v>
      </c>
      <c r="O1134">
        <v>0</v>
      </c>
      <c r="P1134">
        <v>79005</v>
      </c>
      <c r="Q1134">
        <f t="shared" si="19"/>
        <v>7.9005000000000006E-2</v>
      </c>
      <c r="R1134">
        <v>43252</v>
      </c>
      <c r="S1134" t="s">
        <v>122</v>
      </c>
    </row>
    <row r="1135" spans="1:19">
      <c r="A1135">
        <v>60000500</v>
      </c>
      <c r="B1135">
        <v>42</v>
      </c>
      <c r="C1135" t="s">
        <v>33</v>
      </c>
      <c r="D1135" t="s">
        <v>40</v>
      </c>
      <c r="E1135" t="s">
        <v>41</v>
      </c>
      <c r="F1135" t="s">
        <v>35</v>
      </c>
      <c r="G1135" s="23">
        <v>0.28000000000000003</v>
      </c>
      <c r="H1135" t="s">
        <v>53</v>
      </c>
      <c r="I1135" t="s">
        <v>73</v>
      </c>
      <c r="J1135" t="s">
        <v>46</v>
      </c>
      <c r="K1135" t="s">
        <v>114</v>
      </c>
      <c r="L1135" t="s">
        <v>119</v>
      </c>
      <c r="M1135" t="s">
        <v>123</v>
      </c>
      <c r="N1135" t="s">
        <v>28</v>
      </c>
      <c r="O1135">
        <v>0</v>
      </c>
      <c r="P1135">
        <v>28323</v>
      </c>
      <c r="Q1135">
        <f t="shared" si="19"/>
        <v>2.8323000000000001E-2</v>
      </c>
      <c r="R1135">
        <v>43252</v>
      </c>
      <c r="S1135" t="s">
        <v>122</v>
      </c>
    </row>
    <row r="1136" spans="1:19">
      <c r="A1136">
        <v>60000501</v>
      </c>
      <c r="B1136">
        <v>37</v>
      </c>
      <c r="C1136" t="s">
        <v>33</v>
      </c>
      <c r="D1136" t="s">
        <v>19</v>
      </c>
      <c r="E1136" t="s">
        <v>67</v>
      </c>
      <c r="F1136" t="s">
        <v>120</v>
      </c>
      <c r="G1136" s="23">
        <v>0.18</v>
      </c>
      <c r="H1136" t="s">
        <v>22</v>
      </c>
      <c r="I1136" t="s">
        <v>57</v>
      </c>
      <c r="J1136" t="s">
        <v>38</v>
      </c>
      <c r="K1136" t="s">
        <v>59</v>
      </c>
      <c r="L1136" t="s">
        <v>121</v>
      </c>
      <c r="M1136" t="s">
        <v>123</v>
      </c>
      <c r="N1136" t="s">
        <v>28</v>
      </c>
      <c r="O1136">
        <v>4</v>
      </c>
      <c r="P1136">
        <v>52056</v>
      </c>
      <c r="Q1136">
        <f t="shared" si="19"/>
        <v>5.2055999999999998E-2</v>
      </c>
      <c r="R1136">
        <v>43252</v>
      </c>
      <c r="S1136" t="s">
        <v>122</v>
      </c>
    </row>
    <row r="1137" spans="1:19">
      <c r="A1137">
        <v>60000502</v>
      </c>
      <c r="B1137">
        <v>62</v>
      </c>
      <c r="C1137" t="s">
        <v>18</v>
      </c>
      <c r="D1137" t="s">
        <v>40</v>
      </c>
      <c r="E1137" t="s">
        <v>67</v>
      </c>
      <c r="F1137" t="s">
        <v>35</v>
      </c>
      <c r="G1137" s="23">
        <v>0.31</v>
      </c>
      <c r="H1137" t="s">
        <v>53</v>
      </c>
      <c r="I1137" t="s">
        <v>49</v>
      </c>
      <c r="J1137" t="s">
        <v>74</v>
      </c>
      <c r="K1137" t="s">
        <v>113</v>
      </c>
      <c r="L1137" t="s">
        <v>119</v>
      </c>
      <c r="M1137" t="s">
        <v>123</v>
      </c>
      <c r="N1137" t="s">
        <v>28</v>
      </c>
      <c r="O1137">
        <v>0</v>
      </c>
      <c r="P1137">
        <v>39339</v>
      </c>
      <c r="Q1137">
        <f t="shared" si="19"/>
        <v>3.9338999999999999E-2</v>
      </c>
      <c r="R1137">
        <v>43252</v>
      </c>
      <c r="S1137" t="s">
        <v>122</v>
      </c>
    </row>
    <row r="1138" spans="1:19">
      <c r="A1138">
        <v>60000503</v>
      </c>
      <c r="B1138">
        <v>24</v>
      </c>
      <c r="C1138" t="s">
        <v>33</v>
      </c>
      <c r="D1138" t="s">
        <v>40</v>
      </c>
      <c r="E1138" t="s">
        <v>44</v>
      </c>
      <c r="F1138" t="s">
        <v>35</v>
      </c>
      <c r="G1138" s="23">
        <v>0.27</v>
      </c>
      <c r="H1138" t="s">
        <v>53</v>
      </c>
      <c r="I1138" t="s">
        <v>86</v>
      </c>
      <c r="J1138" t="s">
        <v>38</v>
      </c>
      <c r="K1138" t="s">
        <v>50</v>
      </c>
      <c r="L1138" t="s">
        <v>119</v>
      </c>
      <c r="M1138" t="s">
        <v>123</v>
      </c>
      <c r="N1138" t="s">
        <v>28</v>
      </c>
      <c r="O1138">
        <v>0</v>
      </c>
      <c r="P1138">
        <v>41199</v>
      </c>
      <c r="Q1138">
        <f t="shared" si="19"/>
        <v>4.1199E-2</v>
      </c>
      <c r="R1138">
        <v>43252</v>
      </c>
      <c r="S1138" t="s">
        <v>122</v>
      </c>
    </row>
    <row r="1139" spans="1:19">
      <c r="A1139">
        <v>60000504</v>
      </c>
      <c r="B1139">
        <v>24</v>
      </c>
      <c r="C1139" t="s">
        <v>33</v>
      </c>
      <c r="D1139" t="s">
        <v>40</v>
      </c>
      <c r="E1139" t="s">
        <v>48</v>
      </c>
      <c r="F1139" t="s">
        <v>120</v>
      </c>
      <c r="G1139" s="23">
        <v>0.17</v>
      </c>
      <c r="H1139" t="s">
        <v>22</v>
      </c>
      <c r="I1139" t="s">
        <v>80</v>
      </c>
      <c r="J1139" t="s">
        <v>61</v>
      </c>
      <c r="K1139" t="s">
        <v>81</v>
      </c>
      <c r="L1139" t="s">
        <v>26</v>
      </c>
      <c r="M1139" t="s">
        <v>123</v>
      </c>
      <c r="N1139" t="s">
        <v>28</v>
      </c>
      <c r="O1139">
        <v>0</v>
      </c>
      <c r="P1139">
        <v>49602</v>
      </c>
      <c r="Q1139">
        <f t="shared" si="19"/>
        <v>4.9602E-2</v>
      </c>
      <c r="R1139">
        <v>43252</v>
      </c>
      <c r="S1139" t="s">
        <v>122</v>
      </c>
    </row>
    <row r="1140" spans="1:19">
      <c r="A1140">
        <v>60000505</v>
      </c>
      <c r="B1140">
        <v>52</v>
      </c>
      <c r="C1140" t="s">
        <v>18</v>
      </c>
      <c r="D1140" t="s">
        <v>40</v>
      </c>
      <c r="E1140" t="s">
        <v>85</v>
      </c>
      <c r="F1140" t="s">
        <v>35</v>
      </c>
      <c r="G1140" s="23">
        <v>0.2</v>
      </c>
      <c r="H1140" t="s">
        <v>29</v>
      </c>
      <c r="I1140" t="s">
        <v>30</v>
      </c>
      <c r="J1140" t="s">
        <v>46</v>
      </c>
      <c r="K1140" t="s">
        <v>25</v>
      </c>
      <c r="L1140" t="s">
        <v>26</v>
      </c>
      <c r="M1140" t="s">
        <v>123</v>
      </c>
      <c r="N1140" t="s">
        <v>28</v>
      </c>
      <c r="O1140">
        <v>0</v>
      </c>
      <c r="P1140">
        <v>36760</v>
      </c>
      <c r="Q1140">
        <f t="shared" si="19"/>
        <v>3.6760000000000001E-2</v>
      </c>
      <c r="R1140">
        <v>43252</v>
      </c>
      <c r="S1140" t="s">
        <v>122</v>
      </c>
    </row>
    <row r="1141" spans="1:19">
      <c r="A1141">
        <v>60000506</v>
      </c>
      <c r="B1141">
        <v>54</v>
      </c>
      <c r="C1141" t="s">
        <v>18</v>
      </c>
      <c r="D1141" t="s">
        <v>19</v>
      </c>
      <c r="E1141" t="s">
        <v>75</v>
      </c>
      <c r="F1141" t="s">
        <v>35</v>
      </c>
      <c r="G1141" s="23">
        <v>0.34</v>
      </c>
      <c r="H1141" t="s">
        <v>42</v>
      </c>
      <c r="I1141" t="s">
        <v>68</v>
      </c>
      <c r="J1141" t="s">
        <v>69</v>
      </c>
      <c r="K1141" t="s">
        <v>50</v>
      </c>
      <c r="L1141" t="s">
        <v>119</v>
      </c>
      <c r="M1141" t="s">
        <v>123</v>
      </c>
      <c r="N1141" t="s">
        <v>51</v>
      </c>
      <c r="O1141">
        <v>0</v>
      </c>
      <c r="P1141">
        <v>79375</v>
      </c>
      <c r="Q1141">
        <f t="shared" si="19"/>
        <v>7.9375000000000001E-2</v>
      </c>
      <c r="R1141">
        <v>43252</v>
      </c>
      <c r="S1141" t="s">
        <v>122</v>
      </c>
    </row>
    <row r="1142" spans="1:19">
      <c r="A1142">
        <v>60000507</v>
      </c>
      <c r="B1142">
        <v>23</v>
      </c>
      <c r="C1142" t="s">
        <v>18</v>
      </c>
      <c r="D1142" t="s">
        <v>19</v>
      </c>
      <c r="E1142" t="s">
        <v>20</v>
      </c>
      <c r="F1142" t="s">
        <v>35</v>
      </c>
      <c r="G1142" s="23">
        <v>0.28000000000000003</v>
      </c>
      <c r="H1142" t="s">
        <v>53</v>
      </c>
      <c r="I1142" t="s">
        <v>80</v>
      </c>
      <c r="J1142" t="s">
        <v>66</v>
      </c>
      <c r="K1142" t="s">
        <v>113</v>
      </c>
      <c r="L1142" t="s">
        <v>121</v>
      </c>
      <c r="M1142" t="s">
        <v>123</v>
      </c>
      <c r="N1142" t="s">
        <v>51</v>
      </c>
      <c r="O1142">
        <v>7</v>
      </c>
      <c r="P1142">
        <v>77696</v>
      </c>
      <c r="Q1142">
        <f t="shared" si="19"/>
        <v>7.7696000000000001E-2</v>
      </c>
      <c r="R1142">
        <v>43252</v>
      </c>
      <c r="S1142" t="s">
        <v>122</v>
      </c>
    </row>
    <row r="1143" spans="1:19">
      <c r="A1143">
        <v>60000508</v>
      </c>
      <c r="B1143">
        <v>37</v>
      </c>
      <c r="C1143" t="s">
        <v>33</v>
      </c>
      <c r="D1143" t="s">
        <v>19</v>
      </c>
      <c r="E1143" t="s">
        <v>52</v>
      </c>
      <c r="F1143" t="s">
        <v>120</v>
      </c>
      <c r="G1143" s="23">
        <v>0.35</v>
      </c>
      <c r="H1143" t="s">
        <v>42</v>
      </c>
      <c r="I1143" t="s">
        <v>70</v>
      </c>
      <c r="J1143" t="s">
        <v>78</v>
      </c>
      <c r="K1143" t="s">
        <v>99</v>
      </c>
      <c r="L1143" t="s">
        <v>121</v>
      </c>
      <c r="M1143" t="s">
        <v>123</v>
      </c>
      <c r="N1143" t="s">
        <v>51</v>
      </c>
      <c r="O1143">
        <v>0</v>
      </c>
      <c r="P1143">
        <v>81384</v>
      </c>
      <c r="Q1143">
        <f t="shared" si="19"/>
        <v>8.1383999999999998E-2</v>
      </c>
      <c r="R1143">
        <v>43252</v>
      </c>
      <c r="S1143" t="s">
        <v>122</v>
      </c>
    </row>
    <row r="1144" spans="1:19">
      <c r="A1144">
        <v>60000509</v>
      </c>
      <c r="B1144">
        <v>22</v>
      </c>
      <c r="C1144" t="s">
        <v>18</v>
      </c>
      <c r="D1144" t="s">
        <v>19</v>
      </c>
      <c r="E1144" t="s">
        <v>48</v>
      </c>
      <c r="F1144" t="s">
        <v>120</v>
      </c>
      <c r="G1144" s="23">
        <v>0.36</v>
      </c>
      <c r="H1144" t="s">
        <v>42</v>
      </c>
      <c r="I1144" t="s">
        <v>23</v>
      </c>
      <c r="J1144" t="s">
        <v>46</v>
      </c>
      <c r="K1144" t="s">
        <v>50</v>
      </c>
      <c r="L1144" t="s">
        <v>26</v>
      </c>
      <c r="M1144" t="s">
        <v>123</v>
      </c>
      <c r="N1144" t="s">
        <v>51</v>
      </c>
      <c r="O1144">
        <v>0</v>
      </c>
      <c r="P1144">
        <v>64585</v>
      </c>
      <c r="Q1144">
        <f t="shared" si="19"/>
        <v>6.4585000000000004E-2</v>
      </c>
      <c r="R1144">
        <v>43252</v>
      </c>
      <c r="S1144" t="s">
        <v>122</v>
      </c>
    </row>
    <row r="1145" spans="1:19">
      <c r="A1145">
        <v>60000510</v>
      </c>
      <c r="B1145">
        <v>22</v>
      </c>
      <c r="C1145" t="s">
        <v>33</v>
      </c>
      <c r="D1145" t="s">
        <v>19</v>
      </c>
      <c r="E1145" t="s">
        <v>64</v>
      </c>
      <c r="F1145" t="s">
        <v>35</v>
      </c>
      <c r="G1145" s="23">
        <v>0.38</v>
      </c>
      <c r="H1145" t="s">
        <v>42</v>
      </c>
      <c r="I1145" t="s">
        <v>65</v>
      </c>
      <c r="J1145" t="s">
        <v>74</v>
      </c>
      <c r="K1145" t="s">
        <v>65</v>
      </c>
      <c r="L1145" t="s">
        <v>119</v>
      </c>
      <c r="M1145" t="s">
        <v>123</v>
      </c>
      <c r="N1145" t="s">
        <v>28</v>
      </c>
      <c r="O1145">
        <v>6</v>
      </c>
      <c r="P1145">
        <v>26416</v>
      </c>
      <c r="Q1145">
        <f t="shared" si="19"/>
        <v>2.6415999999999999E-2</v>
      </c>
      <c r="R1145">
        <v>43252</v>
      </c>
      <c r="S1145" t="s">
        <v>122</v>
      </c>
    </row>
    <row r="1146" spans="1:19">
      <c r="A1146">
        <v>60000511</v>
      </c>
      <c r="B1146">
        <v>29</v>
      </c>
      <c r="C1146" t="s">
        <v>33</v>
      </c>
      <c r="D1146" t="s">
        <v>40</v>
      </c>
      <c r="E1146" t="s">
        <v>72</v>
      </c>
      <c r="F1146" t="s">
        <v>120</v>
      </c>
      <c r="G1146" s="23">
        <v>0.27</v>
      </c>
      <c r="H1146" t="s">
        <v>53</v>
      </c>
      <c r="I1146" t="s">
        <v>65</v>
      </c>
      <c r="J1146" t="s">
        <v>66</v>
      </c>
      <c r="K1146" t="s">
        <v>94</v>
      </c>
      <c r="L1146" t="s">
        <v>119</v>
      </c>
      <c r="M1146" t="s">
        <v>123</v>
      </c>
      <c r="N1146" t="s">
        <v>51</v>
      </c>
      <c r="O1146">
        <v>2</v>
      </c>
      <c r="P1146">
        <v>64046</v>
      </c>
      <c r="Q1146">
        <f t="shared" si="19"/>
        <v>6.4046000000000006E-2</v>
      </c>
      <c r="R1146">
        <v>43252</v>
      </c>
      <c r="S1146" t="s">
        <v>122</v>
      </c>
    </row>
    <row r="1147" spans="1:19">
      <c r="A1147">
        <v>60000512</v>
      </c>
      <c r="B1147">
        <v>38</v>
      </c>
      <c r="C1147" t="s">
        <v>18</v>
      </c>
      <c r="D1147" t="s">
        <v>40</v>
      </c>
      <c r="E1147" t="s">
        <v>44</v>
      </c>
      <c r="F1147" t="s">
        <v>35</v>
      </c>
      <c r="G1147" s="23">
        <v>0.35</v>
      </c>
      <c r="H1147" t="s">
        <v>42</v>
      </c>
      <c r="I1147" t="s">
        <v>23</v>
      </c>
      <c r="J1147" t="s">
        <v>46</v>
      </c>
      <c r="K1147" t="s">
        <v>112</v>
      </c>
      <c r="L1147" t="s">
        <v>121</v>
      </c>
      <c r="M1147" t="s">
        <v>123</v>
      </c>
      <c r="N1147" t="s">
        <v>28</v>
      </c>
      <c r="O1147">
        <v>7</v>
      </c>
      <c r="P1147">
        <v>24939</v>
      </c>
      <c r="Q1147">
        <f t="shared" si="19"/>
        <v>2.4938999999999999E-2</v>
      </c>
      <c r="R1147">
        <v>43252</v>
      </c>
      <c r="S1147" t="s">
        <v>122</v>
      </c>
    </row>
    <row r="1148" spans="1:19">
      <c r="A1148">
        <v>60000513</v>
      </c>
      <c r="B1148">
        <v>64</v>
      </c>
      <c r="C1148" t="s">
        <v>18</v>
      </c>
      <c r="D1148" t="s">
        <v>19</v>
      </c>
      <c r="E1148" t="s">
        <v>72</v>
      </c>
      <c r="F1148" t="s">
        <v>35</v>
      </c>
      <c r="G1148" s="23">
        <v>0.35</v>
      </c>
      <c r="H1148" t="s">
        <v>42</v>
      </c>
      <c r="I1148" t="s">
        <v>68</v>
      </c>
      <c r="J1148" t="s">
        <v>38</v>
      </c>
      <c r="K1148" t="s">
        <v>49</v>
      </c>
      <c r="L1148" t="s">
        <v>26</v>
      </c>
      <c r="M1148" t="s">
        <v>123</v>
      </c>
      <c r="N1148" t="s">
        <v>51</v>
      </c>
      <c r="O1148">
        <v>0</v>
      </c>
      <c r="P1148">
        <v>79838</v>
      </c>
      <c r="Q1148">
        <f t="shared" si="19"/>
        <v>7.9838000000000006E-2</v>
      </c>
      <c r="R1148">
        <v>43252</v>
      </c>
      <c r="S1148" t="s">
        <v>122</v>
      </c>
    </row>
    <row r="1149" spans="1:19">
      <c r="A1149">
        <v>60000514</v>
      </c>
      <c r="B1149">
        <v>59</v>
      </c>
      <c r="C1149" t="s">
        <v>18</v>
      </c>
      <c r="D1149" t="s">
        <v>40</v>
      </c>
      <c r="E1149" t="s">
        <v>67</v>
      </c>
      <c r="F1149" t="s">
        <v>21</v>
      </c>
      <c r="G1149" s="23">
        <v>0.19</v>
      </c>
      <c r="H1149" t="s">
        <v>29</v>
      </c>
      <c r="I1149" t="s">
        <v>30</v>
      </c>
      <c r="J1149" t="s">
        <v>38</v>
      </c>
      <c r="K1149" t="s">
        <v>108</v>
      </c>
      <c r="L1149" t="s">
        <v>26</v>
      </c>
      <c r="M1149" t="s">
        <v>123</v>
      </c>
      <c r="N1149" t="s">
        <v>51</v>
      </c>
      <c r="O1149">
        <v>7</v>
      </c>
      <c r="P1149">
        <v>28883</v>
      </c>
      <c r="Q1149">
        <f t="shared" si="19"/>
        <v>2.8882999999999999E-2</v>
      </c>
      <c r="R1149">
        <v>43252</v>
      </c>
      <c r="S1149" t="s">
        <v>122</v>
      </c>
    </row>
    <row r="1150" spans="1:19">
      <c r="A1150">
        <v>60000515</v>
      </c>
      <c r="B1150">
        <v>58</v>
      </c>
      <c r="C1150" t="s">
        <v>18</v>
      </c>
      <c r="D1150" t="s">
        <v>40</v>
      </c>
      <c r="E1150" t="s">
        <v>67</v>
      </c>
      <c r="F1150" t="s">
        <v>35</v>
      </c>
      <c r="G1150" s="23">
        <v>0.25</v>
      </c>
      <c r="H1150" t="s">
        <v>53</v>
      </c>
      <c r="I1150" t="s">
        <v>86</v>
      </c>
      <c r="J1150" t="s">
        <v>31</v>
      </c>
      <c r="K1150" t="s">
        <v>99</v>
      </c>
      <c r="L1150" t="s">
        <v>119</v>
      </c>
      <c r="M1150" t="s">
        <v>123</v>
      </c>
      <c r="N1150" t="s">
        <v>51</v>
      </c>
      <c r="O1150">
        <v>0</v>
      </c>
      <c r="P1150">
        <v>82172</v>
      </c>
      <c r="Q1150">
        <f t="shared" si="19"/>
        <v>8.2171999999999995E-2</v>
      </c>
      <c r="R1150">
        <v>43252</v>
      </c>
      <c r="S1150" t="s">
        <v>122</v>
      </c>
    </row>
    <row r="1151" spans="1:19">
      <c r="A1151">
        <v>60000516</v>
      </c>
      <c r="B1151">
        <v>22</v>
      </c>
      <c r="C1151" t="s">
        <v>18</v>
      </c>
      <c r="D1151" t="s">
        <v>19</v>
      </c>
      <c r="E1151" t="s">
        <v>64</v>
      </c>
      <c r="F1151" t="s">
        <v>21</v>
      </c>
      <c r="G1151" s="23">
        <v>0.18</v>
      </c>
      <c r="H1151" t="s">
        <v>22</v>
      </c>
      <c r="I1151" t="s">
        <v>60</v>
      </c>
      <c r="J1151" t="s">
        <v>24</v>
      </c>
      <c r="K1151" t="s">
        <v>84</v>
      </c>
      <c r="L1151" t="s">
        <v>119</v>
      </c>
      <c r="M1151" t="s">
        <v>123</v>
      </c>
      <c r="N1151" t="s">
        <v>51</v>
      </c>
      <c r="O1151">
        <v>0</v>
      </c>
      <c r="P1151">
        <v>49849</v>
      </c>
      <c r="Q1151">
        <f t="shared" si="19"/>
        <v>4.9848999999999997E-2</v>
      </c>
      <c r="R1151">
        <v>43252</v>
      </c>
      <c r="S1151" t="s">
        <v>122</v>
      </c>
    </row>
    <row r="1152" spans="1:19">
      <c r="A1152">
        <v>60000517</v>
      </c>
      <c r="B1152">
        <v>22</v>
      </c>
      <c r="C1152" t="s">
        <v>18</v>
      </c>
      <c r="D1152" t="s">
        <v>40</v>
      </c>
      <c r="E1152" t="s">
        <v>56</v>
      </c>
      <c r="F1152" t="s">
        <v>120</v>
      </c>
      <c r="G1152" s="23">
        <v>0.16</v>
      </c>
      <c r="H1152" t="s">
        <v>22</v>
      </c>
      <c r="I1152" t="s">
        <v>68</v>
      </c>
      <c r="J1152" t="s">
        <v>74</v>
      </c>
      <c r="K1152" t="s">
        <v>111</v>
      </c>
      <c r="L1152" t="s">
        <v>119</v>
      </c>
      <c r="M1152" t="s">
        <v>123</v>
      </c>
      <c r="N1152" t="s">
        <v>28</v>
      </c>
      <c r="O1152">
        <v>0</v>
      </c>
      <c r="P1152">
        <v>55350</v>
      </c>
      <c r="Q1152">
        <f t="shared" si="19"/>
        <v>5.5350000000000003E-2</v>
      </c>
      <c r="R1152">
        <v>43252</v>
      </c>
      <c r="S1152" t="s">
        <v>122</v>
      </c>
    </row>
    <row r="1153" spans="1:19">
      <c r="A1153">
        <v>60000518</v>
      </c>
      <c r="B1153">
        <v>45</v>
      </c>
      <c r="C1153" t="s">
        <v>18</v>
      </c>
      <c r="D1153" t="s">
        <v>19</v>
      </c>
      <c r="E1153" t="s">
        <v>75</v>
      </c>
      <c r="F1153" t="s">
        <v>21</v>
      </c>
      <c r="G1153" s="23">
        <v>0.28000000000000003</v>
      </c>
      <c r="H1153" t="s">
        <v>53</v>
      </c>
      <c r="I1153" t="s">
        <v>86</v>
      </c>
      <c r="J1153" t="s">
        <v>61</v>
      </c>
      <c r="K1153" t="s">
        <v>79</v>
      </c>
      <c r="L1153" t="s">
        <v>121</v>
      </c>
      <c r="M1153" t="s">
        <v>123</v>
      </c>
      <c r="N1153" t="s">
        <v>51</v>
      </c>
      <c r="O1153">
        <v>3</v>
      </c>
      <c r="P1153">
        <v>78750</v>
      </c>
      <c r="Q1153">
        <f t="shared" si="19"/>
        <v>7.8750000000000001E-2</v>
      </c>
      <c r="R1153">
        <v>43252</v>
      </c>
      <c r="S1153" t="s">
        <v>122</v>
      </c>
    </row>
    <row r="1154" spans="1:19">
      <c r="A1154">
        <v>60000519</v>
      </c>
      <c r="B1154">
        <v>26</v>
      </c>
      <c r="C1154" t="s">
        <v>33</v>
      </c>
      <c r="D1154" t="s">
        <v>19</v>
      </c>
      <c r="E1154" t="s">
        <v>44</v>
      </c>
      <c r="F1154" t="s">
        <v>21</v>
      </c>
      <c r="G1154" s="23">
        <v>0.17</v>
      </c>
      <c r="H1154" t="s">
        <v>22</v>
      </c>
      <c r="I1154" t="s">
        <v>73</v>
      </c>
      <c r="J1154" t="s">
        <v>66</v>
      </c>
      <c r="K1154" t="s">
        <v>65</v>
      </c>
      <c r="L1154" t="s">
        <v>119</v>
      </c>
      <c r="M1154" t="s">
        <v>123</v>
      </c>
      <c r="N1154" t="s">
        <v>28</v>
      </c>
      <c r="O1154">
        <v>3</v>
      </c>
      <c r="P1154">
        <v>76139</v>
      </c>
      <c r="Q1154">
        <f t="shared" si="19"/>
        <v>7.6138999999999998E-2</v>
      </c>
      <c r="R1154">
        <v>43252</v>
      </c>
      <c r="S1154" t="s">
        <v>122</v>
      </c>
    </row>
    <row r="1155" spans="1:19">
      <c r="A1155">
        <v>60000520</v>
      </c>
      <c r="B1155">
        <v>54</v>
      </c>
      <c r="C1155" t="s">
        <v>33</v>
      </c>
      <c r="D1155" t="s">
        <v>19</v>
      </c>
      <c r="E1155" t="s">
        <v>44</v>
      </c>
      <c r="F1155" t="s">
        <v>120</v>
      </c>
      <c r="G1155" s="23">
        <v>0.32</v>
      </c>
      <c r="H1155" t="s">
        <v>42</v>
      </c>
      <c r="I1155" t="s">
        <v>45</v>
      </c>
      <c r="J1155" t="s">
        <v>38</v>
      </c>
      <c r="K1155" t="s">
        <v>79</v>
      </c>
      <c r="L1155" t="s">
        <v>26</v>
      </c>
      <c r="M1155" t="s">
        <v>123</v>
      </c>
      <c r="N1155" t="s">
        <v>28</v>
      </c>
      <c r="O1155">
        <v>7</v>
      </c>
      <c r="P1155">
        <v>44697</v>
      </c>
      <c r="Q1155">
        <f t="shared" si="19"/>
        <v>4.4697000000000001E-2</v>
      </c>
      <c r="R1155">
        <v>43252</v>
      </c>
      <c r="S1155" t="s">
        <v>122</v>
      </c>
    </row>
    <row r="1156" spans="1:19">
      <c r="A1156">
        <v>60000521</v>
      </c>
      <c r="B1156">
        <v>32</v>
      </c>
      <c r="C1156" t="s">
        <v>33</v>
      </c>
      <c r="D1156" t="s">
        <v>19</v>
      </c>
      <c r="E1156" t="s">
        <v>34</v>
      </c>
      <c r="F1156" t="s">
        <v>21</v>
      </c>
      <c r="G1156" s="23">
        <v>0.32</v>
      </c>
      <c r="H1156" t="s">
        <v>42</v>
      </c>
      <c r="I1156" t="s">
        <v>57</v>
      </c>
      <c r="J1156" t="s">
        <v>78</v>
      </c>
      <c r="K1156" t="s">
        <v>118</v>
      </c>
      <c r="L1156" t="s">
        <v>26</v>
      </c>
      <c r="M1156" t="s">
        <v>123</v>
      </c>
      <c r="N1156" t="s">
        <v>28</v>
      </c>
      <c r="O1156">
        <v>3</v>
      </c>
      <c r="P1156">
        <v>29148</v>
      </c>
      <c r="Q1156">
        <f t="shared" si="19"/>
        <v>2.9148E-2</v>
      </c>
      <c r="R1156">
        <v>43252</v>
      </c>
      <c r="S1156" t="s">
        <v>122</v>
      </c>
    </row>
    <row r="1157" spans="1:19">
      <c r="A1157">
        <v>60000522</v>
      </c>
      <c r="B1157">
        <v>26</v>
      </c>
      <c r="C1157" t="s">
        <v>33</v>
      </c>
      <c r="D1157" t="s">
        <v>40</v>
      </c>
      <c r="E1157" t="s">
        <v>56</v>
      </c>
      <c r="F1157" t="s">
        <v>35</v>
      </c>
      <c r="G1157" s="23">
        <v>0.3</v>
      </c>
      <c r="H1157" t="s">
        <v>53</v>
      </c>
      <c r="I1157" t="s">
        <v>49</v>
      </c>
      <c r="J1157" t="s">
        <v>66</v>
      </c>
      <c r="K1157" t="s">
        <v>104</v>
      </c>
      <c r="L1157" t="s">
        <v>119</v>
      </c>
      <c r="M1157" t="s">
        <v>123</v>
      </c>
      <c r="N1157" t="s">
        <v>51</v>
      </c>
      <c r="O1157">
        <v>7</v>
      </c>
      <c r="P1157">
        <v>46375</v>
      </c>
      <c r="Q1157">
        <f t="shared" si="19"/>
        <v>4.6375E-2</v>
      </c>
      <c r="R1157">
        <v>43252</v>
      </c>
      <c r="S1157" t="s">
        <v>122</v>
      </c>
    </row>
    <row r="1158" spans="1:19">
      <c r="A1158">
        <v>60000523</v>
      </c>
      <c r="B1158">
        <v>32</v>
      </c>
      <c r="C1158" t="s">
        <v>18</v>
      </c>
      <c r="D1158" t="s">
        <v>40</v>
      </c>
      <c r="E1158" t="s">
        <v>85</v>
      </c>
      <c r="F1158" t="s">
        <v>21</v>
      </c>
      <c r="G1158" s="23">
        <v>0.1</v>
      </c>
      <c r="H1158" t="s">
        <v>36</v>
      </c>
      <c r="I1158" t="s">
        <v>60</v>
      </c>
      <c r="J1158" t="s">
        <v>78</v>
      </c>
      <c r="K1158" t="s">
        <v>94</v>
      </c>
      <c r="L1158" t="s">
        <v>26</v>
      </c>
      <c r="M1158" t="s">
        <v>123</v>
      </c>
      <c r="N1158" t="s">
        <v>28</v>
      </c>
      <c r="O1158">
        <v>6</v>
      </c>
      <c r="P1158">
        <v>46883</v>
      </c>
      <c r="Q1158">
        <f t="shared" si="19"/>
        <v>4.6883000000000001E-2</v>
      </c>
      <c r="R1158">
        <v>43252</v>
      </c>
      <c r="S1158" t="s">
        <v>122</v>
      </c>
    </row>
    <row r="1159" spans="1:19">
      <c r="A1159">
        <v>60000524</v>
      </c>
      <c r="B1159">
        <v>47</v>
      </c>
      <c r="C1159" t="s">
        <v>33</v>
      </c>
      <c r="D1159" t="s">
        <v>19</v>
      </c>
      <c r="E1159" t="s">
        <v>44</v>
      </c>
      <c r="F1159" t="s">
        <v>35</v>
      </c>
      <c r="G1159" s="23">
        <v>0.22</v>
      </c>
      <c r="H1159" t="s">
        <v>29</v>
      </c>
      <c r="I1159" t="s">
        <v>80</v>
      </c>
      <c r="J1159" t="s">
        <v>54</v>
      </c>
      <c r="K1159" t="s">
        <v>82</v>
      </c>
      <c r="L1159" t="s">
        <v>121</v>
      </c>
      <c r="M1159" t="s">
        <v>123</v>
      </c>
      <c r="N1159" t="s">
        <v>28</v>
      </c>
      <c r="O1159">
        <v>0</v>
      </c>
      <c r="P1159">
        <v>35596</v>
      </c>
      <c r="Q1159">
        <f t="shared" si="19"/>
        <v>3.5596000000000003E-2</v>
      </c>
      <c r="R1159">
        <v>43252</v>
      </c>
      <c r="S1159" t="s">
        <v>122</v>
      </c>
    </row>
    <row r="1160" spans="1:19">
      <c r="A1160">
        <v>60000525</v>
      </c>
      <c r="B1160">
        <v>28</v>
      </c>
      <c r="C1160" t="s">
        <v>33</v>
      </c>
      <c r="D1160" t="s">
        <v>40</v>
      </c>
      <c r="E1160" t="s">
        <v>75</v>
      </c>
      <c r="F1160" t="s">
        <v>35</v>
      </c>
      <c r="G1160" s="23">
        <v>0.37</v>
      </c>
      <c r="H1160" t="s">
        <v>42</v>
      </c>
      <c r="I1160" t="s">
        <v>45</v>
      </c>
      <c r="J1160" t="s">
        <v>78</v>
      </c>
      <c r="K1160" t="s">
        <v>99</v>
      </c>
      <c r="L1160" t="s">
        <v>26</v>
      </c>
      <c r="M1160" t="s">
        <v>123</v>
      </c>
      <c r="N1160" t="s">
        <v>28</v>
      </c>
      <c r="O1160">
        <v>4</v>
      </c>
      <c r="P1160">
        <v>47797</v>
      </c>
      <c r="Q1160">
        <f t="shared" si="19"/>
        <v>4.7796999999999999E-2</v>
      </c>
      <c r="R1160">
        <v>43252</v>
      </c>
      <c r="S1160" t="s">
        <v>122</v>
      </c>
    </row>
    <row r="1161" spans="1:19">
      <c r="A1161">
        <v>60000526</v>
      </c>
      <c r="B1161">
        <v>49</v>
      </c>
      <c r="C1161" t="s">
        <v>18</v>
      </c>
      <c r="D1161" t="s">
        <v>40</v>
      </c>
      <c r="E1161" t="s">
        <v>75</v>
      </c>
      <c r="F1161" t="s">
        <v>35</v>
      </c>
      <c r="G1161" s="23">
        <v>0.13</v>
      </c>
      <c r="H1161" t="s">
        <v>22</v>
      </c>
      <c r="I1161" t="s">
        <v>49</v>
      </c>
      <c r="J1161" t="s">
        <v>46</v>
      </c>
      <c r="K1161" t="s">
        <v>63</v>
      </c>
      <c r="L1161" t="s">
        <v>119</v>
      </c>
      <c r="M1161" t="s">
        <v>123</v>
      </c>
      <c r="N1161" t="s">
        <v>51</v>
      </c>
      <c r="O1161">
        <v>7</v>
      </c>
      <c r="P1161">
        <v>84205</v>
      </c>
      <c r="Q1161">
        <f t="shared" si="19"/>
        <v>8.4205000000000002E-2</v>
      </c>
      <c r="R1161">
        <v>43252</v>
      </c>
      <c r="S1161" t="s">
        <v>122</v>
      </c>
    </row>
    <row r="1162" spans="1:19">
      <c r="A1162">
        <v>60000527</v>
      </c>
      <c r="B1162">
        <v>27</v>
      </c>
      <c r="C1162" t="s">
        <v>33</v>
      </c>
      <c r="D1162" t="s">
        <v>40</v>
      </c>
      <c r="E1162" t="s">
        <v>72</v>
      </c>
      <c r="F1162" t="s">
        <v>35</v>
      </c>
      <c r="G1162" s="23">
        <v>0.31</v>
      </c>
      <c r="H1162" t="s">
        <v>53</v>
      </c>
      <c r="I1162" t="s">
        <v>65</v>
      </c>
      <c r="J1162" t="s">
        <v>69</v>
      </c>
      <c r="K1162" t="s">
        <v>55</v>
      </c>
      <c r="L1162" t="s">
        <v>121</v>
      </c>
      <c r="M1162" t="s">
        <v>123</v>
      </c>
      <c r="N1162" t="s">
        <v>51</v>
      </c>
      <c r="O1162">
        <v>0</v>
      </c>
      <c r="P1162">
        <v>40117</v>
      </c>
      <c r="Q1162">
        <f t="shared" si="19"/>
        <v>4.0117E-2</v>
      </c>
      <c r="R1162">
        <v>43252</v>
      </c>
      <c r="S1162" t="s">
        <v>122</v>
      </c>
    </row>
    <row r="1163" spans="1:19">
      <c r="A1163">
        <v>60000528</v>
      </c>
      <c r="B1163">
        <v>55</v>
      </c>
      <c r="C1163" t="s">
        <v>18</v>
      </c>
      <c r="D1163" t="s">
        <v>19</v>
      </c>
      <c r="E1163" t="s">
        <v>20</v>
      </c>
      <c r="F1163" t="s">
        <v>35</v>
      </c>
      <c r="G1163" s="23">
        <v>0.24</v>
      </c>
      <c r="H1163" t="s">
        <v>29</v>
      </c>
      <c r="I1163" t="s">
        <v>49</v>
      </c>
      <c r="J1163" t="s">
        <v>46</v>
      </c>
      <c r="K1163" t="s">
        <v>90</v>
      </c>
      <c r="L1163" t="s">
        <v>119</v>
      </c>
      <c r="M1163" t="s">
        <v>123</v>
      </c>
      <c r="N1163" t="s">
        <v>28</v>
      </c>
      <c r="O1163">
        <v>0</v>
      </c>
      <c r="P1163">
        <v>41802</v>
      </c>
      <c r="Q1163">
        <f t="shared" si="19"/>
        <v>4.1801999999999999E-2</v>
      </c>
      <c r="R1163">
        <v>43252</v>
      </c>
      <c r="S1163" t="s">
        <v>122</v>
      </c>
    </row>
    <row r="1164" spans="1:19">
      <c r="A1164">
        <v>60000529</v>
      </c>
      <c r="B1164">
        <v>27</v>
      </c>
      <c r="C1164" t="s">
        <v>18</v>
      </c>
      <c r="D1164" t="s">
        <v>19</v>
      </c>
      <c r="E1164" t="s">
        <v>67</v>
      </c>
      <c r="F1164" t="s">
        <v>35</v>
      </c>
      <c r="G1164" s="23">
        <v>0.34</v>
      </c>
      <c r="H1164" t="s">
        <v>42</v>
      </c>
      <c r="I1164" t="s">
        <v>86</v>
      </c>
      <c r="J1164" t="s">
        <v>69</v>
      </c>
      <c r="K1164" t="s">
        <v>39</v>
      </c>
      <c r="L1164" t="s">
        <v>26</v>
      </c>
      <c r="M1164" t="s">
        <v>123</v>
      </c>
      <c r="N1164" t="s">
        <v>51</v>
      </c>
      <c r="O1164">
        <v>0</v>
      </c>
      <c r="P1164">
        <v>69085</v>
      </c>
      <c r="Q1164">
        <f t="shared" si="19"/>
        <v>6.9084999999999994E-2</v>
      </c>
      <c r="R1164">
        <v>43252</v>
      </c>
      <c r="S1164" t="s">
        <v>122</v>
      </c>
    </row>
    <row r="1165" spans="1:19">
      <c r="A1165">
        <v>60000530</v>
      </c>
      <c r="B1165">
        <v>27</v>
      </c>
      <c r="C1165" t="s">
        <v>18</v>
      </c>
      <c r="D1165" t="s">
        <v>40</v>
      </c>
      <c r="E1165" t="s">
        <v>56</v>
      </c>
      <c r="F1165" t="s">
        <v>35</v>
      </c>
      <c r="G1165" s="23">
        <v>0.38</v>
      </c>
      <c r="H1165" t="s">
        <v>42</v>
      </c>
      <c r="I1165" t="s">
        <v>65</v>
      </c>
      <c r="J1165" t="s">
        <v>54</v>
      </c>
      <c r="K1165" t="s">
        <v>106</v>
      </c>
      <c r="L1165" t="s">
        <v>119</v>
      </c>
      <c r="M1165" t="s">
        <v>123</v>
      </c>
      <c r="N1165" t="s">
        <v>51</v>
      </c>
      <c r="O1165">
        <v>6</v>
      </c>
      <c r="P1165">
        <v>51061</v>
      </c>
      <c r="Q1165">
        <f t="shared" si="19"/>
        <v>5.1061000000000002E-2</v>
      </c>
      <c r="R1165">
        <v>43252</v>
      </c>
      <c r="S1165" t="s">
        <v>122</v>
      </c>
    </row>
    <row r="1166" spans="1:19">
      <c r="A1166">
        <v>60000531</v>
      </c>
      <c r="B1166">
        <v>27</v>
      </c>
      <c r="C1166" t="s">
        <v>18</v>
      </c>
      <c r="D1166" t="s">
        <v>40</v>
      </c>
      <c r="E1166" t="s">
        <v>67</v>
      </c>
      <c r="F1166" t="s">
        <v>35</v>
      </c>
      <c r="G1166" s="23">
        <v>0.14000000000000001</v>
      </c>
      <c r="H1166" t="s">
        <v>22</v>
      </c>
      <c r="I1166" t="s">
        <v>68</v>
      </c>
      <c r="J1166" t="s">
        <v>46</v>
      </c>
      <c r="K1166" t="s">
        <v>95</v>
      </c>
      <c r="L1166" t="s">
        <v>26</v>
      </c>
      <c r="M1166" t="s">
        <v>123</v>
      </c>
      <c r="N1166" t="s">
        <v>28</v>
      </c>
      <c r="O1166">
        <v>2</v>
      </c>
      <c r="P1166">
        <v>83923</v>
      </c>
      <c r="Q1166">
        <f t="shared" si="19"/>
        <v>8.3922999999999998E-2</v>
      </c>
      <c r="R1166">
        <v>43252</v>
      </c>
      <c r="S1166" t="s">
        <v>122</v>
      </c>
    </row>
    <row r="1167" spans="1:19">
      <c r="A1167">
        <v>60000532</v>
      </c>
      <c r="B1167">
        <v>20</v>
      </c>
      <c r="C1167" t="s">
        <v>33</v>
      </c>
      <c r="D1167" t="s">
        <v>19</v>
      </c>
      <c r="E1167" t="s">
        <v>20</v>
      </c>
      <c r="F1167" t="s">
        <v>21</v>
      </c>
      <c r="G1167" s="23">
        <v>0.35</v>
      </c>
      <c r="H1167" t="s">
        <v>42</v>
      </c>
      <c r="I1167" t="s">
        <v>30</v>
      </c>
      <c r="J1167" t="s">
        <v>78</v>
      </c>
      <c r="K1167" t="s">
        <v>55</v>
      </c>
      <c r="L1167" t="s">
        <v>119</v>
      </c>
      <c r="M1167" t="s">
        <v>123</v>
      </c>
      <c r="N1167" t="s">
        <v>51</v>
      </c>
      <c r="O1167">
        <v>0</v>
      </c>
      <c r="P1167">
        <v>58922</v>
      </c>
      <c r="Q1167">
        <f t="shared" si="19"/>
        <v>5.8922000000000002E-2</v>
      </c>
      <c r="R1167">
        <v>43252</v>
      </c>
      <c r="S1167" t="s">
        <v>122</v>
      </c>
    </row>
    <row r="1168" spans="1:19">
      <c r="A1168">
        <v>60000533</v>
      </c>
      <c r="B1168">
        <v>26</v>
      </c>
      <c r="C1168" t="s">
        <v>33</v>
      </c>
      <c r="D1168" t="s">
        <v>40</v>
      </c>
      <c r="E1168" t="s">
        <v>75</v>
      </c>
      <c r="F1168" t="s">
        <v>21</v>
      </c>
      <c r="G1168" s="23">
        <v>0.24</v>
      </c>
      <c r="H1168" t="s">
        <v>29</v>
      </c>
      <c r="I1168" t="s">
        <v>68</v>
      </c>
      <c r="J1168" t="s">
        <v>66</v>
      </c>
      <c r="K1168" t="s">
        <v>47</v>
      </c>
      <c r="L1168" t="s">
        <v>26</v>
      </c>
      <c r="M1168" t="s">
        <v>123</v>
      </c>
      <c r="N1168" t="s">
        <v>28</v>
      </c>
      <c r="O1168">
        <v>0</v>
      </c>
      <c r="P1168">
        <v>51571</v>
      </c>
      <c r="Q1168">
        <f t="shared" si="19"/>
        <v>5.1570999999999999E-2</v>
      </c>
      <c r="R1168">
        <v>43252</v>
      </c>
      <c r="S1168" t="s">
        <v>122</v>
      </c>
    </row>
    <row r="1169" spans="1:19">
      <c r="A1169">
        <v>60000534</v>
      </c>
      <c r="B1169">
        <v>51</v>
      </c>
      <c r="C1169" t="s">
        <v>18</v>
      </c>
      <c r="D1169" t="s">
        <v>19</v>
      </c>
      <c r="E1169" t="s">
        <v>20</v>
      </c>
      <c r="F1169" t="s">
        <v>35</v>
      </c>
      <c r="G1169" s="23">
        <v>0.25</v>
      </c>
      <c r="H1169" t="s">
        <v>53</v>
      </c>
      <c r="I1169" t="s">
        <v>30</v>
      </c>
      <c r="J1169" t="s">
        <v>38</v>
      </c>
      <c r="K1169" t="s">
        <v>105</v>
      </c>
      <c r="L1169" t="s">
        <v>121</v>
      </c>
      <c r="M1169" t="s">
        <v>123</v>
      </c>
      <c r="N1169" t="s">
        <v>28</v>
      </c>
      <c r="O1169">
        <v>5</v>
      </c>
      <c r="P1169">
        <v>71370</v>
      </c>
      <c r="Q1169">
        <f t="shared" si="19"/>
        <v>7.1370000000000003E-2</v>
      </c>
      <c r="R1169">
        <v>43252</v>
      </c>
      <c r="S1169" t="s">
        <v>122</v>
      </c>
    </row>
    <row r="1170" spans="1:19">
      <c r="A1170">
        <v>60000535</v>
      </c>
      <c r="B1170">
        <v>45</v>
      </c>
      <c r="C1170" t="s">
        <v>18</v>
      </c>
      <c r="D1170" t="s">
        <v>19</v>
      </c>
      <c r="E1170" t="s">
        <v>56</v>
      </c>
      <c r="F1170" t="s">
        <v>35</v>
      </c>
      <c r="G1170" s="23">
        <v>0.15</v>
      </c>
      <c r="H1170" t="s">
        <v>22</v>
      </c>
      <c r="I1170" t="s">
        <v>62</v>
      </c>
      <c r="J1170" t="s">
        <v>46</v>
      </c>
      <c r="K1170" t="s">
        <v>104</v>
      </c>
      <c r="L1170" t="s">
        <v>119</v>
      </c>
      <c r="M1170" t="s">
        <v>123</v>
      </c>
      <c r="N1170" t="s">
        <v>28</v>
      </c>
      <c r="O1170">
        <v>0</v>
      </c>
      <c r="P1170">
        <v>82397</v>
      </c>
      <c r="Q1170">
        <f t="shared" si="19"/>
        <v>8.2396999999999998E-2</v>
      </c>
      <c r="R1170">
        <v>43252</v>
      </c>
      <c r="S1170" t="s">
        <v>122</v>
      </c>
    </row>
    <row r="1171" spans="1:19">
      <c r="A1171">
        <v>60000536</v>
      </c>
      <c r="B1171">
        <v>25</v>
      </c>
      <c r="C1171" t="s">
        <v>33</v>
      </c>
      <c r="D1171" t="s">
        <v>40</v>
      </c>
      <c r="E1171" t="s">
        <v>64</v>
      </c>
      <c r="F1171" t="s">
        <v>120</v>
      </c>
      <c r="G1171" s="23">
        <v>0.23</v>
      </c>
      <c r="H1171" t="s">
        <v>29</v>
      </c>
      <c r="I1171" t="s">
        <v>30</v>
      </c>
      <c r="J1171" t="s">
        <v>58</v>
      </c>
      <c r="K1171" t="s">
        <v>92</v>
      </c>
      <c r="L1171" t="s">
        <v>26</v>
      </c>
      <c r="M1171" t="s">
        <v>123</v>
      </c>
      <c r="N1171" t="s">
        <v>51</v>
      </c>
      <c r="O1171">
        <v>1</v>
      </c>
      <c r="P1171">
        <v>27825</v>
      </c>
      <c r="Q1171">
        <f t="shared" si="19"/>
        <v>2.7824999999999999E-2</v>
      </c>
      <c r="R1171">
        <v>43252</v>
      </c>
      <c r="S1171" t="s">
        <v>122</v>
      </c>
    </row>
    <row r="1172" spans="1:19">
      <c r="A1172">
        <v>60000537</v>
      </c>
      <c r="B1172">
        <v>29</v>
      </c>
      <c r="C1172" t="s">
        <v>33</v>
      </c>
      <c r="D1172" t="s">
        <v>19</v>
      </c>
      <c r="E1172" t="s">
        <v>34</v>
      </c>
      <c r="F1172" t="s">
        <v>21</v>
      </c>
      <c r="G1172" s="23">
        <v>0.24</v>
      </c>
      <c r="H1172" t="s">
        <v>29</v>
      </c>
      <c r="I1172" t="s">
        <v>68</v>
      </c>
      <c r="J1172" t="s">
        <v>38</v>
      </c>
      <c r="K1172" t="s">
        <v>114</v>
      </c>
      <c r="L1172" t="s">
        <v>119</v>
      </c>
      <c r="M1172" t="s">
        <v>123</v>
      </c>
      <c r="N1172" t="s">
        <v>51</v>
      </c>
      <c r="O1172">
        <v>0</v>
      </c>
      <c r="P1172">
        <v>58041</v>
      </c>
      <c r="Q1172">
        <f t="shared" si="19"/>
        <v>5.8041000000000002E-2</v>
      </c>
      <c r="R1172">
        <v>43252</v>
      </c>
      <c r="S1172" t="s">
        <v>122</v>
      </c>
    </row>
    <row r="1173" spans="1:19">
      <c r="A1173">
        <v>60000538</v>
      </c>
      <c r="B1173">
        <v>40</v>
      </c>
      <c r="C1173" t="s">
        <v>33</v>
      </c>
      <c r="D1173" t="s">
        <v>19</v>
      </c>
      <c r="E1173" t="s">
        <v>52</v>
      </c>
      <c r="F1173" t="s">
        <v>35</v>
      </c>
      <c r="G1173" s="23">
        <v>0.12</v>
      </c>
      <c r="H1173" t="s">
        <v>22</v>
      </c>
      <c r="I1173" t="s">
        <v>70</v>
      </c>
      <c r="J1173" t="s">
        <v>66</v>
      </c>
      <c r="K1173" t="s">
        <v>108</v>
      </c>
      <c r="L1173" t="s">
        <v>26</v>
      </c>
      <c r="M1173" t="s">
        <v>123</v>
      </c>
      <c r="N1173" t="s">
        <v>28</v>
      </c>
      <c r="O1173">
        <v>6</v>
      </c>
      <c r="P1173">
        <v>80139</v>
      </c>
      <c r="Q1173">
        <f t="shared" si="19"/>
        <v>8.0139000000000002E-2</v>
      </c>
      <c r="R1173">
        <v>43252</v>
      </c>
      <c r="S1173" t="s">
        <v>122</v>
      </c>
    </row>
    <row r="1174" spans="1:19">
      <c r="A1174">
        <v>60000539</v>
      </c>
      <c r="B1174">
        <v>53</v>
      </c>
      <c r="C1174" t="s">
        <v>33</v>
      </c>
      <c r="D1174" t="s">
        <v>40</v>
      </c>
      <c r="E1174" t="s">
        <v>72</v>
      </c>
      <c r="F1174" t="s">
        <v>21</v>
      </c>
      <c r="G1174" s="23">
        <v>0.14000000000000001</v>
      </c>
      <c r="H1174" t="s">
        <v>22</v>
      </c>
      <c r="I1174" t="s">
        <v>65</v>
      </c>
      <c r="J1174" t="s">
        <v>38</v>
      </c>
      <c r="K1174" t="s">
        <v>112</v>
      </c>
      <c r="L1174" t="s">
        <v>121</v>
      </c>
      <c r="M1174" t="s">
        <v>123</v>
      </c>
      <c r="N1174" t="s">
        <v>28</v>
      </c>
      <c r="O1174">
        <v>2</v>
      </c>
      <c r="P1174">
        <v>70328</v>
      </c>
      <c r="Q1174">
        <f t="shared" si="19"/>
        <v>7.0328000000000002E-2</v>
      </c>
      <c r="R1174">
        <v>43252</v>
      </c>
      <c r="S1174" t="s">
        <v>122</v>
      </c>
    </row>
    <row r="1175" spans="1:19">
      <c r="A1175">
        <v>60000540</v>
      </c>
      <c r="B1175">
        <v>50</v>
      </c>
      <c r="C1175" t="s">
        <v>33</v>
      </c>
      <c r="D1175" t="s">
        <v>40</v>
      </c>
      <c r="E1175" t="s">
        <v>20</v>
      </c>
      <c r="F1175" t="s">
        <v>120</v>
      </c>
      <c r="G1175" s="23">
        <v>0.2</v>
      </c>
      <c r="H1175" t="s">
        <v>29</v>
      </c>
      <c r="I1175" t="s">
        <v>70</v>
      </c>
      <c r="J1175" t="s">
        <v>74</v>
      </c>
      <c r="K1175" t="s">
        <v>59</v>
      </c>
      <c r="L1175" t="s">
        <v>26</v>
      </c>
      <c r="M1175" t="s">
        <v>123</v>
      </c>
      <c r="N1175" t="s">
        <v>51</v>
      </c>
      <c r="O1175">
        <v>0</v>
      </c>
      <c r="P1175">
        <v>39091</v>
      </c>
      <c r="Q1175">
        <f t="shared" si="19"/>
        <v>3.9091000000000001E-2</v>
      </c>
      <c r="R1175">
        <v>43252</v>
      </c>
      <c r="S1175" t="s">
        <v>122</v>
      </c>
    </row>
    <row r="1176" spans="1:19">
      <c r="A1176">
        <v>60000541</v>
      </c>
      <c r="B1176">
        <v>21</v>
      </c>
      <c r="C1176" t="s">
        <v>18</v>
      </c>
      <c r="D1176" t="s">
        <v>19</v>
      </c>
      <c r="E1176" t="s">
        <v>44</v>
      </c>
      <c r="F1176" t="s">
        <v>35</v>
      </c>
      <c r="G1176" s="23">
        <v>0.31</v>
      </c>
      <c r="H1176" t="s">
        <v>53</v>
      </c>
      <c r="I1176" t="s">
        <v>83</v>
      </c>
      <c r="J1176" t="s">
        <v>66</v>
      </c>
      <c r="K1176" t="s">
        <v>43</v>
      </c>
      <c r="L1176" t="s">
        <v>121</v>
      </c>
      <c r="M1176" t="s">
        <v>123</v>
      </c>
      <c r="N1176" t="s">
        <v>51</v>
      </c>
      <c r="O1176">
        <v>0</v>
      </c>
      <c r="P1176">
        <v>57443</v>
      </c>
      <c r="Q1176">
        <f t="shared" si="19"/>
        <v>5.7443000000000001E-2</v>
      </c>
      <c r="R1176">
        <v>43252</v>
      </c>
      <c r="S1176" t="s">
        <v>122</v>
      </c>
    </row>
    <row r="1177" spans="1:19">
      <c r="A1177">
        <v>60000542</v>
      </c>
      <c r="B1177">
        <v>52</v>
      </c>
      <c r="C1177" t="s">
        <v>18</v>
      </c>
      <c r="D1177" t="s">
        <v>40</v>
      </c>
      <c r="E1177" t="s">
        <v>72</v>
      </c>
      <c r="F1177" t="s">
        <v>35</v>
      </c>
      <c r="G1177" s="23">
        <v>0.37</v>
      </c>
      <c r="H1177" t="s">
        <v>42</v>
      </c>
      <c r="I1177" t="s">
        <v>68</v>
      </c>
      <c r="J1177" t="s">
        <v>66</v>
      </c>
      <c r="K1177" t="s">
        <v>113</v>
      </c>
      <c r="L1177" t="s">
        <v>119</v>
      </c>
      <c r="M1177" t="s">
        <v>123</v>
      </c>
      <c r="N1177" t="s">
        <v>51</v>
      </c>
      <c r="O1177">
        <v>0</v>
      </c>
      <c r="P1177">
        <v>37654</v>
      </c>
      <c r="Q1177">
        <f t="shared" ref="Q1177:Q1240" si="20">+P1177/1000000</f>
        <v>3.7654E-2</v>
      </c>
      <c r="R1177">
        <v>43252</v>
      </c>
      <c r="S1177" t="s">
        <v>122</v>
      </c>
    </row>
    <row r="1178" spans="1:19">
      <c r="A1178">
        <v>60000543</v>
      </c>
      <c r="B1178">
        <v>56</v>
      </c>
      <c r="C1178" t="s">
        <v>18</v>
      </c>
      <c r="D1178" t="s">
        <v>40</v>
      </c>
      <c r="E1178" t="s">
        <v>48</v>
      </c>
      <c r="F1178" t="s">
        <v>35</v>
      </c>
      <c r="G1178" s="23">
        <v>0.31</v>
      </c>
      <c r="H1178" t="s">
        <v>53</v>
      </c>
      <c r="I1178" t="s">
        <v>45</v>
      </c>
      <c r="J1178" t="s">
        <v>91</v>
      </c>
      <c r="K1178" t="s">
        <v>102</v>
      </c>
      <c r="L1178" t="s">
        <v>119</v>
      </c>
      <c r="M1178" t="s">
        <v>123</v>
      </c>
      <c r="N1178" t="s">
        <v>28</v>
      </c>
      <c r="O1178">
        <v>0</v>
      </c>
      <c r="P1178">
        <v>76747</v>
      </c>
      <c r="Q1178">
        <f t="shared" si="20"/>
        <v>7.6746999999999996E-2</v>
      </c>
      <c r="R1178">
        <v>43252</v>
      </c>
      <c r="S1178" t="s">
        <v>122</v>
      </c>
    </row>
    <row r="1179" spans="1:19">
      <c r="A1179">
        <v>60000544</v>
      </c>
      <c r="B1179">
        <v>57</v>
      </c>
      <c r="C1179" t="s">
        <v>33</v>
      </c>
      <c r="D1179" t="s">
        <v>19</v>
      </c>
      <c r="E1179" t="s">
        <v>20</v>
      </c>
      <c r="F1179" t="s">
        <v>35</v>
      </c>
      <c r="G1179" s="23">
        <v>0.22</v>
      </c>
      <c r="H1179" t="s">
        <v>29</v>
      </c>
      <c r="I1179" t="s">
        <v>68</v>
      </c>
      <c r="J1179" t="s">
        <v>88</v>
      </c>
      <c r="K1179" t="s">
        <v>117</v>
      </c>
      <c r="L1179" t="s">
        <v>121</v>
      </c>
      <c r="M1179" t="s">
        <v>123</v>
      </c>
      <c r="N1179" t="s">
        <v>28</v>
      </c>
      <c r="O1179">
        <v>7</v>
      </c>
      <c r="P1179">
        <v>79615</v>
      </c>
      <c r="Q1179">
        <f t="shared" si="20"/>
        <v>7.9615000000000005E-2</v>
      </c>
      <c r="R1179">
        <v>43252</v>
      </c>
      <c r="S1179" t="s">
        <v>122</v>
      </c>
    </row>
    <row r="1180" spans="1:19">
      <c r="A1180">
        <v>60000545</v>
      </c>
      <c r="B1180">
        <v>36</v>
      </c>
      <c r="C1180" t="s">
        <v>18</v>
      </c>
      <c r="D1180" t="s">
        <v>40</v>
      </c>
      <c r="E1180" t="s">
        <v>85</v>
      </c>
      <c r="F1180" t="s">
        <v>21</v>
      </c>
      <c r="G1180" s="23">
        <v>0.18</v>
      </c>
      <c r="H1180" t="s">
        <v>22</v>
      </c>
      <c r="I1180" t="s">
        <v>30</v>
      </c>
      <c r="J1180" t="s">
        <v>88</v>
      </c>
      <c r="K1180" t="s">
        <v>63</v>
      </c>
      <c r="L1180" t="s">
        <v>119</v>
      </c>
      <c r="M1180" t="s">
        <v>123</v>
      </c>
      <c r="N1180" t="s">
        <v>28</v>
      </c>
      <c r="O1180">
        <v>0</v>
      </c>
      <c r="P1180">
        <v>51669</v>
      </c>
      <c r="Q1180">
        <f t="shared" si="20"/>
        <v>5.1669E-2</v>
      </c>
      <c r="R1180">
        <v>43252</v>
      </c>
      <c r="S1180" t="s">
        <v>122</v>
      </c>
    </row>
    <row r="1181" spans="1:19">
      <c r="A1181">
        <v>60000546</v>
      </c>
      <c r="B1181">
        <v>61</v>
      </c>
      <c r="C1181" t="s">
        <v>33</v>
      </c>
      <c r="D1181" t="s">
        <v>40</v>
      </c>
      <c r="E1181" t="s">
        <v>48</v>
      </c>
      <c r="F1181" t="s">
        <v>120</v>
      </c>
      <c r="G1181" s="23">
        <v>0.21</v>
      </c>
      <c r="H1181" t="s">
        <v>29</v>
      </c>
      <c r="I1181" t="s">
        <v>83</v>
      </c>
      <c r="J1181" t="s">
        <v>58</v>
      </c>
      <c r="K1181" t="s">
        <v>60</v>
      </c>
      <c r="L1181" t="s">
        <v>26</v>
      </c>
      <c r="M1181" t="s">
        <v>123</v>
      </c>
      <c r="N1181" t="s">
        <v>28</v>
      </c>
      <c r="O1181">
        <v>0</v>
      </c>
      <c r="P1181">
        <v>45235</v>
      </c>
      <c r="Q1181">
        <f t="shared" si="20"/>
        <v>4.5234999999999997E-2</v>
      </c>
      <c r="R1181">
        <v>43252</v>
      </c>
      <c r="S1181" t="s">
        <v>122</v>
      </c>
    </row>
    <row r="1182" spans="1:19">
      <c r="A1182">
        <v>60000547</v>
      </c>
      <c r="B1182">
        <v>64</v>
      </c>
      <c r="C1182" t="s">
        <v>33</v>
      </c>
      <c r="D1182" t="s">
        <v>19</v>
      </c>
      <c r="E1182" t="s">
        <v>75</v>
      </c>
      <c r="F1182" t="s">
        <v>120</v>
      </c>
      <c r="G1182" s="23">
        <v>0.33</v>
      </c>
      <c r="H1182" t="s">
        <v>42</v>
      </c>
      <c r="I1182" t="s">
        <v>45</v>
      </c>
      <c r="J1182" t="s">
        <v>58</v>
      </c>
      <c r="K1182" t="s">
        <v>112</v>
      </c>
      <c r="L1182" t="s">
        <v>121</v>
      </c>
      <c r="M1182" t="s">
        <v>123</v>
      </c>
      <c r="N1182" t="s">
        <v>51</v>
      </c>
      <c r="O1182">
        <v>0</v>
      </c>
      <c r="P1182">
        <v>69731</v>
      </c>
      <c r="Q1182">
        <f t="shared" si="20"/>
        <v>6.9731000000000001E-2</v>
      </c>
      <c r="R1182">
        <v>43252</v>
      </c>
      <c r="S1182" t="s">
        <v>122</v>
      </c>
    </row>
    <row r="1183" spans="1:19">
      <c r="A1183">
        <v>60000548</v>
      </c>
      <c r="B1183">
        <v>51</v>
      </c>
      <c r="C1183" t="s">
        <v>33</v>
      </c>
      <c r="D1183" t="s">
        <v>19</v>
      </c>
      <c r="E1183" t="s">
        <v>48</v>
      </c>
      <c r="F1183" t="s">
        <v>35</v>
      </c>
      <c r="G1183" s="23">
        <v>0.17</v>
      </c>
      <c r="H1183" t="s">
        <v>22</v>
      </c>
      <c r="I1183" t="s">
        <v>30</v>
      </c>
      <c r="J1183" t="s">
        <v>66</v>
      </c>
      <c r="K1183" t="s">
        <v>106</v>
      </c>
      <c r="L1183" t="s">
        <v>119</v>
      </c>
      <c r="M1183" t="s">
        <v>123</v>
      </c>
      <c r="N1183" t="s">
        <v>51</v>
      </c>
      <c r="O1183">
        <v>0</v>
      </c>
      <c r="P1183">
        <v>40946</v>
      </c>
      <c r="Q1183">
        <f t="shared" si="20"/>
        <v>4.0946000000000003E-2</v>
      </c>
      <c r="R1183">
        <v>43252</v>
      </c>
      <c r="S1183" t="s">
        <v>122</v>
      </c>
    </row>
    <row r="1184" spans="1:19">
      <c r="A1184">
        <v>60000549</v>
      </c>
      <c r="B1184">
        <v>54</v>
      </c>
      <c r="C1184" t="s">
        <v>18</v>
      </c>
      <c r="D1184" t="s">
        <v>19</v>
      </c>
      <c r="E1184" t="s">
        <v>34</v>
      </c>
      <c r="F1184" t="s">
        <v>21</v>
      </c>
      <c r="G1184" s="23">
        <v>0.33</v>
      </c>
      <c r="H1184" t="s">
        <v>42</v>
      </c>
      <c r="I1184" t="s">
        <v>68</v>
      </c>
      <c r="J1184" t="s">
        <v>38</v>
      </c>
      <c r="K1184" t="s">
        <v>87</v>
      </c>
      <c r="L1184" t="s">
        <v>121</v>
      </c>
      <c r="M1184" t="s">
        <v>123</v>
      </c>
      <c r="N1184" t="s">
        <v>51</v>
      </c>
      <c r="O1184">
        <v>0</v>
      </c>
      <c r="P1184">
        <v>69945</v>
      </c>
      <c r="Q1184">
        <f t="shared" si="20"/>
        <v>6.9944999999999993E-2</v>
      </c>
      <c r="R1184">
        <v>43252</v>
      </c>
      <c r="S1184" t="s">
        <v>122</v>
      </c>
    </row>
    <row r="1185" spans="1:19">
      <c r="A1185">
        <v>60000550</v>
      </c>
      <c r="B1185">
        <v>23</v>
      </c>
      <c r="C1185" t="s">
        <v>18</v>
      </c>
      <c r="D1185" t="s">
        <v>40</v>
      </c>
      <c r="E1185" t="s">
        <v>75</v>
      </c>
      <c r="F1185" t="s">
        <v>21</v>
      </c>
      <c r="G1185" s="23">
        <v>0.33</v>
      </c>
      <c r="H1185" t="s">
        <v>42</v>
      </c>
      <c r="I1185" t="s">
        <v>57</v>
      </c>
      <c r="J1185" t="s">
        <v>46</v>
      </c>
      <c r="K1185" t="s">
        <v>55</v>
      </c>
      <c r="L1185" t="s">
        <v>26</v>
      </c>
      <c r="M1185" t="s">
        <v>123</v>
      </c>
      <c r="N1185" t="s">
        <v>51</v>
      </c>
      <c r="O1185">
        <v>0</v>
      </c>
      <c r="P1185">
        <v>67008</v>
      </c>
      <c r="Q1185">
        <f t="shared" si="20"/>
        <v>6.7007999999999998E-2</v>
      </c>
      <c r="R1185">
        <v>43252</v>
      </c>
      <c r="S1185" t="s">
        <v>122</v>
      </c>
    </row>
    <row r="1186" spans="1:19">
      <c r="A1186">
        <v>60000551</v>
      </c>
      <c r="B1186">
        <v>21</v>
      </c>
      <c r="C1186" t="s">
        <v>33</v>
      </c>
      <c r="D1186" t="s">
        <v>19</v>
      </c>
      <c r="E1186" t="s">
        <v>75</v>
      </c>
      <c r="F1186" t="s">
        <v>120</v>
      </c>
      <c r="G1186" s="23">
        <v>0.21</v>
      </c>
      <c r="H1186" t="s">
        <v>29</v>
      </c>
      <c r="I1186" t="s">
        <v>83</v>
      </c>
      <c r="J1186" t="s">
        <v>58</v>
      </c>
      <c r="K1186" t="s">
        <v>62</v>
      </c>
      <c r="L1186" t="s">
        <v>26</v>
      </c>
      <c r="M1186" t="s">
        <v>123</v>
      </c>
      <c r="N1186" t="s">
        <v>51</v>
      </c>
      <c r="O1186">
        <v>4</v>
      </c>
      <c r="P1186">
        <v>56667</v>
      </c>
      <c r="Q1186">
        <f t="shared" si="20"/>
        <v>5.6667000000000002E-2</v>
      </c>
      <c r="R1186">
        <v>43252</v>
      </c>
      <c r="S1186" t="s">
        <v>122</v>
      </c>
    </row>
    <row r="1187" spans="1:19">
      <c r="A1187">
        <v>60000552</v>
      </c>
      <c r="B1187">
        <v>61</v>
      </c>
      <c r="C1187" t="s">
        <v>18</v>
      </c>
      <c r="D1187" t="s">
        <v>40</v>
      </c>
      <c r="E1187" t="s">
        <v>75</v>
      </c>
      <c r="F1187" t="s">
        <v>120</v>
      </c>
      <c r="G1187" s="23">
        <v>0.28000000000000003</v>
      </c>
      <c r="H1187" t="s">
        <v>53</v>
      </c>
      <c r="I1187" t="s">
        <v>49</v>
      </c>
      <c r="J1187" t="s">
        <v>66</v>
      </c>
      <c r="K1187" t="s">
        <v>110</v>
      </c>
      <c r="L1187" t="s">
        <v>121</v>
      </c>
      <c r="M1187" t="s">
        <v>123</v>
      </c>
      <c r="N1187" t="s">
        <v>51</v>
      </c>
      <c r="O1187">
        <v>0</v>
      </c>
      <c r="P1187">
        <v>32042</v>
      </c>
      <c r="Q1187">
        <f t="shared" si="20"/>
        <v>3.2042000000000001E-2</v>
      </c>
      <c r="R1187">
        <v>43252</v>
      </c>
      <c r="S1187" t="s">
        <v>122</v>
      </c>
    </row>
    <row r="1188" spans="1:19">
      <c r="A1188">
        <v>60000553</v>
      </c>
      <c r="B1188">
        <v>28</v>
      </c>
      <c r="C1188" t="s">
        <v>33</v>
      </c>
      <c r="D1188" t="s">
        <v>19</v>
      </c>
      <c r="E1188" t="s">
        <v>72</v>
      </c>
      <c r="F1188" t="s">
        <v>35</v>
      </c>
      <c r="G1188" s="23">
        <v>0.35</v>
      </c>
      <c r="H1188" t="s">
        <v>42</v>
      </c>
      <c r="I1188" t="s">
        <v>45</v>
      </c>
      <c r="J1188" t="s">
        <v>54</v>
      </c>
      <c r="K1188" t="s">
        <v>118</v>
      </c>
      <c r="L1188" t="s">
        <v>26</v>
      </c>
      <c r="M1188" t="s">
        <v>123</v>
      </c>
      <c r="N1188" t="s">
        <v>28</v>
      </c>
      <c r="O1188">
        <v>7</v>
      </c>
      <c r="P1188">
        <v>57373</v>
      </c>
      <c r="Q1188">
        <f t="shared" si="20"/>
        <v>5.7373E-2</v>
      </c>
      <c r="R1188">
        <v>43252</v>
      </c>
      <c r="S1188" t="s">
        <v>122</v>
      </c>
    </row>
    <row r="1189" spans="1:19">
      <c r="A1189">
        <v>60000554</v>
      </c>
      <c r="B1189">
        <v>34</v>
      </c>
      <c r="C1189" t="s">
        <v>18</v>
      </c>
      <c r="D1189" t="s">
        <v>19</v>
      </c>
      <c r="E1189" t="s">
        <v>72</v>
      </c>
      <c r="F1189" t="s">
        <v>35</v>
      </c>
      <c r="G1189" s="23">
        <v>0.11</v>
      </c>
      <c r="H1189" t="s">
        <v>36</v>
      </c>
      <c r="I1189" t="s">
        <v>30</v>
      </c>
      <c r="J1189" t="s">
        <v>31</v>
      </c>
      <c r="K1189" t="s">
        <v>117</v>
      </c>
      <c r="L1189" t="s">
        <v>121</v>
      </c>
      <c r="M1189" t="s">
        <v>123</v>
      </c>
      <c r="N1189" t="s">
        <v>51</v>
      </c>
      <c r="O1189">
        <v>0</v>
      </c>
      <c r="P1189">
        <v>34399</v>
      </c>
      <c r="Q1189">
        <f t="shared" si="20"/>
        <v>3.4398999999999999E-2</v>
      </c>
      <c r="R1189">
        <v>43252</v>
      </c>
      <c r="S1189" t="s">
        <v>122</v>
      </c>
    </row>
    <row r="1190" spans="1:19">
      <c r="A1190">
        <v>60000555</v>
      </c>
      <c r="B1190">
        <v>29</v>
      </c>
      <c r="C1190" t="s">
        <v>18</v>
      </c>
      <c r="D1190" t="s">
        <v>40</v>
      </c>
      <c r="E1190" t="s">
        <v>56</v>
      </c>
      <c r="F1190" t="s">
        <v>21</v>
      </c>
      <c r="G1190" s="23">
        <v>0.38</v>
      </c>
      <c r="H1190" t="s">
        <v>42</v>
      </c>
      <c r="I1190" t="s">
        <v>37</v>
      </c>
      <c r="J1190" t="s">
        <v>88</v>
      </c>
      <c r="K1190" t="s">
        <v>90</v>
      </c>
      <c r="L1190" t="s">
        <v>119</v>
      </c>
      <c r="M1190" t="s">
        <v>123</v>
      </c>
      <c r="N1190" t="s">
        <v>51</v>
      </c>
      <c r="O1190">
        <v>0</v>
      </c>
      <c r="P1190">
        <v>65066</v>
      </c>
      <c r="Q1190">
        <f t="shared" si="20"/>
        <v>6.5065999999999999E-2</v>
      </c>
      <c r="R1190">
        <v>43252</v>
      </c>
      <c r="S1190" t="s">
        <v>122</v>
      </c>
    </row>
    <row r="1191" spans="1:19">
      <c r="A1191">
        <v>60000556</v>
      </c>
      <c r="B1191">
        <v>33</v>
      </c>
      <c r="C1191" t="s">
        <v>18</v>
      </c>
      <c r="D1191" t="s">
        <v>40</v>
      </c>
      <c r="E1191" t="s">
        <v>75</v>
      </c>
      <c r="F1191" t="s">
        <v>21</v>
      </c>
      <c r="G1191" s="23">
        <v>0.15</v>
      </c>
      <c r="H1191" t="s">
        <v>22</v>
      </c>
      <c r="I1191" t="s">
        <v>73</v>
      </c>
      <c r="J1191" t="s">
        <v>74</v>
      </c>
      <c r="K1191" t="s">
        <v>114</v>
      </c>
      <c r="L1191" t="s">
        <v>119</v>
      </c>
      <c r="M1191" t="s">
        <v>123</v>
      </c>
      <c r="N1191" t="s">
        <v>28</v>
      </c>
      <c r="O1191">
        <v>0</v>
      </c>
      <c r="P1191">
        <v>25621</v>
      </c>
      <c r="Q1191">
        <f t="shared" si="20"/>
        <v>2.5621000000000001E-2</v>
      </c>
      <c r="R1191">
        <v>43252</v>
      </c>
      <c r="S1191" t="s">
        <v>122</v>
      </c>
    </row>
    <row r="1192" spans="1:19">
      <c r="A1192">
        <v>60000557</v>
      </c>
      <c r="B1192">
        <v>28</v>
      </c>
      <c r="C1192" t="s">
        <v>33</v>
      </c>
      <c r="D1192" t="s">
        <v>40</v>
      </c>
      <c r="E1192" t="s">
        <v>72</v>
      </c>
      <c r="F1192" t="s">
        <v>120</v>
      </c>
      <c r="G1192" s="23">
        <v>0.23</v>
      </c>
      <c r="H1192" t="s">
        <v>29</v>
      </c>
      <c r="I1192" t="s">
        <v>57</v>
      </c>
      <c r="J1192" t="s">
        <v>74</v>
      </c>
      <c r="K1192" t="s">
        <v>109</v>
      </c>
      <c r="L1192" t="s">
        <v>26</v>
      </c>
      <c r="M1192" t="s">
        <v>123</v>
      </c>
      <c r="N1192" t="s">
        <v>28</v>
      </c>
      <c r="O1192">
        <v>7</v>
      </c>
      <c r="P1192">
        <v>81039</v>
      </c>
      <c r="Q1192">
        <f t="shared" si="20"/>
        <v>8.1039E-2</v>
      </c>
      <c r="R1192">
        <v>43252</v>
      </c>
      <c r="S1192" t="s">
        <v>122</v>
      </c>
    </row>
    <row r="1193" spans="1:19">
      <c r="A1193">
        <v>60000558</v>
      </c>
      <c r="B1193">
        <v>23</v>
      </c>
      <c r="C1193" t="s">
        <v>18</v>
      </c>
      <c r="D1193" t="s">
        <v>19</v>
      </c>
      <c r="E1193" t="s">
        <v>75</v>
      </c>
      <c r="F1193" t="s">
        <v>120</v>
      </c>
      <c r="G1193" s="23">
        <v>0.23</v>
      </c>
      <c r="H1193" t="s">
        <v>29</v>
      </c>
      <c r="I1193" t="s">
        <v>57</v>
      </c>
      <c r="J1193" t="s">
        <v>91</v>
      </c>
      <c r="K1193" t="s">
        <v>82</v>
      </c>
      <c r="L1193" t="s">
        <v>121</v>
      </c>
      <c r="M1193" t="s">
        <v>123</v>
      </c>
      <c r="N1193" t="s">
        <v>28</v>
      </c>
      <c r="O1193">
        <v>0</v>
      </c>
      <c r="P1193">
        <v>60055</v>
      </c>
      <c r="Q1193">
        <f t="shared" si="20"/>
        <v>6.0054999999999997E-2</v>
      </c>
      <c r="R1193">
        <v>43252</v>
      </c>
      <c r="S1193" t="s">
        <v>122</v>
      </c>
    </row>
    <row r="1194" spans="1:19">
      <c r="A1194">
        <v>60000559</v>
      </c>
      <c r="B1194">
        <v>24</v>
      </c>
      <c r="C1194" t="s">
        <v>18</v>
      </c>
      <c r="D1194" t="s">
        <v>19</v>
      </c>
      <c r="E1194" t="s">
        <v>44</v>
      </c>
      <c r="F1194" t="s">
        <v>35</v>
      </c>
      <c r="G1194" s="23">
        <v>0.31</v>
      </c>
      <c r="H1194" t="s">
        <v>53</v>
      </c>
      <c r="I1194" t="s">
        <v>80</v>
      </c>
      <c r="J1194" t="s">
        <v>78</v>
      </c>
      <c r="K1194" t="s">
        <v>100</v>
      </c>
      <c r="L1194" t="s">
        <v>119</v>
      </c>
      <c r="M1194" t="s">
        <v>123</v>
      </c>
      <c r="N1194" t="s">
        <v>51</v>
      </c>
      <c r="O1194">
        <v>4</v>
      </c>
      <c r="P1194">
        <v>59665</v>
      </c>
      <c r="Q1194">
        <f t="shared" si="20"/>
        <v>5.9665000000000003E-2</v>
      </c>
      <c r="R1194">
        <v>43252</v>
      </c>
      <c r="S1194" t="s">
        <v>122</v>
      </c>
    </row>
    <row r="1195" spans="1:19">
      <c r="A1195">
        <v>60000560</v>
      </c>
      <c r="B1195">
        <v>49</v>
      </c>
      <c r="C1195" t="s">
        <v>33</v>
      </c>
      <c r="D1195" t="s">
        <v>40</v>
      </c>
      <c r="E1195" t="s">
        <v>20</v>
      </c>
      <c r="F1195" t="s">
        <v>21</v>
      </c>
      <c r="G1195" s="23">
        <v>0.18</v>
      </c>
      <c r="H1195" t="s">
        <v>22</v>
      </c>
      <c r="I1195" t="s">
        <v>45</v>
      </c>
      <c r="J1195" t="s">
        <v>46</v>
      </c>
      <c r="K1195" t="s">
        <v>79</v>
      </c>
      <c r="L1195" t="s">
        <v>121</v>
      </c>
      <c r="M1195" t="s">
        <v>123</v>
      </c>
      <c r="N1195" t="s">
        <v>51</v>
      </c>
      <c r="O1195">
        <v>2</v>
      </c>
      <c r="P1195">
        <v>79766</v>
      </c>
      <c r="Q1195">
        <f t="shared" si="20"/>
        <v>7.9766000000000004E-2</v>
      </c>
      <c r="R1195">
        <v>43252</v>
      </c>
      <c r="S1195" t="s">
        <v>122</v>
      </c>
    </row>
    <row r="1196" spans="1:19">
      <c r="A1196">
        <v>60000561</v>
      </c>
      <c r="B1196">
        <v>44</v>
      </c>
      <c r="C1196" t="s">
        <v>33</v>
      </c>
      <c r="D1196" t="s">
        <v>19</v>
      </c>
      <c r="E1196" t="s">
        <v>41</v>
      </c>
      <c r="F1196" t="s">
        <v>21</v>
      </c>
      <c r="G1196" s="23">
        <v>0.26</v>
      </c>
      <c r="H1196" t="s">
        <v>53</v>
      </c>
      <c r="I1196" t="s">
        <v>62</v>
      </c>
      <c r="J1196" t="s">
        <v>61</v>
      </c>
      <c r="K1196" t="s">
        <v>109</v>
      </c>
      <c r="L1196" t="s">
        <v>26</v>
      </c>
      <c r="M1196" t="s">
        <v>123</v>
      </c>
      <c r="N1196" t="s">
        <v>28</v>
      </c>
      <c r="O1196">
        <v>0</v>
      </c>
      <c r="P1196">
        <v>72085</v>
      </c>
      <c r="Q1196">
        <f t="shared" si="20"/>
        <v>7.2084999999999996E-2</v>
      </c>
      <c r="R1196">
        <v>43252</v>
      </c>
      <c r="S1196" t="s">
        <v>122</v>
      </c>
    </row>
    <row r="1197" spans="1:19">
      <c r="A1197">
        <v>60000562</v>
      </c>
      <c r="B1197">
        <v>48</v>
      </c>
      <c r="C1197" t="s">
        <v>33</v>
      </c>
      <c r="D1197" t="s">
        <v>19</v>
      </c>
      <c r="E1197" t="s">
        <v>52</v>
      </c>
      <c r="F1197" t="s">
        <v>35</v>
      </c>
      <c r="G1197" s="23">
        <v>0.2</v>
      </c>
      <c r="H1197" t="s">
        <v>29</v>
      </c>
      <c r="I1197" t="s">
        <v>57</v>
      </c>
      <c r="J1197" t="s">
        <v>66</v>
      </c>
      <c r="K1197" t="s">
        <v>115</v>
      </c>
      <c r="L1197" t="s">
        <v>26</v>
      </c>
      <c r="M1197" t="s">
        <v>123</v>
      </c>
      <c r="N1197" t="s">
        <v>28</v>
      </c>
      <c r="O1197">
        <v>0</v>
      </c>
      <c r="P1197">
        <v>30210</v>
      </c>
      <c r="Q1197">
        <f t="shared" si="20"/>
        <v>3.0210000000000001E-2</v>
      </c>
      <c r="R1197">
        <v>43252</v>
      </c>
      <c r="S1197" t="s">
        <v>122</v>
      </c>
    </row>
    <row r="1198" spans="1:19">
      <c r="A1198">
        <v>60000563</v>
      </c>
      <c r="B1198">
        <v>63</v>
      </c>
      <c r="C1198" t="s">
        <v>33</v>
      </c>
      <c r="D1198" t="s">
        <v>19</v>
      </c>
      <c r="E1198" t="s">
        <v>72</v>
      </c>
      <c r="F1198" t="s">
        <v>21</v>
      </c>
      <c r="G1198" s="23">
        <v>0.34</v>
      </c>
      <c r="H1198" t="s">
        <v>42</v>
      </c>
      <c r="I1198" t="s">
        <v>68</v>
      </c>
      <c r="J1198" t="s">
        <v>54</v>
      </c>
      <c r="K1198" t="s">
        <v>107</v>
      </c>
      <c r="L1198" t="s">
        <v>119</v>
      </c>
      <c r="M1198" t="s">
        <v>123</v>
      </c>
      <c r="N1198" t="s">
        <v>28</v>
      </c>
      <c r="O1198">
        <v>2</v>
      </c>
      <c r="P1198">
        <v>71522</v>
      </c>
      <c r="Q1198">
        <f t="shared" si="20"/>
        <v>7.1522000000000002E-2</v>
      </c>
      <c r="R1198">
        <v>43252</v>
      </c>
      <c r="S1198" t="s">
        <v>122</v>
      </c>
    </row>
    <row r="1199" spans="1:19">
      <c r="A1199">
        <v>60000564</v>
      </c>
      <c r="B1199">
        <v>53</v>
      </c>
      <c r="C1199" t="s">
        <v>33</v>
      </c>
      <c r="D1199" t="s">
        <v>19</v>
      </c>
      <c r="E1199" t="s">
        <v>85</v>
      </c>
      <c r="F1199" t="s">
        <v>35</v>
      </c>
      <c r="G1199" s="23">
        <v>0.19</v>
      </c>
      <c r="H1199" t="s">
        <v>29</v>
      </c>
      <c r="I1199" t="s">
        <v>65</v>
      </c>
      <c r="J1199" t="s">
        <v>88</v>
      </c>
      <c r="K1199" t="s">
        <v>60</v>
      </c>
      <c r="L1199" t="s">
        <v>121</v>
      </c>
      <c r="M1199" t="s">
        <v>123</v>
      </c>
      <c r="N1199" t="s">
        <v>51</v>
      </c>
      <c r="O1199">
        <v>0</v>
      </c>
      <c r="P1199">
        <v>72112</v>
      </c>
      <c r="Q1199">
        <f t="shared" si="20"/>
        <v>7.2111999999999996E-2</v>
      </c>
      <c r="R1199">
        <v>43252</v>
      </c>
      <c r="S1199" t="s">
        <v>122</v>
      </c>
    </row>
    <row r="1200" spans="1:19">
      <c r="A1200">
        <v>60000565</v>
      </c>
      <c r="B1200">
        <v>33</v>
      </c>
      <c r="C1200" t="s">
        <v>33</v>
      </c>
      <c r="D1200" t="s">
        <v>19</v>
      </c>
      <c r="E1200" t="s">
        <v>34</v>
      </c>
      <c r="F1200" t="s">
        <v>21</v>
      </c>
      <c r="G1200" s="23">
        <v>0.1</v>
      </c>
      <c r="H1200" t="s">
        <v>36</v>
      </c>
      <c r="I1200" t="s">
        <v>70</v>
      </c>
      <c r="J1200" t="s">
        <v>69</v>
      </c>
      <c r="K1200" t="s">
        <v>97</v>
      </c>
      <c r="L1200" t="s">
        <v>26</v>
      </c>
      <c r="M1200" t="s">
        <v>123</v>
      </c>
      <c r="N1200" t="s">
        <v>28</v>
      </c>
      <c r="O1200">
        <v>2</v>
      </c>
      <c r="P1200">
        <v>23879</v>
      </c>
      <c r="Q1200">
        <f t="shared" si="20"/>
        <v>2.3879000000000001E-2</v>
      </c>
      <c r="R1200">
        <v>43252</v>
      </c>
      <c r="S1200" t="s">
        <v>122</v>
      </c>
    </row>
    <row r="1201" spans="1:19">
      <c r="A1201">
        <v>60000566</v>
      </c>
      <c r="B1201">
        <v>59</v>
      </c>
      <c r="C1201" t="s">
        <v>33</v>
      </c>
      <c r="D1201" t="s">
        <v>40</v>
      </c>
      <c r="E1201" t="s">
        <v>64</v>
      </c>
      <c r="F1201" t="s">
        <v>21</v>
      </c>
      <c r="G1201" s="23">
        <v>0.37</v>
      </c>
      <c r="H1201" t="s">
        <v>42</v>
      </c>
      <c r="I1201" t="s">
        <v>68</v>
      </c>
      <c r="J1201" t="s">
        <v>66</v>
      </c>
      <c r="K1201" t="s">
        <v>55</v>
      </c>
      <c r="L1201" t="s">
        <v>26</v>
      </c>
      <c r="M1201" t="s">
        <v>123</v>
      </c>
      <c r="N1201" t="s">
        <v>51</v>
      </c>
      <c r="O1201">
        <v>0</v>
      </c>
      <c r="P1201">
        <v>51537</v>
      </c>
      <c r="Q1201">
        <f t="shared" si="20"/>
        <v>5.1536999999999999E-2</v>
      </c>
      <c r="R1201">
        <v>43252</v>
      </c>
      <c r="S1201" t="s">
        <v>122</v>
      </c>
    </row>
    <row r="1202" spans="1:19">
      <c r="A1202">
        <v>60000567</v>
      </c>
      <c r="B1202">
        <v>41</v>
      </c>
      <c r="C1202" t="s">
        <v>18</v>
      </c>
      <c r="D1202" t="s">
        <v>40</v>
      </c>
      <c r="E1202" t="s">
        <v>64</v>
      </c>
      <c r="F1202" t="s">
        <v>21</v>
      </c>
      <c r="G1202" s="23">
        <v>0.36</v>
      </c>
      <c r="H1202" t="s">
        <v>42</v>
      </c>
      <c r="I1202" t="s">
        <v>80</v>
      </c>
      <c r="J1202" t="s">
        <v>91</v>
      </c>
      <c r="K1202" t="s">
        <v>95</v>
      </c>
      <c r="L1202" t="s">
        <v>121</v>
      </c>
      <c r="M1202" t="s">
        <v>123</v>
      </c>
      <c r="N1202" t="s">
        <v>51</v>
      </c>
      <c r="O1202">
        <v>0</v>
      </c>
      <c r="P1202">
        <v>73829</v>
      </c>
      <c r="Q1202">
        <f t="shared" si="20"/>
        <v>7.3829000000000006E-2</v>
      </c>
      <c r="R1202">
        <v>43252</v>
      </c>
      <c r="S1202" t="s">
        <v>122</v>
      </c>
    </row>
    <row r="1203" spans="1:19">
      <c r="A1203">
        <v>60000568</v>
      </c>
      <c r="B1203">
        <v>41</v>
      </c>
      <c r="C1203" t="s">
        <v>18</v>
      </c>
      <c r="D1203" t="s">
        <v>19</v>
      </c>
      <c r="E1203" t="s">
        <v>75</v>
      </c>
      <c r="F1203" t="s">
        <v>35</v>
      </c>
      <c r="G1203" s="23">
        <v>0.12</v>
      </c>
      <c r="H1203" t="s">
        <v>22</v>
      </c>
      <c r="I1203" t="s">
        <v>68</v>
      </c>
      <c r="J1203" t="s">
        <v>66</v>
      </c>
      <c r="K1203" t="s">
        <v>105</v>
      </c>
      <c r="L1203" t="s">
        <v>121</v>
      </c>
      <c r="M1203" t="s">
        <v>123</v>
      </c>
      <c r="N1203" t="s">
        <v>28</v>
      </c>
      <c r="O1203">
        <v>6</v>
      </c>
      <c r="P1203">
        <v>55684</v>
      </c>
      <c r="Q1203">
        <f t="shared" si="20"/>
        <v>5.5683999999999997E-2</v>
      </c>
      <c r="R1203">
        <v>43252</v>
      </c>
      <c r="S1203" t="s">
        <v>122</v>
      </c>
    </row>
    <row r="1204" spans="1:19">
      <c r="A1204">
        <v>60000569</v>
      </c>
      <c r="B1204">
        <v>52</v>
      </c>
      <c r="C1204" t="s">
        <v>33</v>
      </c>
      <c r="D1204" t="s">
        <v>19</v>
      </c>
      <c r="E1204" t="s">
        <v>52</v>
      </c>
      <c r="F1204" t="s">
        <v>35</v>
      </c>
      <c r="G1204" s="23">
        <v>0.34</v>
      </c>
      <c r="H1204" t="s">
        <v>42</v>
      </c>
      <c r="I1204" t="s">
        <v>70</v>
      </c>
      <c r="J1204" t="s">
        <v>69</v>
      </c>
      <c r="K1204" t="s">
        <v>83</v>
      </c>
      <c r="L1204" t="s">
        <v>121</v>
      </c>
      <c r="M1204" t="s">
        <v>123</v>
      </c>
      <c r="N1204" t="s">
        <v>51</v>
      </c>
      <c r="O1204">
        <v>1</v>
      </c>
      <c r="P1204">
        <v>66711</v>
      </c>
      <c r="Q1204">
        <f t="shared" si="20"/>
        <v>6.6711000000000006E-2</v>
      </c>
      <c r="R1204">
        <v>43252</v>
      </c>
      <c r="S1204" t="s">
        <v>122</v>
      </c>
    </row>
    <row r="1205" spans="1:19">
      <c r="A1205">
        <v>60000570</v>
      </c>
      <c r="B1205">
        <v>22</v>
      </c>
      <c r="C1205" t="s">
        <v>33</v>
      </c>
      <c r="D1205" t="s">
        <v>40</v>
      </c>
      <c r="E1205" t="s">
        <v>34</v>
      </c>
      <c r="F1205" t="s">
        <v>35</v>
      </c>
      <c r="G1205" s="23">
        <v>0.35</v>
      </c>
      <c r="H1205" t="s">
        <v>42</v>
      </c>
      <c r="I1205" t="s">
        <v>23</v>
      </c>
      <c r="J1205" t="s">
        <v>24</v>
      </c>
      <c r="K1205" t="s">
        <v>105</v>
      </c>
      <c r="L1205" t="s">
        <v>119</v>
      </c>
      <c r="M1205" t="s">
        <v>123</v>
      </c>
      <c r="N1205" t="s">
        <v>51</v>
      </c>
      <c r="O1205">
        <v>4</v>
      </c>
      <c r="P1205">
        <v>35715</v>
      </c>
      <c r="Q1205">
        <f t="shared" si="20"/>
        <v>3.5714999999999997E-2</v>
      </c>
      <c r="R1205">
        <v>43252</v>
      </c>
      <c r="S1205" t="s">
        <v>122</v>
      </c>
    </row>
    <row r="1206" spans="1:19">
      <c r="A1206">
        <v>60000571</v>
      </c>
      <c r="B1206">
        <v>31</v>
      </c>
      <c r="C1206" t="s">
        <v>33</v>
      </c>
      <c r="D1206" t="s">
        <v>19</v>
      </c>
      <c r="E1206" t="s">
        <v>41</v>
      </c>
      <c r="F1206" t="s">
        <v>120</v>
      </c>
      <c r="G1206" s="23">
        <v>0.38</v>
      </c>
      <c r="H1206" t="s">
        <v>42</v>
      </c>
      <c r="I1206" t="s">
        <v>37</v>
      </c>
      <c r="J1206" t="s">
        <v>46</v>
      </c>
      <c r="K1206" t="s">
        <v>113</v>
      </c>
      <c r="L1206" t="s">
        <v>26</v>
      </c>
      <c r="M1206" t="s">
        <v>123</v>
      </c>
      <c r="N1206" t="s">
        <v>28</v>
      </c>
      <c r="O1206">
        <v>5</v>
      </c>
      <c r="P1206">
        <v>74814</v>
      </c>
      <c r="Q1206">
        <f t="shared" si="20"/>
        <v>7.4814000000000005E-2</v>
      </c>
      <c r="R1206">
        <v>43252</v>
      </c>
      <c r="S1206" t="s">
        <v>122</v>
      </c>
    </row>
    <row r="1207" spans="1:19">
      <c r="A1207">
        <v>60000572</v>
      </c>
      <c r="B1207">
        <v>58</v>
      </c>
      <c r="C1207" t="s">
        <v>18</v>
      </c>
      <c r="D1207" t="s">
        <v>19</v>
      </c>
      <c r="E1207" t="s">
        <v>20</v>
      </c>
      <c r="F1207" t="s">
        <v>35</v>
      </c>
      <c r="G1207" s="23">
        <v>0.13</v>
      </c>
      <c r="H1207" t="s">
        <v>22</v>
      </c>
      <c r="I1207" t="s">
        <v>86</v>
      </c>
      <c r="J1207" t="s">
        <v>78</v>
      </c>
      <c r="K1207" t="s">
        <v>106</v>
      </c>
      <c r="L1207" t="s">
        <v>119</v>
      </c>
      <c r="M1207" t="s">
        <v>123</v>
      </c>
      <c r="N1207" t="s">
        <v>28</v>
      </c>
      <c r="O1207">
        <v>0</v>
      </c>
      <c r="P1207">
        <v>83368</v>
      </c>
      <c r="Q1207">
        <f t="shared" si="20"/>
        <v>8.3367999999999998E-2</v>
      </c>
      <c r="R1207">
        <v>43252</v>
      </c>
      <c r="S1207" t="s">
        <v>122</v>
      </c>
    </row>
    <row r="1208" spans="1:19">
      <c r="A1208">
        <v>60000573</v>
      </c>
      <c r="B1208">
        <v>44</v>
      </c>
      <c r="C1208" t="s">
        <v>18</v>
      </c>
      <c r="D1208" t="s">
        <v>19</v>
      </c>
      <c r="E1208" t="s">
        <v>52</v>
      </c>
      <c r="F1208" t="s">
        <v>120</v>
      </c>
      <c r="G1208" s="23">
        <v>0.13</v>
      </c>
      <c r="H1208" t="s">
        <v>22</v>
      </c>
      <c r="I1208" t="s">
        <v>60</v>
      </c>
      <c r="J1208" t="s">
        <v>69</v>
      </c>
      <c r="K1208" t="s">
        <v>43</v>
      </c>
      <c r="L1208" t="s">
        <v>121</v>
      </c>
      <c r="M1208" t="s">
        <v>123</v>
      </c>
      <c r="N1208" t="s">
        <v>28</v>
      </c>
      <c r="O1208">
        <v>0</v>
      </c>
      <c r="P1208">
        <v>37503</v>
      </c>
      <c r="Q1208">
        <f t="shared" si="20"/>
        <v>3.7503000000000002E-2</v>
      </c>
      <c r="R1208">
        <v>43252</v>
      </c>
      <c r="S1208" t="s">
        <v>122</v>
      </c>
    </row>
    <row r="1209" spans="1:19">
      <c r="A1209">
        <v>60000574</v>
      </c>
      <c r="B1209">
        <v>35</v>
      </c>
      <c r="C1209" t="s">
        <v>18</v>
      </c>
      <c r="D1209" t="s">
        <v>40</v>
      </c>
      <c r="E1209" t="s">
        <v>56</v>
      </c>
      <c r="F1209" t="s">
        <v>120</v>
      </c>
      <c r="G1209" s="23">
        <v>0.12</v>
      </c>
      <c r="H1209" t="s">
        <v>22</v>
      </c>
      <c r="I1209" t="s">
        <v>68</v>
      </c>
      <c r="J1209" t="s">
        <v>24</v>
      </c>
      <c r="K1209" t="s">
        <v>55</v>
      </c>
      <c r="L1209" t="s">
        <v>119</v>
      </c>
      <c r="M1209" t="s">
        <v>123</v>
      </c>
      <c r="N1209" t="s">
        <v>28</v>
      </c>
      <c r="O1209">
        <v>0</v>
      </c>
      <c r="P1209">
        <v>24263</v>
      </c>
      <c r="Q1209">
        <f t="shared" si="20"/>
        <v>2.4263E-2</v>
      </c>
      <c r="R1209">
        <v>43252</v>
      </c>
      <c r="S1209" t="s">
        <v>122</v>
      </c>
    </row>
    <row r="1210" spans="1:19">
      <c r="A1210">
        <v>60000575</v>
      </c>
      <c r="B1210">
        <v>43</v>
      </c>
      <c r="C1210" t="s">
        <v>33</v>
      </c>
      <c r="D1210" t="s">
        <v>19</v>
      </c>
      <c r="E1210" t="s">
        <v>67</v>
      </c>
      <c r="F1210" t="s">
        <v>120</v>
      </c>
      <c r="G1210" s="23">
        <v>0.14000000000000001</v>
      </c>
      <c r="H1210" t="s">
        <v>22</v>
      </c>
      <c r="I1210" t="s">
        <v>80</v>
      </c>
      <c r="J1210" t="s">
        <v>61</v>
      </c>
      <c r="K1210" t="s">
        <v>90</v>
      </c>
      <c r="L1210" t="s">
        <v>119</v>
      </c>
      <c r="M1210" t="s">
        <v>123</v>
      </c>
      <c r="N1210" t="s">
        <v>28</v>
      </c>
      <c r="O1210">
        <v>0</v>
      </c>
      <c r="P1210">
        <v>41770</v>
      </c>
      <c r="Q1210">
        <f t="shared" si="20"/>
        <v>4.1770000000000002E-2</v>
      </c>
      <c r="R1210">
        <v>43252</v>
      </c>
      <c r="S1210" t="s">
        <v>122</v>
      </c>
    </row>
    <row r="1211" spans="1:19">
      <c r="A1211">
        <v>60000576</v>
      </c>
      <c r="B1211">
        <v>30</v>
      </c>
      <c r="C1211" t="s">
        <v>18</v>
      </c>
      <c r="D1211" t="s">
        <v>19</v>
      </c>
      <c r="E1211" t="s">
        <v>56</v>
      </c>
      <c r="F1211" t="s">
        <v>21</v>
      </c>
      <c r="G1211" s="23">
        <v>0.3</v>
      </c>
      <c r="H1211" t="s">
        <v>53</v>
      </c>
      <c r="I1211" t="s">
        <v>83</v>
      </c>
      <c r="J1211" t="s">
        <v>88</v>
      </c>
      <c r="K1211" t="s">
        <v>89</v>
      </c>
      <c r="L1211" t="s">
        <v>26</v>
      </c>
      <c r="M1211" t="s">
        <v>123</v>
      </c>
      <c r="N1211" t="s">
        <v>28</v>
      </c>
      <c r="O1211">
        <v>0</v>
      </c>
      <c r="P1211">
        <v>55840</v>
      </c>
      <c r="Q1211">
        <f t="shared" si="20"/>
        <v>5.5840000000000001E-2</v>
      </c>
      <c r="R1211">
        <v>43252</v>
      </c>
      <c r="S1211" t="s">
        <v>122</v>
      </c>
    </row>
    <row r="1212" spans="1:19">
      <c r="A1212">
        <v>60000577</v>
      </c>
      <c r="B1212">
        <v>48</v>
      </c>
      <c r="C1212" t="s">
        <v>33</v>
      </c>
      <c r="D1212" t="s">
        <v>19</v>
      </c>
      <c r="E1212" t="s">
        <v>72</v>
      </c>
      <c r="F1212" t="s">
        <v>120</v>
      </c>
      <c r="G1212" s="23">
        <v>0.11</v>
      </c>
      <c r="H1212" t="s">
        <v>36</v>
      </c>
      <c r="I1212" t="s">
        <v>83</v>
      </c>
      <c r="J1212" t="s">
        <v>58</v>
      </c>
      <c r="K1212" t="s">
        <v>116</v>
      </c>
      <c r="L1212" t="s">
        <v>26</v>
      </c>
      <c r="M1212" t="s">
        <v>123</v>
      </c>
      <c r="N1212" t="s">
        <v>28</v>
      </c>
      <c r="O1212">
        <v>1</v>
      </c>
      <c r="P1212">
        <v>72353</v>
      </c>
      <c r="Q1212">
        <f t="shared" si="20"/>
        <v>7.2353000000000001E-2</v>
      </c>
      <c r="R1212">
        <v>43252</v>
      </c>
      <c r="S1212" t="s">
        <v>122</v>
      </c>
    </row>
    <row r="1213" spans="1:19">
      <c r="A1213">
        <v>60000578</v>
      </c>
      <c r="B1213">
        <v>54</v>
      </c>
      <c r="C1213" t="s">
        <v>33</v>
      </c>
      <c r="D1213" t="s">
        <v>19</v>
      </c>
      <c r="E1213" t="s">
        <v>34</v>
      </c>
      <c r="F1213" t="s">
        <v>35</v>
      </c>
      <c r="G1213" s="23">
        <v>0.36</v>
      </c>
      <c r="H1213" t="s">
        <v>42</v>
      </c>
      <c r="I1213" t="s">
        <v>45</v>
      </c>
      <c r="J1213" t="s">
        <v>66</v>
      </c>
      <c r="K1213" t="s">
        <v>118</v>
      </c>
      <c r="L1213" t="s">
        <v>119</v>
      </c>
      <c r="M1213" t="s">
        <v>123</v>
      </c>
      <c r="N1213" t="s">
        <v>28</v>
      </c>
      <c r="O1213">
        <v>6</v>
      </c>
      <c r="P1213">
        <v>40780</v>
      </c>
      <c r="Q1213">
        <f t="shared" si="20"/>
        <v>4.0779999999999997E-2</v>
      </c>
      <c r="R1213">
        <v>43252</v>
      </c>
      <c r="S1213" t="s">
        <v>122</v>
      </c>
    </row>
    <row r="1214" spans="1:19">
      <c r="A1214">
        <v>60000579</v>
      </c>
      <c r="B1214">
        <v>31</v>
      </c>
      <c r="C1214" t="s">
        <v>33</v>
      </c>
      <c r="D1214" t="s">
        <v>40</v>
      </c>
      <c r="E1214" t="s">
        <v>64</v>
      </c>
      <c r="F1214" t="s">
        <v>35</v>
      </c>
      <c r="G1214" s="23">
        <v>0.26</v>
      </c>
      <c r="H1214" t="s">
        <v>53</v>
      </c>
      <c r="I1214" t="s">
        <v>80</v>
      </c>
      <c r="J1214" t="s">
        <v>54</v>
      </c>
      <c r="K1214" t="s">
        <v>94</v>
      </c>
      <c r="L1214" t="s">
        <v>121</v>
      </c>
      <c r="M1214" t="s">
        <v>123</v>
      </c>
      <c r="N1214" t="s">
        <v>28</v>
      </c>
      <c r="O1214">
        <v>7</v>
      </c>
      <c r="P1214">
        <v>76617</v>
      </c>
      <c r="Q1214">
        <f t="shared" si="20"/>
        <v>7.6617000000000005E-2</v>
      </c>
      <c r="R1214">
        <v>43252</v>
      </c>
      <c r="S1214" t="s">
        <v>122</v>
      </c>
    </row>
    <row r="1215" spans="1:19">
      <c r="A1215">
        <v>60000580</v>
      </c>
      <c r="B1215">
        <v>46</v>
      </c>
      <c r="C1215" t="s">
        <v>18</v>
      </c>
      <c r="D1215" t="s">
        <v>40</v>
      </c>
      <c r="E1215" t="s">
        <v>52</v>
      </c>
      <c r="F1215" t="s">
        <v>21</v>
      </c>
      <c r="G1215" s="23">
        <v>0.15</v>
      </c>
      <c r="H1215" t="s">
        <v>22</v>
      </c>
      <c r="I1215" t="s">
        <v>70</v>
      </c>
      <c r="J1215" t="s">
        <v>46</v>
      </c>
      <c r="K1215" t="s">
        <v>77</v>
      </c>
      <c r="L1215" t="s">
        <v>26</v>
      </c>
      <c r="M1215" t="s">
        <v>123</v>
      </c>
      <c r="N1215" t="s">
        <v>51</v>
      </c>
      <c r="O1215">
        <v>0</v>
      </c>
      <c r="P1215">
        <v>68090</v>
      </c>
      <c r="Q1215">
        <f t="shared" si="20"/>
        <v>6.8089999999999998E-2</v>
      </c>
      <c r="R1215">
        <v>43252</v>
      </c>
      <c r="S1215" t="s">
        <v>122</v>
      </c>
    </row>
    <row r="1216" spans="1:19">
      <c r="A1216">
        <v>60000581</v>
      </c>
      <c r="B1216">
        <v>25</v>
      </c>
      <c r="C1216" t="s">
        <v>33</v>
      </c>
      <c r="D1216" t="s">
        <v>40</v>
      </c>
      <c r="E1216" t="s">
        <v>44</v>
      </c>
      <c r="F1216" t="s">
        <v>21</v>
      </c>
      <c r="G1216" s="23">
        <v>0.1</v>
      </c>
      <c r="H1216" t="s">
        <v>36</v>
      </c>
      <c r="I1216" t="s">
        <v>76</v>
      </c>
      <c r="J1216" t="s">
        <v>58</v>
      </c>
      <c r="K1216" t="s">
        <v>60</v>
      </c>
      <c r="L1216" t="s">
        <v>119</v>
      </c>
      <c r="M1216" t="s">
        <v>123</v>
      </c>
      <c r="N1216" t="s">
        <v>28</v>
      </c>
      <c r="O1216">
        <v>7</v>
      </c>
      <c r="P1216">
        <v>46276</v>
      </c>
      <c r="Q1216">
        <f t="shared" si="20"/>
        <v>4.6275999999999998E-2</v>
      </c>
      <c r="R1216">
        <v>43252</v>
      </c>
      <c r="S1216" t="s">
        <v>122</v>
      </c>
    </row>
    <row r="1217" spans="1:19">
      <c r="A1217">
        <v>60000582</v>
      </c>
      <c r="B1217">
        <v>27</v>
      </c>
      <c r="C1217" t="s">
        <v>33</v>
      </c>
      <c r="D1217" t="s">
        <v>19</v>
      </c>
      <c r="E1217" t="s">
        <v>75</v>
      </c>
      <c r="F1217" t="s">
        <v>21</v>
      </c>
      <c r="G1217" s="23">
        <v>0.11</v>
      </c>
      <c r="H1217" t="s">
        <v>36</v>
      </c>
      <c r="I1217" t="s">
        <v>76</v>
      </c>
      <c r="J1217" t="s">
        <v>91</v>
      </c>
      <c r="K1217" t="s">
        <v>110</v>
      </c>
      <c r="L1217" t="s">
        <v>26</v>
      </c>
      <c r="M1217" t="s">
        <v>123</v>
      </c>
      <c r="N1217" t="s">
        <v>28</v>
      </c>
      <c r="O1217">
        <v>7</v>
      </c>
      <c r="P1217">
        <v>41093</v>
      </c>
      <c r="Q1217">
        <f t="shared" si="20"/>
        <v>4.1092999999999998E-2</v>
      </c>
      <c r="R1217">
        <v>43252</v>
      </c>
      <c r="S1217" t="s">
        <v>122</v>
      </c>
    </row>
    <row r="1218" spans="1:19">
      <c r="A1218">
        <v>60000583</v>
      </c>
      <c r="B1218">
        <v>38</v>
      </c>
      <c r="C1218" t="s">
        <v>33</v>
      </c>
      <c r="D1218" t="s">
        <v>40</v>
      </c>
      <c r="E1218" t="s">
        <v>20</v>
      </c>
      <c r="F1218" t="s">
        <v>21</v>
      </c>
      <c r="G1218" s="23">
        <v>0.36</v>
      </c>
      <c r="H1218" t="s">
        <v>42</v>
      </c>
      <c r="I1218" t="s">
        <v>37</v>
      </c>
      <c r="J1218" t="s">
        <v>58</v>
      </c>
      <c r="K1218" t="s">
        <v>102</v>
      </c>
      <c r="L1218" t="s">
        <v>26</v>
      </c>
      <c r="M1218" t="s">
        <v>123</v>
      </c>
      <c r="N1218" t="s">
        <v>51</v>
      </c>
      <c r="O1218">
        <v>1</v>
      </c>
      <c r="P1218">
        <v>53884</v>
      </c>
      <c r="Q1218">
        <f t="shared" si="20"/>
        <v>5.3884000000000001E-2</v>
      </c>
      <c r="R1218">
        <v>43252</v>
      </c>
      <c r="S1218" t="s">
        <v>122</v>
      </c>
    </row>
    <row r="1219" spans="1:19">
      <c r="A1219">
        <v>60000584</v>
      </c>
      <c r="B1219">
        <v>31</v>
      </c>
      <c r="C1219" t="s">
        <v>18</v>
      </c>
      <c r="D1219" t="s">
        <v>19</v>
      </c>
      <c r="E1219" t="s">
        <v>20</v>
      </c>
      <c r="F1219" t="s">
        <v>35</v>
      </c>
      <c r="G1219" s="23">
        <v>0.32</v>
      </c>
      <c r="H1219" t="s">
        <v>42</v>
      </c>
      <c r="I1219" t="s">
        <v>30</v>
      </c>
      <c r="J1219" t="s">
        <v>88</v>
      </c>
      <c r="K1219" t="s">
        <v>77</v>
      </c>
      <c r="L1219" t="s">
        <v>119</v>
      </c>
      <c r="M1219" t="s">
        <v>123</v>
      </c>
      <c r="N1219" t="s">
        <v>51</v>
      </c>
      <c r="O1219">
        <v>0</v>
      </c>
      <c r="P1219">
        <v>76973</v>
      </c>
      <c r="Q1219">
        <f t="shared" si="20"/>
        <v>7.6973E-2</v>
      </c>
      <c r="R1219">
        <v>43252</v>
      </c>
      <c r="S1219" t="s">
        <v>122</v>
      </c>
    </row>
    <row r="1220" spans="1:19">
      <c r="A1220">
        <v>60000585</v>
      </c>
      <c r="B1220">
        <v>52</v>
      </c>
      <c r="C1220" t="s">
        <v>33</v>
      </c>
      <c r="D1220" t="s">
        <v>40</v>
      </c>
      <c r="E1220" t="s">
        <v>72</v>
      </c>
      <c r="F1220" t="s">
        <v>120</v>
      </c>
      <c r="G1220" s="23">
        <v>0.14000000000000001</v>
      </c>
      <c r="H1220" t="s">
        <v>22</v>
      </c>
      <c r="I1220" t="s">
        <v>86</v>
      </c>
      <c r="J1220" t="s">
        <v>88</v>
      </c>
      <c r="K1220" t="s">
        <v>92</v>
      </c>
      <c r="L1220" t="s">
        <v>26</v>
      </c>
      <c r="M1220" t="s">
        <v>123</v>
      </c>
      <c r="N1220" t="s">
        <v>28</v>
      </c>
      <c r="O1220">
        <v>0</v>
      </c>
      <c r="P1220">
        <v>45982</v>
      </c>
      <c r="Q1220">
        <f t="shared" si="20"/>
        <v>4.5982000000000002E-2</v>
      </c>
      <c r="R1220">
        <v>43252</v>
      </c>
      <c r="S1220" t="s">
        <v>122</v>
      </c>
    </row>
    <row r="1221" spans="1:19">
      <c r="A1221">
        <v>60000586</v>
      </c>
      <c r="B1221">
        <v>21</v>
      </c>
      <c r="C1221" t="s">
        <v>33</v>
      </c>
      <c r="D1221" t="s">
        <v>40</v>
      </c>
      <c r="E1221" t="s">
        <v>85</v>
      </c>
      <c r="F1221" t="s">
        <v>35</v>
      </c>
      <c r="G1221" s="23">
        <v>0.27</v>
      </c>
      <c r="H1221" t="s">
        <v>53</v>
      </c>
      <c r="I1221" t="s">
        <v>30</v>
      </c>
      <c r="J1221" t="s">
        <v>58</v>
      </c>
      <c r="K1221" t="s">
        <v>114</v>
      </c>
      <c r="L1221" t="s">
        <v>119</v>
      </c>
      <c r="M1221" t="s">
        <v>123</v>
      </c>
      <c r="N1221" t="s">
        <v>28</v>
      </c>
      <c r="O1221">
        <v>0</v>
      </c>
      <c r="P1221">
        <v>28570</v>
      </c>
      <c r="Q1221">
        <f t="shared" si="20"/>
        <v>2.8570000000000002E-2</v>
      </c>
      <c r="R1221">
        <v>43252</v>
      </c>
      <c r="S1221" t="s">
        <v>122</v>
      </c>
    </row>
    <row r="1222" spans="1:19">
      <c r="A1222">
        <v>60000587</v>
      </c>
      <c r="B1222">
        <v>65</v>
      </c>
      <c r="C1222" t="s">
        <v>18</v>
      </c>
      <c r="D1222" t="s">
        <v>19</v>
      </c>
      <c r="E1222" t="s">
        <v>20</v>
      </c>
      <c r="F1222" t="s">
        <v>120</v>
      </c>
      <c r="G1222" s="23">
        <v>0.22</v>
      </c>
      <c r="H1222" t="s">
        <v>29</v>
      </c>
      <c r="I1222" t="s">
        <v>49</v>
      </c>
      <c r="J1222" t="s">
        <v>61</v>
      </c>
      <c r="K1222" t="s">
        <v>59</v>
      </c>
      <c r="L1222" t="s">
        <v>26</v>
      </c>
      <c r="M1222" t="s">
        <v>123</v>
      </c>
      <c r="N1222" t="s">
        <v>28</v>
      </c>
      <c r="O1222">
        <v>4</v>
      </c>
      <c r="P1222">
        <v>71377</v>
      </c>
      <c r="Q1222">
        <f t="shared" si="20"/>
        <v>7.1376999999999996E-2</v>
      </c>
      <c r="R1222">
        <v>43252</v>
      </c>
      <c r="S1222" t="s">
        <v>122</v>
      </c>
    </row>
    <row r="1223" spans="1:19">
      <c r="A1223">
        <v>60000588</v>
      </c>
      <c r="B1223">
        <v>40</v>
      </c>
      <c r="C1223" t="s">
        <v>33</v>
      </c>
      <c r="D1223" t="s">
        <v>19</v>
      </c>
      <c r="E1223" t="s">
        <v>52</v>
      </c>
      <c r="F1223" t="s">
        <v>35</v>
      </c>
      <c r="G1223" s="23">
        <v>0.26</v>
      </c>
      <c r="H1223" t="s">
        <v>53</v>
      </c>
      <c r="I1223" t="s">
        <v>37</v>
      </c>
      <c r="J1223" t="s">
        <v>58</v>
      </c>
      <c r="K1223" t="s">
        <v>111</v>
      </c>
      <c r="L1223" t="s">
        <v>26</v>
      </c>
      <c r="M1223" t="s">
        <v>123</v>
      </c>
      <c r="N1223" t="s">
        <v>51</v>
      </c>
      <c r="O1223">
        <v>0</v>
      </c>
      <c r="P1223">
        <v>57215</v>
      </c>
      <c r="Q1223">
        <f t="shared" si="20"/>
        <v>5.7215000000000002E-2</v>
      </c>
      <c r="R1223">
        <v>43252</v>
      </c>
      <c r="S1223" t="s">
        <v>122</v>
      </c>
    </row>
    <row r="1224" spans="1:19">
      <c r="A1224">
        <v>60000589</v>
      </c>
      <c r="B1224">
        <v>50</v>
      </c>
      <c r="C1224" t="s">
        <v>18</v>
      </c>
      <c r="D1224" t="s">
        <v>40</v>
      </c>
      <c r="E1224" t="s">
        <v>64</v>
      </c>
      <c r="F1224" t="s">
        <v>21</v>
      </c>
      <c r="G1224" s="23">
        <v>0.37</v>
      </c>
      <c r="H1224" t="s">
        <v>42</v>
      </c>
      <c r="I1224" t="s">
        <v>30</v>
      </c>
      <c r="J1224" t="s">
        <v>74</v>
      </c>
      <c r="K1224" t="s">
        <v>84</v>
      </c>
      <c r="L1224" t="s">
        <v>119</v>
      </c>
      <c r="M1224" t="s">
        <v>123</v>
      </c>
      <c r="N1224" t="s">
        <v>28</v>
      </c>
      <c r="O1224">
        <v>2</v>
      </c>
      <c r="P1224">
        <v>48218</v>
      </c>
      <c r="Q1224">
        <f t="shared" si="20"/>
        <v>4.8217999999999997E-2</v>
      </c>
      <c r="R1224">
        <v>43252</v>
      </c>
      <c r="S1224" t="s">
        <v>122</v>
      </c>
    </row>
    <row r="1225" spans="1:19">
      <c r="A1225">
        <v>60000590</v>
      </c>
      <c r="B1225">
        <v>33</v>
      </c>
      <c r="C1225" t="s">
        <v>18</v>
      </c>
      <c r="D1225" t="s">
        <v>19</v>
      </c>
      <c r="E1225" t="s">
        <v>48</v>
      </c>
      <c r="F1225" t="s">
        <v>21</v>
      </c>
      <c r="G1225" s="23">
        <v>0.18</v>
      </c>
      <c r="H1225" t="s">
        <v>22</v>
      </c>
      <c r="I1225" t="s">
        <v>73</v>
      </c>
      <c r="J1225" t="s">
        <v>88</v>
      </c>
      <c r="K1225" t="s">
        <v>100</v>
      </c>
      <c r="L1225" t="s">
        <v>119</v>
      </c>
      <c r="M1225" t="s">
        <v>123</v>
      </c>
      <c r="N1225" t="s">
        <v>28</v>
      </c>
      <c r="O1225">
        <v>0</v>
      </c>
      <c r="P1225">
        <v>50569</v>
      </c>
      <c r="Q1225">
        <f t="shared" si="20"/>
        <v>5.0569000000000003E-2</v>
      </c>
      <c r="R1225">
        <v>43252</v>
      </c>
      <c r="S1225" t="s">
        <v>122</v>
      </c>
    </row>
    <row r="1226" spans="1:19">
      <c r="A1226">
        <v>60000591</v>
      </c>
      <c r="B1226">
        <v>41</v>
      </c>
      <c r="C1226" t="s">
        <v>33</v>
      </c>
      <c r="D1226" t="s">
        <v>19</v>
      </c>
      <c r="E1226" t="s">
        <v>64</v>
      </c>
      <c r="F1226" t="s">
        <v>21</v>
      </c>
      <c r="G1226" s="23">
        <v>0.28000000000000003</v>
      </c>
      <c r="H1226" t="s">
        <v>53</v>
      </c>
      <c r="I1226" t="s">
        <v>68</v>
      </c>
      <c r="J1226" t="s">
        <v>78</v>
      </c>
      <c r="K1226" t="s">
        <v>89</v>
      </c>
      <c r="L1226" t="s">
        <v>119</v>
      </c>
      <c r="M1226" t="s">
        <v>123</v>
      </c>
      <c r="N1226" t="s">
        <v>28</v>
      </c>
      <c r="O1226">
        <v>0</v>
      </c>
      <c r="P1226">
        <v>65399</v>
      </c>
      <c r="Q1226">
        <f t="shared" si="20"/>
        <v>6.5398999999999999E-2</v>
      </c>
      <c r="R1226">
        <v>43252</v>
      </c>
      <c r="S1226" t="s">
        <v>122</v>
      </c>
    </row>
    <row r="1227" spans="1:19">
      <c r="A1227">
        <v>60000592</v>
      </c>
      <c r="B1227">
        <v>56</v>
      </c>
      <c r="C1227" t="s">
        <v>33</v>
      </c>
      <c r="D1227" t="s">
        <v>40</v>
      </c>
      <c r="E1227" t="s">
        <v>48</v>
      </c>
      <c r="F1227" t="s">
        <v>35</v>
      </c>
      <c r="G1227" s="23">
        <v>0.28000000000000003</v>
      </c>
      <c r="H1227" t="s">
        <v>53</v>
      </c>
      <c r="I1227" t="s">
        <v>80</v>
      </c>
      <c r="J1227" t="s">
        <v>58</v>
      </c>
      <c r="K1227" t="s">
        <v>109</v>
      </c>
      <c r="L1227" t="s">
        <v>121</v>
      </c>
      <c r="M1227" t="s">
        <v>123</v>
      </c>
      <c r="N1227" t="s">
        <v>28</v>
      </c>
      <c r="O1227">
        <v>0</v>
      </c>
      <c r="P1227">
        <v>52033</v>
      </c>
      <c r="Q1227">
        <f t="shared" si="20"/>
        <v>5.2033000000000003E-2</v>
      </c>
      <c r="R1227">
        <v>43252</v>
      </c>
      <c r="S1227" t="s">
        <v>122</v>
      </c>
    </row>
    <row r="1228" spans="1:19">
      <c r="A1228">
        <v>60000593</v>
      </c>
      <c r="B1228">
        <v>26</v>
      </c>
      <c r="C1228" t="s">
        <v>33</v>
      </c>
      <c r="D1228" t="s">
        <v>40</v>
      </c>
      <c r="E1228" t="s">
        <v>85</v>
      </c>
      <c r="F1228" t="s">
        <v>21</v>
      </c>
      <c r="G1228" s="23">
        <v>0.13</v>
      </c>
      <c r="H1228" t="s">
        <v>22</v>
      </c>
      <c r="I1228" t="s">
        <v>37</v>
      </c>
      <c r="J1228" t="s">
        <v>91</v>
      </c>
      <c r="K1228" t="s">
        <v>90</v>
      </c>
      <c r="L1228" t="s">
        <v>119</v>
      </c>
      <c r="M1228" t="s">
        <v>123</v>
      </c>
      <c r="N1228" t="s">
        <v>28</v>
      </c>
      <c r="O1228">
        <v>0</v>
      </c>
      <c r="P1228">
        <v>68451</v>
      </c>
      <c r="Q1228">
        <f t="shared" si="20"/>
        <v>6.8450999999999998E-2</v>
      </c>
      <c r="R1228">
        <v>43252</v>
      </c>
      <c r="S1228" t="s">
        <v>122</v>
      </c>
    </row>
    <row r="1229" spans="1:19">
      <c r="A1229">
        <v>60000594</v>
      </c>
      <c r="B1229">
        <v>56</v>
      </c>
      <c r="C1229" t="s">
        <v>18</v>
      </c>
      <c r="D1229" t="s">
        <v>40</v>
      </c>
      <c r="E1229" t="s">
        <v>56</v>
      </c>
      <c r="F1229" t="s">
        <v>120</v>
      </c>
      <c r="G1229" s="23">
        <v>0.19</v>
      </c>
      <c r="H1229" t="s">
        <v>29</v>
      </c>
      <c r="I1229" t="s">
        <v>62</v>
      </c>
      <c r="J1229" t="s">
        <v>74</v>
      </c>
      <c r="K1229" t="s">
        <v>39</v>
      </c>
      <c r="L1229" t="s">
        <v>119</v>
      </c>
      <c r="M1229" t="s">
        <v>123</v>
      </c>
      <c r="N1229" t="s">
        <v>51</v>
      </c>
      <c r="O1229">
        <v>0</v>
      </c>
      <c r="P1229">
        <v>25667</v>
      </c>
      <c r="Q1229">
        <f t="shared" si="20"/>
        <v>2.5666999999999999E-2</v>
      </c>
      <c r="R1229">
        <v>43252</v>
      </c>
      <c r="S1229" t="s">
        <v>122</v>
      </c>
    </row>
    <row r="1230" spans="1:19">
      <c r="A1230">
        <v>60000595</v>
      </c>
      <c r="B1230">
        <v>59</v>
      </c>
      <c r="C1230" t="s">
        <v>18</v>
      </c>
      <c r="D1230" t="s">
        <v>19</v>
      </c>
      <c r="E1230" t="s">
        <v>48</v>
      </c>
      <c r="F1230" t="s">
        <v>21</v>
      </c>
      <c r="G1230" s="23">
        <v>0.2</v>
      </c>
      <c r="H1230" t="s">
        <v>29</v>
      </c>
      <c r="I1230" t="s">
        <v>83</v>
      </c>
      <c r="J1230" t="s">
        <v>54</v>
      </c>
      <c r="K1230" t="s">
        <v>99</v>
      </c>
      <c r="L1230" t="s">
        <v>26</v>
      </c>
      <c r="M1230" t="s">
        <v>123</v>
      </c>
      <c r="N1230" t="s">
        <v>51</v>
      </c>
      <c r="O1230">
        <v>0</v>
      </c>
      <c r="P1230">
        <v>83560</v>
      </c>
      <c r="Q1230">
        <f t="shared" si="20"/>
        <v>8.3559999999999995E-2</v>
      </c>
      <c r="R1230">
        <v>43252</v>
      </c>
      <c r="S1230" t="s">
        <v>122</v>
      </c>
    </row>
    <row r="1231" spans="1:19">
      <c r="A1231">
        <v>60000596</v>
      </c>
      <c r="B1231">
        <v>44</v>
      </c>
      <c r="C1231" t="s">
        <v>33</v>
      </c>
      <c r="D1231" t="s">
        <v>40</v>
      </c>
      <c r="E1231" t="s">
        <v>56</v>
      </c>
      <c r="F1231" t="s">
        <v>35</v>
      </c>
      <c r="G1231" s="23">
        <v>0.26</v>
      </c>
      <c r="H1231" t="s">
        <v>53</v>
      </c>
      <c r="I1231" t="s">
        <v>68</v>
      </c>
      <c r="J1231" t="s">
        <v>91</v>
      </c>
      <c r="K1231" t="s">
        <v>107</v>
      </c>
      <c r="L1231" t="s">
        <v>26</v>
      </c>
      <c r="M1231" t="s">
        <v>123</v>
      </c>
      <c r="N1231" t="s">
        <v>28</v>
      </c>
      <c r="O1231">
        <v>0</v>
      </c>
      <c r="P1231">
        <v>57917</v>
      </c>
      <c r="Q1231">
        <f t="shared" si="20"/>
        <v>5.7917000000000003E-2</v>
      </c>
      <c r="R1231">
        <v>43252</v>
      </c>
      <c r="S1231" t="s">
        <v>122</v>
      </c>
    </row>
    <row r="1232" spans="1:19">
      <c r="A1232">
        <v>60000597</v>
      </c>
      <c r="B1232">
        <v>56</v>
      </c>
      <c r="C1232" t="s">
        <v>33</v>
      </c>
      <c r="D1232" t="s">
        <v>19</v>
      </c>
      <c r="E1232" t="s">
        <v>85</v>
      </c>
      <c r="F1232" t="s">
        <v>120</v>
      </c>
      <c r="G1232" s="23">
        <v>0.16</v>
      </c>
      <c r="H1232" t="s">
        <v>22</v>
      </c>
      <c r="I1232" t="s">
        <v>83</v>
      </c>
      <c r="J1232" t="s">
        <v>31</v>
      </c>
      <c r="K1232" t="s">
        <v>113</v>
      </c>
      <c r="L1232" t="s">
        <v>119</v>
      </c>
      <c r="M1232" t="s">
        <v>123</v>
      </c>
      <c r="N1232" t="s">
        <v>28</v>
      </c>
      <c r="O1232">
        <v>0</v>
      </c>
      <c r="P1232">
        <v>50258</v>
      </c>
      <c r="Q1232">
        <f t="shared" si="20"/>
        <v>5.0257999999999997E-2</v>
      </c>
      <c r="R1232">
        <v>43252</v>
      </c>
      <c r="S1232" t="s">
        <v>122</v>
      </c>
    </row>
    <row r="1233" spans="1:19">
      <c r="A1233">
        <v>60000598</v>
      </c>
      <c r="B1233">
        <v>34</v>
      </c>
      <c r="C1233" t="s">
        <v>33</v>
      </c>
      <c r="D1233" t="s">
        <v>40</v>
      </c>
      <c r="E1233" t="s">
        <v>34</v>
      </c>
      <c r="F1233" t="s">
        <v>120</v>
      </c>
      <c r="G1233" s="23">
        <v>0.15</v>
      </c>
      <c r="H1233" t="s">
        <v>22</v>
      </c>
      <c r="I1233" t="s">
        <v>37</v>
      </c>
      <c r="J1233" t="s">
        <v>54</v>
      </c>
      <c r="K1233" t="s">
        <v>115</v>
      </c>
      <c r="L1233" t="s">
        <v>26</v>
      </c>
      <c r="M1233" t="s">
        <v>123</v>
      </c>
      <c r="N1233" t="s">
        <v>51</v>
      </c>
      <c r="O1233">
        <v>1</v>
      </c>
      <c r="P1233">
        <v>53537</v>
      </c>
      <c r="Q1233">
        <f t="shared" si="20"/>
        <v>5.3537000000000001E-2</v>
      </c>
      <c r="R1233">
        <v>43252</v>
      </c>
      <c r="S1233" t="s">
        <v>122</v>
      </c>
    </row>
    <row r="1234" spans="1:19">
      <c r="A1234">
        <v>60000599</v>
      </c>
      <c r="B1234">
        <v>31</v>
      </c>
      <c r="C1234" t="s">
        <v>18</v>
      </c>
      <c r="D1234" t="s">
        <v>40</v>
      </c>
      <c r="E1234" t="s">
        <v>34</v>
      </c>
      <c r="F1234" t="s">
        <v>120</v>
      </c>
      <c r="G1234" s="23">
        <v>0.22</v>
      </c>
      <c r="H1234" t="s">
        <v>29</v>
      </c>
      <c r="I1234" t="s">
        <v>86</v>
      </c>
      <c r="J1234" t="s">
        <v>66</v>
      </c>
      <c r="K1234" t="s">
        <v>116</v>
      </c>
      <c r="L1234" t="s">
        <v>119</v>
      </c>
      <c r="M1234" t="s">
        <v>123</v>
      </c>
      <c r="N1234" t="s">
        <v>51</v>
      </c>
      <c r="O1234">
        <v>5</v>
      </c>
      <c r="P1234">
        <v>36408</v>
      </c>
      <c r="Q1234">
        <f t="shared" si="20"/>
        <v>3.6408000000000003E-2</v>
      </c>
      <c r="R1234">
        <v>43252</v>
      </c>
      <c r="S1234" t="s">
        <v>122</v>
      </c>
    </row>
    <row r="1235" spans="1:19">
      <c r="A1235">
        <v>60000600</v>
      </c>
      <c r="B1235">
        <v>54</v>
      </c>
      <c r="C1235" t="s">
        <v>33</v>
      </c>
      <c r="D1235" t="s">
        <v>40</v>
      </c>
      <c r="E1235" t="s">
        <v>64</v>
      </c>
      <c r="F1235" t="s">
        <v>21</v>
      </c>
      <c r="G1235" s="23">
        <v>0.22</v>
      </c>
      <c r="H1235" t="s">
        <v>29</v>
      </c>
      <c r="I1235" t="s">
        <v>57</v>
      </c>
      <c r="J1235" t="s">
        <v>69</v>
      </c>
      <c r="K1235" t="s">
        <v>79</v>
      </c>
      <c r="L1235" t="s">
        <v>26</v>
      </c>
      <c r="M1235" t="s">
        <v>123</v>
      </c>
      <c r="N1235" t="s">
        <v>51</v>
      </c>
      <c r="O1235">
        <v>0</v>
      </c>
      <c r="P1235">
        <v>68952</v>
      </c>
      <c r="Q1235">
        <f t="shared" si="20"/>
        <v>6.8951999999999999E-2</v>
      </c>
      <c r="R1235">
        <v>43252</v>
      </c>
      <c r="S1235" t="s">
        <v>122</v>
      </c>
    </row>
    <row r="1236" spans="1:19">
      <c r="A1236">
        <v>60000601</v>
      </c>
      <c r="B1236">
        <v>45</v>
      </c>
      <c r="C1236" t="s">
        <v>18</v>
      </c>
      <c r="D1236" t="s">
        <v>19</v>
      </c>
      <c r="E1236" t="s">
        <v>72</v>
      </c>
      <c r="F1236" t="s">
        <v>120</v>
      </c>
      <c r="G1236" s="23">
        <v>0.27</v>
      </c>
      <c r="H1236" t="s">
        <v>53</v>
      </c>
      <c r="I1236" t="s">
        <v>76</v>
      </c>
      <c r="J1236" t="s">
        <v>74</v>
      </c>
      <c r="K1236" t="s">
        <v>84</v>
      </c>
      <c r="L1236" t="s">
        <v>119</v>
      </c>
      <c r="M1236" t="s">
        <v>123</v>
      </c>
      <c r="N1236" t="s">
        <v>28</v>
      </c>
      <c r="O1236">
        <v>0</v>
      </c>
      <c r="P1236">
        <v>64036</v>
      </c>
      <c r="Q1236">
        <f t="shared" si="20"/>
        <v>6.4035999999999996E-2</v>
      </c>
      <c r="R1236">
        <v>43252</v>
      </c>
      <c r="S1236" t="s">
        <v>122</v>
      </c>
    </row>
    <row r="1237" spans="1:19">
      <c r="A1237">
        <v>60000602</v>
      </c>
      <c r="B1237">
        <v>55</v>
      </c>
      <c r="C1237" t="s">
        <v>33</v>
      </c>
      <c r="D1237" t="s">
        <v>40</v>
      </c>
      <c r="E1237" t="s">
        <v>56</v>
      </c>
      <c r="F1237" t="s">
        <v>35</v>
      </c>
      <c r="G1237" s="23">
        <v>0.18</v>
      </c>
      <c r="H1237" t="s">
        <v>22</v>
      </c>
      <c r="I1237" t="s">
        <v>73</v>
      </c>
      <c r="J1237" t="s">
        <v>78</v>
      </c>
      <c r="K1237" t="s">
        <v>71</v>
      </c>
      <c r="L1237" t="s">
        <v>121</v>
      </c>
      <c r="M1237" t="s">
        <v>123</v>
      </c>
      <c r="N1237" t="s">
        <v>28</v>
      </c>
      <c r="O1237">
        <v>0</v>
      </c>
      <c r="P1237">
        <v>56531</v>
      </c>
      <c r="Q1237">
        <f t="shared" si="20"/>
        <v>5.6530999999999998E-2</v>
      </c>
      <c r="R1237">
        <v>43252</v>
      </c>
      <c r="S1237" t="s">
        <v>122</v>
      </c>
    </row>
    <row r="1238" spans="1:19">
      <c r="A1238">
        <v>60000603</v>
      </c>
      <c r="B1238">
        <v>33</v>
      </c>
      <c r="C1238" t="s">
        <v>18</v>
      </c>
      <c r="D1238" t="s">
        <v>19</v>
      </c>
      <c r="E1238" t="s">
        <v>48</v>
      </c>
      <c r="F1238" t="s">
        <v>21</v>
      </c>
      <c r="G1238" s="23">
        <v>0.18</v>
      </c>
      <c r="H1238" t="s">
        <v>22</v>
      </c>
      <c r="I1238" t="s">
        <v>23</v>
      </c>
      <c r="J1238" t="s">
        <v>66</v>
      </c>
      <c r="K1238" t="s">
        <v>103</v>
      </c>
      <c r="L1238" t="s">
        <v>119</v>
      </c>
      <c r="M1238" t="s">
        <v>123</v>
      </c>
      <c r="N1238" t="s">
        <v>28</v>
      </c>
      <c r="O1238">
        <v>0</v>
      </c>
      <c r="P1238">
        <v>75914</v>
      </c>
      <c r="Q1238">
        <f t="shared" si="20"/>
        <v>7.5913999999999995E-2</v>
      </c>
      <c r="R1238">
        <v>43252</v>
      </c>
      <c r="S1238" t="s">
        <v>122</v>
      </c>
    </row>
    <row r="1239" spans="1:19">
      <c r="A1239">
        <v>60000604</v>
      </c>
      <c r="B1239">
        <v>51</v>
      </c>
      <c r="C1239" t="s">
        <v>18</v>
      </c>
      <c r="D1239" t="s">
        <v>19</v>
      </c>
      <c r="E1239" t="s">
        <v>20</v>
      </c>
      <c r="F1239" t="s">
        <v>120</v>
      </c>
      <c r="G1239" s="23">
        <v>0.14000000000000001</v>
      </c>
      <c r="H1239" t="s">
        <v>22</v>
      </c>
      <c r="I1239" t="s">
        <v>57</v>
      </c>
      <c r="J1239" t="s">
        <v>74</v>
      </c>
      <c r="K1239" t="s">
        <v>50</v>
      </c>
      <c r="L1239" t="s">
        <v>121</v>
      </c>
      <c r="M1239" t="s">
        <v>123</v>
      </c>
      <c r="N1239" t="s">
        <v>51</v>
      </c>
      <c r="O1239">
        <v>4</v>
      </c>
      <c r="P1239">
        <v>68867</v>
      </c>
      <c r="Q1239">
        <f t="shared" si="20"/>
        <v>6.8866999999999998E-2</v>
      </c>
      <c r="R1239">
        <v>43252</v>
      </c>
      <c r="S1239" t="s">
        <v>122</v>
      </c>
    </row>
    <row r="1240" spans="1:19">
      <c r="A1240">
        <v>60000605</v>
      </c>
      <c r="B1240">
        <v>45</v>
      </c>
      <c r="C1240" t="s">
        <v>33</v>
      </c>
      <c r="D1240" t="s">
        <v>19</v>
      </c>
      <c r="E1240" t="s">
        <v>20</v>
      </c>
      <c r="F1240" t="s">
        <v>21</v>
      </c>
      <c r="G1240" s="23">
        <v>0.14000000000000001</v>
      </c>
      <c r="H1240" t="s">
        <v>22</v>
      </c>
      <c r="I1240" t="s">
        <v>37</v>
      </c>
      <c r="J1240" t="s">
        <v>54</v>
      </c>
      <c r="K1240" t="s">
        <v>83</v>
      </c>
      <c r="L1240" t="s">
        <v>121</v>
      </c>
      <c r="M1240" t="s">
        <v>123</v>
      </c>
      <c r="N1240" t="s">
        <v>28</v>
      </c>
      <c r="O1240">
        <v>0</v>
      </c>
      <c r="P1240">
        <v>68635</v>
      </c>
      <c r="Q1240">
        <f t="shared" si="20"/>
        <v>6.8635000000000002E-2</v>
      </c>
      <c r="R1240">
        <v>43252</v>
      </c>
      <c r="S1240" t="s">
        <v>122</v>
      </c>
    </row>
    <row r="1241" spans="1:19">
      <c r="A1241">
        <v>60000606</v>
      </c>
      <c r="B1241">
        <v>49</v>
      </c>
      <c r="C1241" t="s">
        <v>33</v>
      </c>
      <c r="D1241" t="s">
        <v>40</v>
      </c>
      <c r="E1241" t="s">
        <v>52</v>
      </c>
      <c r="F1241" t="s">
        <v>21</v>
      </c>
      <c r="G1241" s="23">
        <v>0.34</v>
      </c>
      <c r="H1241" t="s">
        <v>42</v>
      </c>
      <c r="I1241" t="s">
        <v>73</v>
      </c>
      <c r="J1241" t="s">
        <v>66</v>
      </c>
      <c r="K1241" t="s">
        <v>116</v>
      </c>
      <c r="L1241" t="s">
        <v>121</v>
      </c>
      <c r="M1241" t="s">
        <v>123</v>
      </c>
      <c r="N1241" t="s">
        <v>28</v>
      </c>
      <c r="O1241">
        <v>3</v>
      </c>
      <c r="P1241">
        <v>81611</v>
      </c>
      <c r="Q1241">
        <f t="shared" ref="Q1241:Q1269" si="21">+P1241/1000000</f>
        <v>8.1611000000000003E-2</v>
      </c>
      <c r="R1241">
        <v>43252</v>
      </c>
      <c r="S1241" t="s">
        <v>122</v>
      </c>
    </row>
    <row r="1242" spans="1:19">
      <c r="A1242">
        <v>60000607</v>
      </c>
      <c r="B1242">
        <v>40</v>
      </c>
      <c r="C1242" t="s">
        <v>18</v>
      </c>
      <c r="D1242" t="s">
        <v>19</v>
      </c>
      <c r="E1242" t="s">
        <v>72</v>
      </c>
      <c r="F1242" t="s">
        <v>21</v>
      </c>
      <c r="G1242" s="23">
        <v>0.33</v>
      </c>
      <c r="H1242" t="s">
        <v>42</v>
      </c>
      <c r="I1242" t="s">
        <v>68</v>
      </c>
      <c r="J1242" t="s">
        <v>46</v>
      </c>
      <c r="K1242" t="s">
        <v>94</v>
      </c>
      <c r="L1242" t="s">
        <v>121</v>
      </c>
      <c r="M1242" t="s">
        <v>123</v>
      </c>
      <c r="N1242" t="s">
        <v>51</v>
      </c>
      <c r="O1242">
        <v>5</v>
      </c>
      <c r="P1242">
        <v>48508</v>
      </c>
      <c r="Q1242">
        <f t="shared" si="21"/>
        <v>4.8508000000000003E-2</v>
      </c>
      <c r="R1242">
        <v>43252</v>
      </c>
      <c r="S1242" t="s">
        <v>122</v>
      </c>
    </row>
    <row r="1243" spans="1:19">
      <c r="A1243">
        <v>60000608</v>
      </c>
      <c r="B1243">
        <v>29</v>
      </c>
      <c r="C1243" t="s">
        <v>33</v>
      </c>
      <c r="D1243" t="s">
        <v>40</v>
      </c>
      <c r="E1243" t="s">
        <v>64</v>
      </c>
      <c r="F1243" t="s">
        <v>21</v>
      </c>
      <c r="G1243" s="23">
        <v>0.37</v>
      </c>
      <c r="H1243" t="s">
        <v>42</v>
      </c>
      <c r="I1243" t="s">
        <v>62</v>
      </c>
      <c r="J1243" t="s">
        <v>38</v>
      </c>
      <c r="K1243" t="s">
        <v>92</v>
      </c>
      <c r="L1243" t="s">
        <v>121</v>
      </c>
      <c r="M1243" t="s">
        <v>123</v>
      </c>
      <c r="N1243" t="s">
        <v>28</v>
      </c>
      <c r="O1243">
        <v>0</v>
      </c>
      <c r="P1243">
        <v>70933</v>
      </c>
      <c r="Q1243">
        <f t="shared" si="21"/>
        <v>7.0932999999999996E-2</v>
      </c>
      <c r="R1243">
        <v>43252</v>
      </c>
      <c r="S1243" t="s">
        <v>122</v>
      </c>
    </row>
    <row r="1244" spans="1:19">
      <c r="A1244">
        <v>60000609</v>
      </c>
      <c r="B1244">
        <v>63</v>
      </c>
      <c r="C1244" t="s">
        <v>33</v>
      </c>
      <c r="D1244" t="s">
        <v>40</v>
      </c>
      <c r="E1244" t="s">
        <v>72</v>
      </c>
      <c r="F1244" t="s">
        <v>120</v>
      </c>
      <c r="G1244" s="23">
        <v>0.25</v>
      </c>
      <c r="H1244" t="s">
        <v>53</v>
      </c>
      <c r="I1244" t="s">
        <v>68</v>
      </c>
      <c r="J1244" t="s">
        <v>74</v>
      </c>
      <c r="K1244" t="s">
        <v>96</v>
      </c>
      <c r="L1244" t="s">
        <v>119</v>
      </c>
      <c r="M1244" t="s">
        <v>123</v>
      </c>
      <c r="N1244" t="s">
        <v>28</v>
      </c>
      <c r="O1244">
        <v>4</v>
      </c>
      <c r="P1244">
        <v>48153</v>
      </c>
      <c r="Q1244">
        <f t="shared" si="21"/>
        <v>4.8153000000000001E-2</v>
      </c>
      <c r="R1244">
        <v>43252</v>
      </c>
      <c r="S1244" t="s">
        <v>122</v>
      </c>
    </row>
    <row r="1245" spans="1:19">
      <c r="A1245">
        <v>60000610</v>
      </c>
      <c r="B1245">
        <v>42</v>
      </c>
      <c r="C1245" t="s">
        <v>18</v>
      </c>
      <c r="D1245" t="s">
        <v>19</v>
      </c>
      <c r="E1245" t="s">
        <v>75</v>
      </c>
      <c r="F1245" t="s">
        <v>21</v>
      </c>
      <c r="G1245" s="23">
        <v>0.25</v>
      </c>
      <c r="H1245" t="s">
        <v>53</v>
      </c>
      <c r="I1245" t="s">
        <v>70</v>
      </c>
      <c r="J1245" t="s">
        <v>24</v>
      </c>
      <c r="K1245" t="s">
        <v>89</v>
      </c>
      <c r="L1245" t="s">
        <v>121</v>
      </c>
      <c r="M1245" t="s">
        <v>123</v>
      </c>
      <c r="N1245" t="s">
        <v>28</v>
      </c>
      <c r="O1245">
        <v>0</v>
      </c>
      <c r="P1245">
        <v>45766</v>
      </c>
      <c r="Q1245">
        <f t="shared" si="21"/>
        <v>4.5766000000000001E-2</v>
      </c>
      <c r="R1245">
        <v>43252</v>
      </c>
      <c r="S1245" t="s">
        <v>122</v>
      </c>
    </row>
    <row r="1246" spans="1:19">
      <c r="A1246">
        <v>60000611</v>
      </c>
      <c r="B1246">
        <v>27</v>
      </c>
      <c r="C1246" t="s">
        <v>18</v>
      </c>
      <c r="D1246" t="s">
        <v>19</v>
      </c>
      <c r="E1246" t="s">
        <v>48</v>
      </c>
      <c r="F1246" t="s">
        <v>120</v>
      </c>
      <c r="G1246" s="23">
        <v>0.12</v>
      </c>
      <c r="H1246" t="s">
        <v>22</v>
      </c>
      <c r="I1246" t="s">
        <v>68</v>
      </c>
      <c r="J1246" t="s">
        <v>78</v>
      </c>
      <c r="K1246" t="s">
        <v>100</v>
      </c>
      <c r="L1246" t="s">
        <v>26</v>
      </c>
      <c r="M1246" t="s">
        <v>123</v>
      </c>
      <c r="N1246" t="s">
        <v>28</v>
      </c>
      <c r="O1246">
        <v>2</v>
      </c>
      <c r="P1246">
        <v>28478</v>
      </c>
      <c r="Q1246">
        <f t="shared" si="21"/>
        <v>2.8478E-2</v>
      </c>
      <c r="R1246">
        <v>43252</v>
      </c>
      <c r="S1246" t="s">
        <v>122</v>
      </c>
    </row>
    <row r="1247" spans="1:19">
      <c r="A1247">
        <v>60000612</v>
      </c>
      <c r="B1247">
        <v>64</v>
      </c>
      <c r="C1247" t="s">
        <v>18</v>
      </c>
      <c r="D1247" t="s">
        <v>19</v>
      </c>
      <c r="E1247" t="s">
        <v>52</v>
      </c>
      <c r="F1247" t="s">
        <v>21</v>
      </c>
      <c r="G1247" s="23">
        <v>0.23</v>
      </c>
      <c r="H1247" t="s">
        <v>29</v>
      </c>
      <c r="I1247" t="s">
        <v>37</v>
      </c>
      <c r="J1247" t="s">
        <v>61</v>
      </c>
      <c r="K1247" t="s">
        <v>39</v>
      </c>
      <c r="L1247" t="s">
        <v>121</v>
      </c>
      <c r="M1247" t="s">
        <v>123</v>
      </c>
      <c r="N1247" t="s">
        <v>51</v>
      </c>
      <c r="O1247">
        <v>5</v>
      </c>
      <c r="P1247">
        <v>69741</v>
      </c>
      <c r="Q1247">
        <f t="shared" si="21"/>
        <v>6.9740999999999997E-2</v>
      </c>
      <c r="R1247">
        <v>43252</v>
      </c>
      <c r="S1247" t="s">
        <v>122</v>
      </c>
    </row>
    <row r="1248" spans="1:19">
      <c r="A1248">
        <v>60000613</v>
      </c>
      <c r="B1248">
        <v>43</v>
      </c>
      <c r="C1248" t="s">
        <v>33</v>
      </c>
      <c r="D1248" t="s">
        <v>19</v>
      </c>
      <c r="E1248" t="s">
        <v>20</v>
      </c>
      <c r="F1248" t="s">
        <v>21</v>
      </c>
      <c r="G1248" s="23">
        <v>0.33</v>
      </c>
      <c r="H1248" t="s">
        <v>42</v>
      </c>
      <c r="I1248" t="s">
        <v>76</v>
      </c>
      <c r="J1248" t="s">
        <v>66</v>
      </c>
      <c r="K1248" t="s">
        <v>60</v>
      </c>
      <c r="L1248" t="s">
        <v>119</v>
      </c>
      <c r="M1248" t="s">
        <v>123</v>
      </c>
      <c r="N1248" t="s">
        <v>28</v>
      </c>
      <c r="O1248">
        <v>0</v>
      </c>
      <c r="P1248">
        <v>58015</v>
      </c>
      <c r="Q1248">
        <f t="shared" si="21"/>
        <v>5.8014999999999997E-2</v>
      </c>
      <c r="R1248">
        <v>43252</v>
      </c>
      <c r="S1248" t="s">
        <v>122</v>
      </c>
    </row>
    <row r="1249" spans="1:19">
      <c r="A1249">
        <v>60000614</v>
      </c>
      <c r="B1249">
        <v>31</v>
      </c>
      <c r="C1249" t="s">
        <v>18</v>
      </c>
      <c r="D1249" t="s">
        <v>40</v>
      </c>
      <c r="E1249" t="s">
        <v>48</v>
      </c>
      <c r="F1249" t="s">
        <v>120</v>
      </c>
      <c r="G1249" s="23">
        <v>0.1</v>
      </c>
      <c r="H1249" t="s">
        <v>36</v>
      </c>
      <c r="I1249" t="s">
        <v>76</v>
      </c>
      <c r="J1249" t="s">
        <v>31</v>
      </c>
      <c r="K1249" t="s">
        <v>81</v>
      </c>
      <c r="L1249" t="s">
        <v>121</v>
      </c>
      <c r="M1249" t="s">
        <v>123</v>
      </c>
      <c r="N1249" t="s">
        <v>28</v>
      </c>
      <c r="O1249">
        <v>6</v>
      </c>
      <c r="P1249">
        <v>68263</v>
      </c>
      <c r="Q1249">
        <f t="shared" si="21"/>
        <v>6.8263000000000004E-2</v>
      </c>
      <c r="R1249">
        <v>43252</v>
      </c>
      <c r="S1249" t="s">
        <v>122</v>
      </c>
    </row>
    <row r="1250" spans="1:19">
      <c r="A1250">
        <v>60000615</v>
      </c>
      <c r="B1250">
        <v>34</v>
      </c>
      <c r="C1250" t="s">
        <v>33</v>
      </c>
      <c r="D1250" t="s">
        <v>40</v>
      </c>
      <c r="E1250" t="s">
        <v>56</v>
      </c>
      <c r="F1250" t="s">
        <v>120</v>
      </c>
      <c r="G1250" s="23">
        <v>0.23</v>
      </c>
      <c r="H1250" t="s">
        <v>29</v>
      </c>
      <c r="I1250" t="s">
        <v>62</v>
      </c>
      <c r="J1250" t="s">
        <v>38</v>
      </c>
      <c r="K1250" t="s">
        <v>82</v>
      </c>
      <c r="L1250" t="s">
        <v>119</v>
      </c>
      <c r="M1250" t="s">
        <v>123</v>
      </c>
      <c r="N1250" t="s">
        <v>28</v>
      </c>
      <c r="O1250">
        <v>0</v>
      </c>
      <c r="P1250">
        <v>34109</v>
      </c>
      <c r="Q1250">
        <f t="shared" si="21"/>
        <v>3.4109E-2</v>
      </c>
      <c r="R1250">
        <v>43252</v>
      </c>
      <c r="S1250" t="s">
        <v>122</v>
      </c>
    </row>
    <row r="1251" spans="1:19">
      <c r="A1251">
        <v>60000616</v>
      </c>
      <c r="B1251">
        <v>61</v>
      </c>
      <c r="C1251" t="s">
        <v>33</v>
      </c>
      <c r="D1251" t="s">
        <v>19</v>
      </c>
      <c r="E1251" t="s">
        <v>75</v>
      </c>
      <c r="F1251" t="s">
        <v>35</v>
      </c>
      <c r="G1251" s="23">
        <v>0.17</v>
      </c>
      <c r="H1251" t="s">
        <v>22</v>
      </c>
      <c r="I1251" t="s">
        <v>30</v>
      </c>
      <c r="J1251" t="s">
        <v>78</v>
      </c>
      <c r="K1251" t="s">
        <v>116</v>
      </c>
      <c r="L1251" t="s">
        <v>26</v>
      </c>
      <c r="M1251" t="s">
        <v>123</v>
      </c>
      <c r="N1251" t="s">
        <v>51</v>
      </c>
      <c r="O1251">
        <v>3</v>
      </c>
      <c r="P1251">
        <v>64964</v>
      </c>
      <c r="Q1251">
        <f t="shared" si="21"/>
        <v>6.4963999999999994E-2</v>
      </c>
      <c r="R1251">
        <v>43252</v>
      </c>
      <c r="S1251" t="s">
        <v>122</v>
      </c>
    </row>
    <row r="1252" spans="1:19">
      <c r="A1252">
        <v>60000617</v>
      </c>
      <c r="B1252">
        <v>47</v>
      </c>
      <c r="C1252" t="s">
        <v>18</v>
      </c>
      <c r="D1252" t="s">
        <v>40</v>
      </c>
      <c r="E1252" t="s">
        <v>75</v>
      </c>
      <c r="F1252" t="s">
        <v>21</v>
      </c>
      <c r="G1252" s="23">
        <v>0.22</v>
      </c>
      <c r="H1252" t="s">
        <v>29</v>
      </c>
      <c r="I1252" t="s">
        <v>80</v>
      </c>
      <c r="J1252" t="s">
        <v>31</v>
      </c>
      <c r="K1252" t="s">
        <v>108</v>
      </c>
      <c r="L1252" t="s">
        <v>121</v>
      </c>
      <c r="M1252" t="s">
        <v>123</v>
      </c>
      <c r="N1252" t="s">
        <v>51</v>
      </c>
      <c r="O1252">
        <v>5</v>
      </c>
      <c r="P1252">
        <v>30063</v>
      </c>
      <c r="Q1252">
        <f t="shared" si="21"/>
        <v>3.0062999999999999E-2</v>
      </c>
      <c r="R1252">
        <v>43252</v>
      </c>
      <c r="S1252" t="s">
        <v>122</v>
      </c>
    </row>
    <row r="1253" spans="1:19">
      <c r="A1253">
        <v>60000618</v>
      </c>
      <c r="B1253">
        <v>34</v>
      </c>
      <c r="C1253" t="s">
        <v>33</v>
      </c>
      <c r="D1253" t="s">
        <v>19</v>
      </c>
      <c r="E1253" t="s">
        <v>75</v>
      </c>
      <c r="F1253" t="s">
        <v>120</v>
      </c>
      <c r="G1253" s="23">
        <v>0.21</v>
      </c>
      <c r="H1253" t="s">
        <v>29</v>
      </c>
      <c r="I1253" t="s">
        <v>45</v>
      </c>
      <c r="J1253" t="s">
        <v>78</v>
      </c>
      <c r="K1253" t="s">
        <v>90</v>
      </c>
      <c r="L1253" t="s">
        <v>119</v>
      </c>
      <c r="M1253" t="s">
        <v>123</v>
      </c>
      <c r="N1253" t="s">
        <v>51</v>
      </c>
      <c r="O1253">
        <v>5</v>
      </c>
      <c r="P1253">
        <v>59660</v>
      </c>
      <c r="Q1253">
        <f t="shared" si="21"/>
        <v>5.9659999999999998E-2</v>
      </c>
      <c r="R1253">
        <v>43252</v>
      </c>
      <c r="S1253" t="s">
        <v>122</v>
      </c>
    </row>
    <row r="1254" spans="1:19">
      <c r="A1254">
        <v>60000619</v>
      </c>
      <c r="B1254">
        <v>49</v>
      </c>
      <c r="C1254" t="s">
        <v>33</v>
      </c>
      <c r="D1254" t="s">
        <v>40</v>
      </c>
      <c r="E1254" t="s">
        <v>48</v>
      </c>
      <c r="F1254" t="s">
        <v>120</v>
      </c>
      <c r="G1254" s="23">
        <v>0.2</v>
      </c>
      <c r="H1254" t="s">
        <v>29</v>
      </c>
      <c r="I1254" t="s">
        <v>70</v>
      </c>
      <c r="J1254" t="s">
        <v>61</v>
      </c>
      <c r="K1254" t="s">
        <v>104</v>
      </c>
      <c r="L1254" t="s">
        <v>26</v>
      </c>
      <c r="M1254" t="s">
        <v>123</v>
      </c>
      <c r="N1254" t="s">
        <v>28</v>
      </c>
      <c r="O1254">
        <v>0</v>
      </c>
      <c r="P1254">
        <v>31515</v>
      </c>
      <c r="Q1254">
        <f t="shared" si="21"/>
        <v>3.1515000000000001E-2</v>
      </c>
      <c r="R1254">
        <v>43252</v>
      </c>
      <c r="S1254" t="s">
        <v>122</v>
      </c>
    </row>
    <row r="1255" spans="1:19">
      <c r="A1255">
        <v>60000620</v>
      </c>
      <c r="B1255">
        <v>52</v>
      </c>
      <c r="C1255" t="s">
        <v>18</v>
      </c>
      <c r="D1255" t="s">
        <v>19</v>
      </c>
      <c r="E1255" t="s">
        <v>56</v>
      </c>
      <c r="F1255" t="s">
        <v>35</v>
      </c>
      <c r="G1255" s="23">
        <v>0.25</v>
      </c>
      <c r="H1255" t="s">
        <v>53</v>
      </c>
      <c r="I1255" t="s">
        <v>68</v>
      </c>
      <c r="J1255" t="s">
        <v>24</v>
      </c>
      <c r="K1255" t="s">
        <v>99</v>
      </c>
      <c r="L1255" t="s">
        <v>119</v>
      </c>
      <c r="M1255" t="s">
        <v>123</v>
      </c>
      <c r="N1255" t="s">
        <v>28</v>
      </c>
      <c r="O1255">
        <v>0</v>
      </c>
      <c r="P1255">
        <v>78579</v>
      </c>
      <c r="Q1255">
        <f t="shared" si="21"/>
        <v>7.8578999999999996E-2</v>
      </c>
      <c r="R1255">
        <v>43252</v>
      </c>
      <c r="S1255" t="s">
        <v>122</v>
      </c>
    </row>
    <row r="1256" spans="1:19">
      <c r="A1256">
        <v>60000621</v>
      </c>
      <c r="B1256">
        <v>36</v>
      </c>
      <c r="C1256" t="s">
        <v>33</v>
      </c>
      <c r="D1256" t="s">
        <v>19</v>
      </c>
      <c r="E1256" t="s">
        <v>72</v>
      </c>
      <c r="F1256" t="s">
        <v>120</v>
      </c>
      <c r="G1256" s="23">
        <v>0.1</v>
      </c>
      <c r="H1256" t="s">
        <v>36</v>
      </c>
      <c r="I1256" t="s">
        <v>49</v>
      </c>
      <c r="J1256" t="s">
        <v>58</v>
      </c>
      <c r="K1256" t="s">
        <v>32</v>
      </c>
      <c r="L1256" t="s">
        <v>119</v>
      </c>
      <c r="M1256" t="s">
        <v>123</v>
      </c>
      <c r="N1256" t="s">
        <v>51</v>
      </c>
      <c r="O1256">
        <v>0</v>
      </c>
      <c r="P1256">
        <v>29705</v>
      </c>
      <c r="Q1256">
        <f t="shared" si="21"/>
        <v>2.9704999999999999E-2</v>
      </c>
      <c r="R1256">
        <v>43252</v>
      </c>
      <c r="S1256" t="s">
        <v>122</v>
      </c>
    </row>
    <row r="1257" spans="1:19">
      <c r="A1257">
        <v>60000622</v>
      </c>
      <c r="B1257">
        <v>22</v>
      </c>
      <c r="C1257" t="s">
        <v>33</v>
      </c>
      <c r="D1257" t="s">
        <v>40</v>
      </c>
      <c r="E1257" t="s">
        <v>85</v>
      </c>
      <c r="F1257" t="s">
        <v>120</v>
      </c>
      <c r="G1257" s="23">
        <v>0.25</v>
      </c>
      <c r="H1257" t="s">
        <v>53</v>
      </c>
      <c r="I1257" t="s">
        <v>80</v>
      </c>
      <c r="J1257" t="s">
        <v>74</v>
      </c>
      <c r="K1257" t="s">
        <v>32</v>
      </c>
      <c r="L1257" t="s">
        <v>26</v>
      </c>
      <c r="M1257" t="s">
        <v>123</v>
      </c>
      <c r="N1257" t="s">
        <v>51</v>
      </c>
      <c r="O1257">
        <v>0</v>
      </c>
      <c r="P1257">
        <v>51214</v>
      </c>
      <c r="Q1257">
        <f t="shared" si="21"/>
        <v>5.1214000000000003E-2</v>
      </c>
      <c r="R1257">
        <v>43252</v>
      </c>
      <c r="S1257" t="s">
        <v>122</v>
      </c>
    </row>
    <row r="1258" spans="1:19">
      <c r="A1258">
        <v>60000623</v>
      </c>
      <c r="B1258">
        <v>28</v>
      </c>
      <c r="C1258" t="s">
        <v>18</v>
      </c>
      <c r="D1258" t="s">
        <v>40</v>
      </c>
      <c r="E1258" t="s">
        <v>20</v>
      </c>
      <c r="F1258" t="s">
        <v>120</v>
      </c>
      <c r="G1258" s="23">
        <v>0.25</v>
      </c>
      <c r="H1258" t="s">
        <v>53</v>
      </c>
      <c r="I1258" t="s">
        <v>45</v>
      </c>
      <c r="J1258" t="s">
        <v>38</v>
      </c>
      <c r="K1258" t="s">
        <v>89</v>
      </c>
      <c r="L1258" t="s">
        <v>121</v>
      </c>
      <c r="M1258" t="s">
        <v>123</v>
      </c>
      <c r="N1258" t="s">
        <v>28</v>
      </c>
      <c r="O1258">
        <v>0</v>
      </c>
      <c r="P1258">
        <v>57784</v>
      </c>
      <c r="Q1258">
        <f t="shared" si="21"/>
        <v>5.7784000000000002E-2</v>
      </c>
      <c r="R1258">
        <v>43252</v>
      </c>
      <c r="S1258" t="s">
        <v>122</v>
      </c>
    </row>
    <row r="1259" spans="1:19">
      <c r="A1259">
        <v>60000624</v>
      </c>
      <c r="B1259">
        <v>56</v>
      </c>
      <c r="C1259" t="s">
        <v>33</v>
      </c>
      <c r="D1259" t="s">
        <v>40</v>
      </c>
      <c r="E1259" t="s">
        <v>48</v>
      </c>
      <c r="F1259" t="s">
        <v>35</v>
      </c>
      <c r="G1259" s="23">
        <v>0.37</v>
      </c>
      <c r="H1259" t="s">
        <v>42</v>
      </c>
      <c r="I1259" t="s">
        <v>73</v>
      </c>
      <c r="J1259" t="s">
        <v>31</v>
      </c>
      <c r="K1259" t="s">
        <v>87</v>
      </c>
      <c r="L1259" t="s">
        <v>119</v>
      </c>
      <c r="M1259" t="s">
        <v>123</v>
      </c>
      <c r="N1259" t="s">
        <v>28</v>
      </c>
      <c r="O1259">
        <v>0</v>
      </c>
      <c r="P1259">
        <v>73339</v>
      </c>
      <c r="Q1259">
        <f t="shared" si="21"/>
        <v>7.3339000000000001E-2</v>
      </c>
      <c r="R1259">
        <v>43252</v>
      </c>
      <c r="S1259" t="s">
        <v>122</v>
      </c>
    </row>
    <row r="1260" spans="1:19">
      <c r="A1260">
        <v>60000625</v>
      </c>
      <c r="B1260">
        <v>32</v>
      </c>
      <c r="C1260" t="s">
        <v>18</v>
      </c>
      <c r="D1260" t="s">
        <v>19</v>
      </c>
      <c r="E1260" t="s">
        <v>52</v>
      </c>
      <c r="F1260" t="s">
        <v>21</v>
      </c>
      <c r="G1260" s="23">
        <v>0.34</v>
      </c>
      <c r="H1260" t="s">
        <v>42</v>
      </c>
      <c r="I1260" t="s">
        <v>68</v>
      </c>
      <c r="J1260" t="s">
        <v>54</v>
      </c>
      <c r="K1260" t="s">
        <v>60</v>
      </c>
      <c r="L1260" t="s">
        <v>119</v>
      </c>
      <c r="M1260" t="s">
        <v>123</v>
      </c>
      <c r="N1260" t="s">
        <v>51</v>
      </c>
      <c r="O1260">
        <v>4</v>
      </c>
      <c r="P1260">
        <v>41052</v>
      </c>
      <c r="Q1260">
        <f t="shared" si="21"/>
        <v>4.1051999999999998E-2</v>
      </c>
      <c r="R1260">
        <v>43252</v>
      </c>
      <c r="S1260" t="s">
        <v>122</v>
      </c>
    </row>
    <row r="1261" spans="1:19">
      <c r="A1261">
        <v>60000626</v>
      </c>
      <c r="B1261">
        <v>62</v>
      </c>
      <c r="C1261" t="s">
        <v>18</v>
      </c>
      <c r="D1261" t="s">
        <v>19</v>
      </c>
      <c r="E1261" t="s">
        <v>75</v>
      </c>
      <c r="F1261" t="s">
        <v>35</v>
      </c>
      <c r="G1261" s="23">
        <v>0.24</v>
      </c>
      <c r="H1261" t="s">
        <v>29</v>
      </c>
      <c r="I1261" t="s">
        <v>68</v>
      </c>
      <c r="J1261" t="s">
        <v>54</v>
      </c>
      <c r="K1261" t="s">
        <v>116</v>
      </c>
      <c r="L1261" t="s">
        <v>26</v>
      </c>
      <c r="M1261" t="s">
        <v>123</v>
      </c>
      <c r="N1261" t="s">
        <v>28</v>
      </c>
      <c r="O1261">
        <v>4</v>
      </c>
      <c r="P1261">
        <v>75161</v>
      </c>
      <c r="Q1261">
        <f t="shared" si="21"/>
        <v>7.5161000000000006E-2</v>
      </c>
      <c r="R1261">
        <v>43252</v>
      </c>
      <c r="S1261" t="s">
        <v>122</v>
      </c>
    </row>
    <row r="1262" spans="1:19">
      <c r="A1262">
        <v>60000627</v>
      </c>
      <c r="B1262">
        <v>52</v>
      </c>
      <c r="C1262" t="s">
        <v>33</v>
      </c>
      <c r="D1262" t="s">
        <v>19</v>
      </c>
      <c r="E1262" t="s">
        <v>72</v>
      </c>
      <c r="F1262" t="s">
        <v>21</v>
      </c>
      <c r="G1262" s="23">
        <v>0.19</v>
      </c>
      <c r="H1262" t="s">
        <v>29</v>
      </c>
      <c r="I1262" t="s">
        <v>68</v>
      </c>
      <c r="J1262" t="s">
        <v>54</v>
      </c>
      <c r="K1262" t="s">
        <v>47</v>
      </c>
      <c r="L1262" t="s">
        <v>26</v>
      </c>
      <c r="M1262" t="s">
        <v>123</v>
      </c>
      <c r="N1262" t="s">
        <v>51</v>
      </c>
      <c r="O1262">
        <v>7</v>
      </c>
      <c r="P1262">
        <v>69835</v>
      </c>
      <c r="Q1262">
        <f t="shared" si="21"/>
        <v>6.9834999999999994E-2</v>
      </c>
      <c r="R1262">
        <v>43252</v>
      </c>
      <c r="S1262" t="s">
        <v>122</v>
      </c>
    </row>
    <row r="1263" spans="1:19">
      <c r="A1263">
        <v>60000628</v>
      </c>
      <c r="B1263">
        <v>30</v>
      </c>
      <c r="C1263" t="s">
        <v>33</v>
      </c>
      <c r="D1263" t="s">
        <v>19</v>
      </c>
      <c r="E1263" t="s">
        <v>41</v>
      </c>
      <c r="F1263" t="s">
        <v>21</v>
      </c>
      <c r="G1263" s="23">
        <v>0.11</v>
      </c>
      <c r="H1263" t="s">
        <v>36</v>
      </c>
      <c r="I1263" t="s">
        <v>86</v>
      </c>
      <c r="J1263" t="s">
        <v>74</v>
      </c>
      <c r="K1263" t="s">
        <v>71</v>
      </c>
      <c r="L1263" t="s">
        <v>119</v>
      </c>
      <c r="M1263" t="s">
        <v>123</v>
      </c>
      <c r="N1263" t="s">
        <v>51</v>
      </c>
      <c r="O1263">
        <v>0</v>
      </c>
      <c r="P1263">
        <v>47676</v>
      </c>
      <c r="Q1263">
        <f t="shared" si="21"/>
        <v>4.7676000000000003E-2</v>
      </c>
      <c r="R1263">
        <v>43252</v>
      </c>
      <c r="S1263" t="s">
        <v>122</v>
      </c>
    </row>
    <row r="1264" spans="1:19">
      <c r="A1264">
        <v>60000629</v>
      </c>
      <c r="B1264">
        <v>58</v>
      </c>
      <c r="C1264" t="s">
        <v>18</v>
      </c>
      <c r="D1264" t="s">
        <v>19</v>
      </c>
      <c r="E1264" t="s">
        <v>72</v>
      </c>
      <c r="F1264" t="s">
        <v>35</v>
      </c>
      <c r="G1264" s="23">
        <v>0.24</v>
      </c>
      <c r="H1264" t="s">
        <v>29</v>
      </c>
      <c r="I1264" t="s">
        <v>83</v>
      </c>
      <c r="J1264" t="s">
        <v>54</v>
      </c>
      <c r="K1264" t="s">
        <v>102</v>
      </c>
      <c r="L1264" t="s">
        <v>26</v>
      </c>
      <c r="M1264" t="s">
        <v>123</v>
      </c>
      <c r="N1264" t="s">
        <v>51</v>
      </c>
      <c r="O1264">
        <v>0</v>
      </c>
      <c r="P1264">
        <v>74278</v>
      </c>
      <c r="Q1264">
        <f t="shared" si="21"/>
        <v>7.4277999999999997E-2</v>
      </c>
      <c r="R1264">
        <v>43252</v>
      </c>
      <c r="S1264" t="s">
        <v>122</v>
      </c>
    </row>
    <row r="1265" spans="1:19">
      <c r="A1265">
        <v>60000630</v>
      </c>
      <c r="B1265">
        <v>56</v>
      </c>
      <c r="C1265" t="s">
        <v>18</v>
      </c>
      <c r="D1265" t="s">
        <v>40</v>
      </c>
      <c r="E1265" t="s">
        <v>75</v>
      </c>
      <c r="F1265" t="s">
        <v>120</v>
      </c>
      <c r="G1265" s="23">
        <v>0.37</v>
      </c>
      <c r="H1265" t="s">
        <v>42</v>
      </c>
      <c r="I1265" t="s">
        <v>49</v>
      </c>
      <c r="J1265" t="s">
        <v>69</v>
      </c>
      <c r="K1265" t="s">
        <v>63</v>
      </c>
      <c r="L1265" t="s">
        <v>119</v>
      </c>
      <c r="M1265" t="s">
        <v>123</v>
      </c>
      <c r="N1265" t="s">
        <v>28</v>
      </c>
      <c r="O1265">
        <v>3</v>
      </c>
      <c r="P1265">
        <v>43875</v>
      </c>
      <c r="Q1265">
        <f t="shared" si="21"/>
        <v>4.3874999999999997E-2</v>
      </c>
      <c r="R1265">
        <v>43252</v>
      </c>
      <c r="S1265" t="s">
        <v>122</v>
      </c>
    </row>
    <row r="1266" spans="1:19">
      <c r="A1266">
        <v>60000631</v>
      </c>
      <c r="B1266">
        <v>27</v>
      </c>
      <c r="C1266" t="s">
        <v>18</v>
      </c>
      <c r="D1266" t="s">
        <v>40</v>
      </c>
      <c r="E1266" t="s">
        <v>64</v>
      </c>
      <c r="F1266" t="s">
        <v>21</v>
      </c>
      <c r="G1266" s="23">
        <v>0.37</v>
      </c>
      <c r="H1266" t="s">
        <v>42</v>
      </c>
      <c r="I1266" t="s">
        <v>49</v>
      </c>
      <c r="J1266" t="s">
        <v>78</v>
      </c>
      <c r="K1266" t="s">
        <v>83</v>
      </c>
      <c r="L1266" t="s">
        <v>119</v>
      </c>
      <c r="M1266" t="s">
        <v>123</v>
      </c>
      <c r="N1266" t="s">
        <v>51</v>
      </c>
      <c r="O1266">
        <v>6</v>
      </c>
      <c r="P1266">
        <v>43891</v>
      </c>
      <c r="Q1266">
        <f t="shared" si="21"/>
        <v>4.3890999999999999E-2</v>
      </c>
      <c r="R1266">
        <v>43252</v>
      </c>
      <c r="S1266" t="s">
        <v>122</v>
      </c>
    </row>
    <row r="1267" spans="1:19">
      <c r="A1267">
        <v>60000632</v>
      </c>
      <c r="B1267">
        <v>58</v>
      </c>
      <c r="C1267" t="s">
        <v>33</v>
      </c>
      <c r="D1267" t="s">
        <v>19</v>
      </c>
      <c r="E1267" t="s">
        <v>75</v>
      </c>
      <c r="F1267" t="s">
        <v>35</v>
      </c>
      <c r="G1267" s="23">
        <v>0.23</v>
      </c>
      <c r="H1267" t="s">
        <v>29</v>
      </c>
      <c r="I1267" t="s">
        <v>49</v>
      </c>
      <c r="J1267" t="s">
        <v>61</v>
      </c>
      <c r="K1267" t="s">
        <v>84</v>
      </c>
      <c r="L1267" t="s">
        <v>119</v>
      </c>
      <c r="M1267" t="s">
        <v>123</v>
      </c>
      <c r="N1267" t="s">
        <v>28</v>
      </c>
      <c r="O1267">
        <v>0</v>
      </c>
      <c r="P1267">
        <v>55861</v>
      </c>
      <c r="Q1267">
        <f t="shared" si="21"/>
        <v>5.5861000000000001E-2</v>
      </c>
      <c r="R1267">
        <v>43252</v>
      </c>
      <c r="S1267" t="s">
        <v>122</v>
      </c>
    </row>
    <row r="1268" spans="1:19">
      <c r="A1268">
        <v>60000633</v>
      </c>
      <c r="B1268">
        <v>25</v>
      </c>
      <c r="C1268" t="s">
        <v>33</v>
      </c>
      <c r="D1268" t="s">
        <v>19</v>
      </c>
      <c r="E1268" t="s">
        <v>64</v>
      </c>
      <c r="F1268" t="s">
        <v>35</v>
      </c>
      <c r="G1268" s="23">
        <v>0.36</v>
      </c>
      <c r="H1268" t="s">
        <v>42</v>
      </c>
      <c r="I1268" t="s">
        <v>57</v>
      </c>
      <c r="J1268" t="s">
        <v>54</v>
      </c>
      <c r="K1268" t="s">
        <v>98</v>
      </c>
      <c r="L1268" t="s">
        <v>26</v>
      </c>
      <c r="M1268" t="s">
        <v>123</v>
      </c>
      <c r="N1268" t="s">
        <v>28</v>
      </c>
      <c r="O1268">
        <v>3</v>
      </c>
      <c r="P1268">
        <v>74572</v>
      </c>
      <c r="Q1268">
        <f t="shared" si="21"/>
        <v>7.4571999999999999E-2</v>
      </c>
      <c r="R1268">
        <v>43252</v>
      </c>
      <c r="S1268" t="s">
        <v>122</v>
      </c>
    </row>
    <row r="1269" spans="1:19">
      <c r="A1269">
        <v>60000634</v>
      </c>
      <c r="B1269">
        <v>28</v>
      </c>
      <c r="C1269" t="s">
        <v>18</v>
      </c>
      <c r="D1269" t="s">
        <v>40</v>
      </c>
      <c r="E1269" t="s">
        <v>72</v>
      </c>
      <c r="F1269" t="s">
        <v>120</v>
      </c>
      <c r="G1269" s="23">
        <v>0.15</v>
      </c>
      <c r="H1269" t="s">
        <v>22</v>
      </c>
      <c r="I1269" t="s">
        <v>37</v>
      </c>
      <c r="J1269" t="s">
        <v>66</v>
      </c>
      <c r="K1269" t="s">
        <v>60</v>
      </c>
      <c r="L1269" t="s">
        <v>26</v>
      </c>
      <c r="M1269" t="s">
        <v>123</v>
      </c>
      <c r="N1269" t="s">
        <v>51</v>
      </c>
      <c r="O1269">
        <v>0</v>
      </c>
      <c r="P1269">
        <v>75919</v>
      </c>
      <c r="Q1269">
        <f t="shared" si="21"/>
        <v>7.5919E-2</v>
      </c>
      <c r="R1269">
        <v>43252</v>
      </c>
      <c r="S1269" t="s">
        <v>122</v>
      </c>
    </row>
    <row r="1270" spans="1:19">
      <c r="A1270">
        <v>60000001</v>
      </c>
      <c r="B1270">
        <v>24</v>
      </c>
      <c r="C1270" t="s">
        <v>18</v>
      </c>
      <c r="D1270" t="s">
        <v>19</v>
      </c>
      <c r="E1270" t="s">
        <v>41</v>
      </c>
      <c r="F1270" t="s">
        <v>21</v>
      </c>
      <c r="G1270" s="23">
        <v>0.2</v>
      </c>
      <c r="H1270" t="s">
        <v>29</v>
      </c>
      <c r="I1270" t="s">
        <v>62</v>
      </c>
      <c r="J1270" t="s">
        <v>24</v>
      </c>
      <c r="K1270" t="s">
        <v>82</v>
      </c>
      <c r="L1270" t="s">
        <v>26</v>
      </c>
      <c r="M1270" t="s">
        <v>124</v>
      </c>
      <c r="N1270" t="s">
        <v>28</v>
      </c>
      <c r="O1270">
        <v>0</v>
      </c>
      <c r="P1270">
        <v>32249</v>
      </c>
      <c r="Q1270">
        <f t="shared" ref="Q1270:Q1283" si="22">+P1270/1000000</f>
        <v>3.2249E-2</v>
      </c>
      <c r="R1270">
        <v>43252</v>
      </c>
      <c r="S1270" t="s">
        <v>122</v>
      </c>
    </row>
    <row r="1271" spans="1:19">
      <c r="A1271">
        <v>60000002</v>
      </c>
      <c r="B1271">
        <v>43</v>
      </c>
      <c r="C1271" t="s">
        <v>33</v>
      </c>
      <c r="D1271" t="s">
        <v>40</v>
      </c>
      <c r="E1271" t="s">
        <v>72</v>
      </c>
      <c r="F1271" t="s">
        <v>21</v>
      </c>
      <c r="G1271" s="23">
        <v>0.32</v>
      </c>
      <c r="H1271" t="s">
        <v>42</v>
      </c>
      <c r="I1271" t="s">
        <v>37</v>
      </c>
      <c r="J1271" t="s">
        <v>38</v>
      </c>
      <c r="K1271" t="s">
        <v>117</v>
      </c>
      <c r="L1271" t="s">
        <v>26</v>
      </c>
      <c r="M1271" t="s">
        <v>124</v>
      </c>
      <c r="N1271" t="s">
        <v>28</v>
      </c>
      <c r="O1271">
        <v>0</v>
      </c>
      <c r="P1271">
        <v>50190</v>
      </c>
      <c r="Q1271">
        <f t="shared" si="22"/>
        <v>5.0189999999999999E-2</v>
      </c>
      <c r="R1271">
        <v>43252</v>
      </c>
      <c r="S1271" t="s">
        <v>122</v>
      </c>
    </row>
    <row r="1272" spans="1:19">
      <c r="A1272">
        <v>60000003</v>
      </c>
      <c r="B1272">
        <v>38</v>
      </c>
      <c r="C1272" t="s">
        <v>18</v>
      </c>
      <c r="D1272" t="s">
        <v>19</v>
      </c>
      <c r="E1272" t="s">
        <v>75</v>
      </c>
      <c r="F1272" t="s">
        <v>21</v>
      </c>
      <c r="G1272" s="23">
        <v>0.2</v>
      </c>
      <c r="H1272" t="s">
        <v>29</v>
      </c>
      <c r="I1272" t="s">
        <v>37</v>
      </c>
      <c r="J1272" t="s">
        <v>78</v>
      </c>
      <c r="K1272" t="s">
        <v>63</v>
      </c>
      <c r="L1272" t="s">
        <v>26</v>
      </c>
      <c r="M1272" t="s">
        <v>124</v>
      </c>
      <c r="N1272" t="s">
        <v>28</v>
      </c>
      <c r="O1272">
        <v>3</v>
      </c>
      <c r="P1272">
        <v>53861</v>
      </c>
      <c r="Q1272">
        <f t="shared" si="22"/>
        <v>5.3860999999999999E-2</v>
      </c>
      <c r="R1272">
        <v>43252</v>
      </c>
      <c r="S1272" t="s">
        <v>122</v>
      </c>
    </row>
    <row r="1273" spans="1:19">
      <c r="A1273">
        <v>60000004</v>
      </c>
      <c r="B1273">
        <v>40</v>
      </c>
      <c r="C1273" t="s">
        <v>18</v>
      </c>
      <c r="D1273" t="s">
        <v>19</v>
      </c>
      <c r="E1273" t="s">
        <v>85</v>
      </c>
      <c r="F1273" t="s">
        <v>21</v>
      </c>
      <c r="G1273" s="23">
        <v>0.23</v>
      </c>
      <c r="H1273" t="s">
        <v>29</v>
      </c>
      <c r="I1273" t="s">
        <v>23</v>
      </c>
      <c r="J1273" t="s">
        <v>74</v>
      </c>
      <c r="K1273" t="s">
        <v>43</v>
      </c>
      <c r="L1273" t="s">
        <v>26</v>
      </c>
      <c r="M1273" t="s">
        <v>124</v>
      </c>
      <c r="N1273" t="s">
        <v>28</v>
      </c>
      <c r="O1273">
        <v>0</v>
      </c>
      <c r="P1273">
        <v>63985</v>
      </c>
      <c r="Q1273">
        <f t="shared" si="22"/>
        <v>6.3985E-2</v>
      </c>
      <c r="R1273">
        <v>43252</v>
      </c>
      <c r="S1273" t="s">
        <v>122</v>
      </c>
    </row>
    <row r="1274" spans="1:19">
      <c r="A1274">
        <v>60000005</v>
      </c>
      <c r="B1274">
        <v>61</v>
      </c>
      <c r="C1274" t="s">
        <v>18</v>
      </c>
      <c r="D1274" t="s">
        <v>40</v>
      </c>
      <c r="E1274" t="s">
        <v>72</v>
      </c>
      <c r="F1274" t="s">
        <v>21</v>
      </c>
      <c r="G1274" s="23">
        <v>0.36</v>
      </c>
      <c r="H1274" t="s">
        <v>42</v>
      </c>
      <c r="I1274" t="s">
        <v>70</v>
      </c>
      <c r="J1274" t="s">
        <v>46</v>
      </c>
      <c r="K1274" t="s">
        <v>89</v>
      </c>
      <c r="L1274" t="s">
        <v>26</v>
      </c>
      <c r="M1274" t="s">
        <v>124</v>
      </c>
      <c r="N1274" t="s">
        <v>28</v>
      </c>
      <c r="O1274">
        <v>2</v>
      </c>
      <c r="P1274">
        <v>71975</v>
      </c>
      <c r="Q1274">
        <f t="shared" si="22"/>
        <v>7.1974999999999997E-2</v>
      </c>
      <c r="R1274">
        <v>43252</v>
      </c>
      <c r="S1274" t="s">
        <v>122</v>
      </c>
    </row>
    <row r="1275" spans="1:19">
      <c r="A1275">
        <v>60000006</v>
      </c>
      <c r="B1275">
        <v>27</v>
      </c>
      <c r="C1275" t="s">
        <v>18</v>
      </c>
      <c r="D1275" t="s">
        <v>19</v>
      </c>
      <c r="E1275" t="s">
        <v>72</v>
      </c>
      <c r="F1275" t="s">
        <v>21</v>
      </c>
      <c r="G1275" s="23">
        <v>0.38</v>
      </c>
      <c r="H1275" t="s">
        <v>42</v>
      </c>
      <c r="I1275" t="s">
        <v>76</v>
      </c>
      <c r="J1275" t="s">
        <v>66</v>
      </c>
      <c r="K1275" t="s">
        <v>77</v>
      </c>
      <c r="L1275" t="s">
        <v>26</v>
      </c>
      <c r="M1275" t="s">
        <v>124</v>
      </c>
      <c r="N1275" t="s">
        <v>28</v>
      </c>
      <c r="O1275">
        <v>0</v>
      </c>
      <c r="P1275">
        <v>38682</v>
      </c>
      <c r="Q1275">
        <f t="shared" si="22"/>
        <v>3.8682000000000001E-2</v>
      </c>
      <c r="R1275">
        <v>43252</v>
      </c>
      <c r="S1275" t="s">
        <v>122</v>
      </c>
    </row>
    <row r="1276" spans="1:19">
      <c r="A1276">
        <v>60000007</v>
      </c>
      <c r="B1276">
        <v>27</v>
      </c>
      <c r="C1276" t="s">
        <v>18</v>
      </c>
      <c r="D1276" t="s">
        <v>40</v>
      </c>
      <c r="E1276" t="s">
        <v>67</v>
      </c>
      <c r="F1276" t="s">
        <v>21</v>
      </c>
      <c r="G1276" s="23">
        <v>0.13</v>
      </c>
      <c r="H1276" t="s">
        <v>22</v>
      </c>
      <c r="I1276" t="s">
        <v>68</v>
      </c>
      <c r="J1276" t="s">
        <v>46</v>
      </c>
      <c r="K1276" t="s">
        <v>25</v>
      </c>
      <c r="L1276" t="s">
        <v>26</v>
      </c>
      <c r="M1276" t="s">
        <v>124</v>
      </c>
      <c r="N1276" t="s">
        <v>28</v>
      </c>
      <c r="O1276">
        <v>0</v>
      </c>
      <c r="P1276">
        <v>69924</v>
      </c>
      <c r="Q1276">
        <f t="shared" si="22"/>
        <v>6.9924E-2</v>
      </c>
      <c r="R1276">
        <v>43252</v>
      </c>
      <c r="S1276" t="s">
        <v>122</v>
      </c>
    </row>
    <row r="1277" spans="1:19">
      <c r="A1277">
        <v>60000008</v>
      </c>
      <c r="B1277">
        <v>58</v>
      </c>
      <c r="C1277" t="s">
        <v>18</v>
      </c>
      <c r="D1277" t="s">
        <v>40</v>
      </c>
      <c r="E1277" t="s">
        <v>67</v>
      </c>
      <c r="F1277" t="s">
        <v>21</v>
      </c>
      <c r="G1277" s="23">
        <v>0.18</v>
      </c>
      <c r="H1277" t="s">
        <v>22</v>
      </c>
      <c r="I1277" t="s">
        <v>65</v>
      </c>
      <c r="J1277" t="s">
        <v>74</v>
      </c>
      <c r="K1277" t="s">
        <v>82</v>
      </c>
      <c r="L1277" t="s">
        <v>26</v>
      </c>
      <c r="M1277" t="s">
        <v>124</v>
      </c>
      <c r="N1277" t="s">
        <v>28</v>
      </c>
      <c r="O1277">
        <v>3</v>
      </c>
      <c r="P1277">
        <v>41810</v>
      </c>
      <c r="Q1277">
        <f t="shared" si="22"/>
        <v>4.181E-2</v>
      </c>
      <c r="R1277">
        <v>43252</v>
      </c>
      <c r="S1277" t="s">
        <v>122</v>
      </c>
    </row>
    <row r="1278" spans="1:19">
      <c r="A1278">
        <v>60000009</v>
      </c>
      <c r="B1278">
        <v>33</v>
      </c>
      <c r="C1278" t="s">
        <v>18</v>
      </c>
      <c r="D1278" t="s">
        <v>40</v>
      </c>
      <c r="E1278" t="s">
        <v>20</v>
      </c>
      <c r="F1278" t="s">
        <v>21</v>
      </c>
      <c r="G1278" s="23">
        <v>0.38</v>
      </c>
      <c r="H1278" t="s">
        <v>42</v>
      </c>
      <c r="I1278" t="s">
        <v>73</v>
      </c>
      <c r="J1278" t="s">
        <v>24</v>
      </c>
      <c r="K1278" t="s">
        <v>84</v>
      </c>
      <c r="L1278" t="s">
        <v>26</v>
      </c>
      <c r="M1278" t="s">
        <v>124</v>
      </c>
      <c r="N1278" t="s">
        <v>28</v>
      </c>
      <c r="O1278">
        <v>7</v>
      </c>
      <c r="P1278">
        <v>56001</v>
      </c>
      <c r="Q1278">
        <f t="shared" si="22"/>
        <v>5.6001000000000002E-2</v>
      </c>
      <c r="R1278">
        <v>43252</v>
      </c>
      <c r="S1278" t="s">
        <v>122</v>
      </c>
    </row>
    <row r="1279" spans="1:19">
      <c r="A1279">
        <v>60000010</v>
      </c>
      <c r="B1279">
        <v>34</v>
      </c>
      <c r="C1279" t="s">
        <v>18</v>
      </c>
      <c r="D1279" t="s">
        <v>40</v>
      </c>
      <c r="E1279" t="s">
        <v>67</v>
      </c>
      <c r="F1279" t="s">
        <v>21</v>
      </c>
      <c r="G1279" s="23">
        <v>0.21</v>
      </c>
      <c r="H1279" t="s">
        <v>29</v>
      </c>
      <c r="I1279" t="s">
        <v>68</v>
      </c>
      <c r="J1279" t="s">
        <v>31</v>
      </c>
      <c r="K1279" t="s">
        <v>55</v>
      </c>
      <c r="L1279" t="s">
        <v>26</v>
      </c>
      <c r="M1279" t="s">
        <v>124</v>
      </c>
      <c r="N1279" t="s">
        <v>28</v>
      </c>
      <c r="O1279">
        <v>0</v>
      </c>
      <c r="P1279">
        <v>41600</v>
      </c>
      <c r="Q1279">
        <f t="shared" si="22"/>
        <v>4.1599999999999998E-2</v>
      </c>
      <c r="R1279">
        <v>43252</v>
      </c>
      <c r="S1279" t="s">
        <v>122</v>
      </c>
    </row>
    <row r="1280" spans="1:19">
      <c r="A1280">
        <v>60000011</v>
      </c>
      <c r="B1280">
        <v>49</v>
      </c>
      <c r="C1280" t="s">
        <v>18</v>
      </c>
      <c r="D1280" t="s">
        <v>40</v>
      </c>
      <c r="E1280" t="s">
        <v>41</v>
      </c>
      <c r="F1280" t="s">
        <v>21</v>
      </c>
      <c r="G1280" s="23">
        <v>0.18</v>
      </c>
      <c r="H1280" t="s">
        <v>22</v>
      </c>
      <c r="I1280" t="s">
        <v>45</v>
      </c>
      <c r="J1280" t="s">
        <v>54</v>
      </c>
      <c r="K1280" t="s">
        <v>116</v>
      </c>
      <c r="L1280" t="s">
        <v>26</v>
      </c>
      <c r="M1280" t="s">
        <v>124</v>
      </c>
      <c r="N1280" t="s">
        <v>28</v>
      </c>
      <c r="O1280">
        <v>0</v>
      </c>
      <c r="P1280">
        <v>62931</v>
      </c>
      <c r="Q1280">
        <f t="shared" si="22"/>
        <v>6.2931000000000001E-2</v>
      </c>
      <c r="R1280">
        <v>43252</v>
      </c>
      <c r="S1280" t="s">
        <v>122</v>
      </c>
    </row>
    <row r="1281" spans="1:19">
      <c r="A1281">
        <v>60000012</v>
      </c>
      <c r="B1281">
        <v>31</v>
      </c>
      <c r="C1281" t="s">
        <v>18</v>
      </c>
      <c r="D1281" t="s">
        <v>19</v>
      </c>
      <c r="E1281" t="s">
        <v>52</v>
      </c>
      <c r="F1281" t="s">
        <v>21</v>
      </c>
      <c r="G1281" s="23">
        <v>0.16</v>
      </c>
      <c r="H1281" t="s">
        <v>22</v>
      </c>
      <c r="I1281" t="s">
        <v>68</v>
      </c>
      <c r="J1281" t="s">
        <v>88</v>
      </c>
      <c r="K1281" t="s">
        <v>62</v>
      </c>
      <c r="L1281" t="s">
        <v>26</v>
      </c>
      <c r="M1281" t="s">
        <v>124</v>
      </c>
      <c r="N1281" t="s">
        <v>28</v>
      </c>
      <c r="O1281">
        <v>0</v>
      </c>
      <c r="P1281">
        <v>67313</v>
      </c>
      <c r="Q1281">
        <f t="shared" si="22"/>
        <v>6.7312999999999998E-2</v>
      </c>
      <c r="R1281">
        <v>43252</v>
      </c>
      <c r="S1281" t="s">
        <v>122</v>
      </c>
    </row>
    <row r="1282" spans="1:19">
      <c r="A1282">
        <v>60000013</v>
      </c>
      <c r="B1282">
        <v>29</v>
      </c>
      <c r="C1282" t="s">
        <v>18</v>
      </c>
      <c r="D1282" t="s">
        <v>40</v>
      </c>
      <c r="E1282" t="s">
        <v>34</v>
      </c>
      <c r="F1282" t="s">
        <v>21</v>
      </c>
      <c r="G1282" s="23">
        <v>0.32</v>
      </c>
      <c r="H1282" t="s">
        <v>42</v>
      </c>
      <c r="I1282" t="s">
        <v>68</v>
      </c>
      <c r="J1282" t="s">
        <v>46</v>
      </c>
      <c r="K1282" t="s">
        <v>101</v>
      </c>
      <c r="L1282" t="s">
        <v>26</v>
      </c>
      <c r="M1282" t="s">
        <v>124</v>
      </c>
      <c r="N1282" t="s">
        <v>28</v>
      </c>
      <c r="O1282">
        <v>6</v>
      </c>
      <c r="P1282">
        <v>53872</v>
      </c>
      <c r="Q1282">
        <f t="shared" si="22"/>
        <v>5.3872000000000003E-2</v>
      </c>
      <c r="R1282">
        <v>43252</v>
      </c>
      <c r="S1282" t="s">
        <v>122</v>
      </c>
    </row>
    <row r="1283" spans="1:19">
      <c r="A1283">
        <v>60000014</v>
      </c>
      <c r="B1283">
        <v>21</v>
      </c>
      <c r="C1283" t="s">
        <v>18</v>
      </c>
      <c r="D1283" t="s">
        <v>40</v>
      </c>
      <c r="E1283" t="s">
        <v>85</v>
      </c>
      <c r="F1283" t="s">
        <v>21</v>
      </c>
      <c r="G1283" s="23">
        <v>0.18</v>
      </c>
      <c r="H1283" t="s">
        <v>22</v>
      </c>
      <c r="I1283" t="s">
        <v>73</v>
      </c>
      <c r="J1283" t="s">
        <v>38</v>
      </c>
      <c r="K1283" t="s">
        <v>82</v>
      </c>
      <c r="L1283" t="s">
        <v>26</v>
      </c>
      <c r="M1283" t="s">
        <v>124</v>
      </c>
      <c r="N1283" t="s">
        <v>28</v>
      </c>
      <c r="O1283">
        <v>0</v>
      </c>
      <c r="P1283">
        <v>79273</v>
      </c>
      <c r="Q1283">
        <f t="shared" si="22"/>
        <v>7.9272999999999996E-2</v>
      </c>
      <c r="R1283">
        <v>43252</v>
      </c>
      <c r="S1283" t="s">
        <v>122</v>
      </c>
    </row>
    <row r="1284" spans="1:19">
      <c r="A1284">
        <v>60000015</v>
      </c>
      <c r="B1284">
        <v>35</v>
      </c>
      <c r="C1284" t="s">
        <v>33</v>
      </c>
      <c r="D1284" t="s">
        <v>19</v>
      </c>
      <c r="E1284" t="s">
        <v>52</v>
      </c>
      <c r="F1284" t="s">
        <v>21</v>
      </c>
      <c r="G1284" s="23">
        <v>0.34</v>
      </c>
      <c r="H1284" t="s">
        <v>42</v>
      </c>
      <c r="I1284" t="s">
        <v>23</v>
      </c>
      <c r="J1284" t="s">
        <v>54</v>
      </c>
      <c r="K1284" t="s">
        <v>50</v>
      </c>
      <c r="L1284" t="s">
        <v>26</v>
      </c>
      <c r="M1284" t="s">
        <v>124</v>
      </c>
      <c r="N1284" t="s">
        <v>28</v>
      </c>
      <c r="O1284">
        <v>1</v>
      </c>
      <c r="P1284">
        <v>38824</v>
      </c>
      <c r="Q1284">
        <f t="shared" ref="Q1284:Q1347" si="23">+P1284/1000000</f>
        <v>3.8823999999999997E-2</v>
      </c>
      <c r="R1284">
        <v>43252</v>
      </c>
      <c r="S1284" t="s">
        <v>122</v>
      </c>
    </row>
    <row r="1285" spans="1:19">
      <c r="A1285">
        <v>60000016</v>
      </c>
      <c r="B1285">
        <v>42</v>
      </c>
      <c r="C1285" t="s">
        <v>18</v>
      </c>
      <c r="D1285" t="s">
        <v>40</v>
      </c>
      <c r="E1285" t="s">
        <v>75</v>
      </c>
      <c r="F1285" t="s">
        <v>21</v>
      </c>
      <c r="G1285" s="23">
        <v>0.31</v>
      </c>
      <c r="H1285" t="s">
        <v>53</v>
      </c>
      <c r="I1285" t="s">
        <v>76</v>
      </c>
      <c r="J1285" t="s">
        <v>38</v>
      </c>
      <c r="K1285" t="s">
        <v>84</v>
      </c>
      <c r="L1285" t="s">
        <v>26</v>
      </c>
      <c r="M1285" t="s">
        <v>124</v>
      </c>
      <c r="N1285" t="s">
        <v>28</v>
      </c>
      <c r="O1285">
        <v>0</v>
      </c>
      <c r="P1285">
        <v>69303</v>
      </c>
      <c r="Q1285">
        <f t="shared" si="23"/>
        <v>6.9303000000000003E-2</v>
      </c>
      <c r="R1285">
        <v>43252</v>
      </c>
      <c r="S1285" t="s">
        <v>122</v>
      </c>
    </row>
    <row r="1286" spans="1:19">
      <c r="A1286">
        <v>60000017</v>
      </c>
      <c r="B1286">
        <v>64</v>
      </c>
      <c r="C1286" t="s">
        <v>33</v>
      </c>
      <c r="D1286" t="s">
        <v>19</v>
      </c>
      <c r="E1286" t="s">
        <v>67</v>
      </c>
      <c r="F1286" t="s">
        <v>21</v>
      </c>
      <c r="G1286" s="23">
        <v>0.36</v>
      </c>
      <c r="H1286" t="s">
        <v>42</v>
      </c>
      <c r="I1286" t="s">
        <v>23</v>
      </c>
      <c r="J1286" t="s">
        <v>24</v>
      </c>
      <c r="K1286" t="s">
        <v>43</v>
      </c>
      <c r="L1286" t="s">
        <v>26</v>
      </c>
      <c r="M1286" t="s">
        <v>124</v>
      </c>
      <c r="N1286" t="s">
        <v>28</v>
      </c>
      <c r="O1286">
        <v>0</v>
      </c>
      <c r="P1286">
        <v>43397</v>
      </c>
      <c r="Q1286">
        <f t="shared" si="23"/>
        <v>4.3396999999999998E-2</v>
      </c>
      <c r="R1286">
        <v>43252</v>
      </c>
      <c r="S1286" t="s">
        <v>122</v>
      </c>
    </row>
    <row r="1287" spans="1:19">
      <c r="A1287">
        <v>60000018</v>
      </c>
      <c r="B1287">
        <v>22</v>
      </c>
      <c r="C1287" t="s">
        <v>18</v>
      </c>
      <c r="D1287" t="s">
        <v>19</v>
      </c>
      <c r="E1287" t="s">
        <v>41</v>
      </c>
      <c r="F1287" t="s">
        <v>21</v>
      </c>
      <c r="G1287" s="23">
        <v>0.12</v>
      </c>
      <c r="H1287" t="s">
        <v>22</v>
      </c>
      <c r="I1287" t="s">
        <v>45</v>
      </c>
      <c r="J1287" t="s">
        <v>54</v>
      </c>
      <c r="K1287" t="s">
        <v>102</v>
      </c>
      <c r="L1287" t="s">
        <v>26</v>
      </c>
      <c r="M1287" t="s">
        <v>124</v>
      </c>
      <c r="N1287" t="s">
        <v>28</v>
      </c>
      <c r="O1287">
        <v>0</v>
      </c>
      <c r="P1287">
        <v>46382</v>
      </c>
      <c r="Q1287">
        <f t="shared" si="23"/>
        <v>4.6382E-2</v>
      </c>
      <c r="R1287">
        <v>43252</v>
      </c>
      <c r="S1287" t="s">
        <v>122</v>
      </c>
    </row>
    <row r="1288" spans="1:19">
      <c r="A1288">
        <v>60000019</v>
      </c>
      <c r="B1288">
        <v>34</v>
      </c>
      <c r="C1288" t="s">
        <v>33</v>
      </c>
      <c r="D1288" t="s">
        <v>19</v>
      </c>
      <c r="E1288" t="s">
        <v>75</v>
      </c>
      <c r="F1288" t="s">
        <v>21</v>
      </c>
      <c r="G1288" s="23">
        <v>0.32</v>
      </c>
      <c r="H1288" t="s">
        <v>42</v>
      </c>
      <c r="I1288" t="s">
        <v>23</v>
      </c>
      <c r="J1288" t="s">
        <v>69</v>
      </c>
      <c r="K1288" t="s">
        <v>112</v>
      </c>
      <c r="L1288" t="s">
        <v>26</v>
      </c>
      <c r="M1288" t="s">
        <v>124</v>
      </c>
      <c r="N1288" t="s">
        <v>28</v>
      </c>
      <c r="O1288">
        <v>0</v>
      </c>
      <c r="P1288">
        <v>53991</v>
      </c>
      <c r="Q1288">
        <f t="shared" si="23"/>
        <v>5.3990999999999997E-2</v>
      </c>
      <c r="R1288">
        <v>43252</v>
      </c>
      <c r="S1288" t="s">
        <v>122</v>
      </c>
    </row>
    <row r="1289" spans="1:19">
      <c r="A1289">
        <v>60000020</v>
      </c>
      <c r="B1289">
        <v>59</v>
      </c>
      <c r="C1289" t="s">
        <v>18</v>
      </c>
      <c r="D1289" t="s">
        <v>40</v>
      </c>
      <c r="E1289" t="s">
        <v>64</v>
      </c>
      <c r="F1289" t="s">
        <v>21</v>
      </c>
      <c r="G1289" s="23">
        <v>0.27</v>
      </c>
      <c r="H1289" t="s">
        <v>53</v>
      </c>
      <c r="I1289" t="s">
        <v>45</v>
      </c>
      <c r="J1289" t="s">
        <v>54</v>
      </c>
      <c r="K1289" t="s">
        <v>47</v>
      </c>
      <c r="L1289" t="s">
        <v>26</v>
      </c>
      <c r="M1289" t="s">
        <v>124</v>
      </c>
      <c r="N1289" t="s">
        <v>28</v>
      </c>
      <c r="O1289">
        <v>6</v>
      </c>
      <c r="P1289">
        <v>63210</v>
      </c>
      <c r="Q1289">
        <f t="shared" si="23"/>
        <v>6.3210000000000002E-2</v>
      </c>
      <c r="R1289">
        <v>43252</v>
      </c>
      <c r="S1289" t="s">
        <v>122</v>
      </c>
    </row>
    <row r="1290" spans="1:19">
      <c r="A1290">
        <v>60000021</v>
      </c>
      <c r="B1290">
        <v>55</v>
      </c>
      <c r="C1290" t="s">
        <v>18</v>
      </c>
      <c r="D1290" t="s">
        <v>40</v>
      </c>
      <c r="E1290" t="s">
        <v>41</v>
      </c>
      <c r="F1290" t="s">
        <v>21</v>
      </c>
      <c r="G1290" s="23">
        <v>0.27</v>
      </c>
      <c r="H1290" t="s">
        <v>53</v>
      </c>
      <c r="I1290" t="s">
        <v>86</v>
      </c>
      <c r="J1290" t="s">
        <v>54</v>
      </c>
      <c r="K1290" t="s">
        <v>25</v>
      </c>
      <c r="L1290" t="s">
        <v>26</v>
      </c>
      <c r="M1290" t="s">
        <v>124</v>
      </c>
      <c r="N1290" t="s">
        <v>28</v>
      </c>
      <c r="O1290">
        <v>4</v>
      </c>
      <c r="P1290">
        <v>72718</v>
      </c>
      <c r="Q1290">
        <f t="shared" si="23"/>
        <v>7.2718000000000005E-2</v>
      </c>
      <c r="R1290">
        <v>43252</v>
      </c>
      <c r="S1290" t="s">
        <v>122</v>
      </c>
    </row>
    <row r="1291" spans="1:19">
      <c r="A1291">
        <v>60000022</v>
      </c>
      <c r="B1291">
        <v>50</v>
      </c>
      <c r="C1291" t="s">
        <v>18</v>
      </c>
      <c r="D1291" t="s">
        <v>40</v>
      </c>
      <c r="E1291" t="s">
        <v>67</v>
      </c>
      <c r="F1291" t="s">
        <v>21</v>
      </c>
      <c r="G1291" s="23">
        <v>0.38</v>
      </c>
      <c r="H1291" t="s">
        <v>42</v>
      </c>
      <c r="I1291" t="s">
        <v>65</v>
      </c>
      <c r="J1291" t="s">
        <v>61</v>
      </c>
      <c r="K1291" t="s">
        <v>102</v>
      </c>
      <c r="L1291" t="s">
        <v>26</v>
      </c>
      <c r="M1291" t="s">
        <v>124</v>
      </c>
      <c r="N1291" t="s">
        <v>28</v>
      </c>
      <c r="O1291">
        <v>3</v>
      </c>
      <c r="P1291">
        <v>74859</v>
      </c>
      <c r="Q1291">
        <f t="shared" si="23"/>
        <v>7.4858999999999995E-2</v>
      </c>
      <c r="R1291">
        <v>43252</v>
      </c>
      <c r="S1291" t="s">
        <v>122</v>
      </c>
    </row>
    <row r="1292" spans="1:19">
      <c r="A1292">
        <v>60000023</v>
      </c>
      <c r="B1292">
        <v>55</v>
      </c>
      <c r="C1292" t="s">
        <v>18</v>
      </c>
      <c r="D1292" t="s">
        <v>19</v>
      </c>
      <c r="E1292" t="s">
        <v>52</v>
      </c>
      <c r="F1292" t="s">
        <v>21</v>
      </c>
      <c r="G1292" s="23">
        <v>0.32</v>
      </c>
      <c r="H1292" t="s">
        <v>42</v>
      </c>
      <c r="I1292" t="s">
        <v>68</v>
      </c>
      <c r="J1292" t="s">
        <v>88</v>
      </c>
      <c r="K1292" t="s">
        <v>103</v>
      </c>
      <c r="L1292" t="s">
        <v>26</v>
      </c>
      <c r="M1292" t="s">
        <v>124</v>
      </c>
      <c r="N1292" t="s">
        <v>28</v>
      </c>
      <c r="O1292">
        <v>0</v>
      </c>
      <c r="P1292">
        <v>76036</v>
      </c>
      <c r="Q1292">
        <f t="shared" si="23"/>
        <v>7.6036000000000006E-2</v>
      </c>
      <c r="R1292">
        <v>43252</v>
      </c>
      <c r="S1292" t="s">
        <v>122</v>
      </c>
    </row>
    <row r="1293" spans="1:19">
      <c r="A1293">
        <v>60000024</v>
      </c>
      <c r="B1293">
        <v>47</v>
      </c>
      <c r="C1293" t="s">
        <v>33</v>
      </c>
      <c r="D1293" t="s">
        <v>40</v>
      </c>
      <c r="E1293" t="s">
        <v>72</v>
      </c>
      <c r="F1293" t="s">
        <v>21</v>
      </c>
      <c r="G1293" s="23">
        <v>0.17</v>
      </c>
      <c r="H1293" t="s">
        <v>22</v>
      </c>
      <c r="I1293" t="s">
        <v>73</v>
      </c>
      <c r="J1293" t="s">
        <v>31</v>
      </c>
      <c r="K1293" t="s">
        <v>118</v>
      </c>
      <c r="L1293" t="s">
        <v>26</v>
      </c>
      <c r="M1293" t="s">
        <v>124</v>
      </c>
      <c r="N1293" t="s">
        <v>28</v>
      </c>
      <c r="O1293">
        <v>0</v>
      </c>
      <c r="P1293">
        <v>54782</v>
      </c>
      <c r="Q1293">
        <f t="shared" si="23"/>
        <v>5.4781999999999997E-2</v>
      </c>
      <c r="R1293">
        <v>43252</v>
      </c>
      <c r="S1293" t="s">
        <v>122</v>
      </c>
    </row>
    <row r="1294" spans="1:19">
      <c r="A1294">
        <v>60000025</v>
      </c>
      <c r="B1294">
        <v>24</v>
      </c>
      <c r="C1294" t="s">
        <v>18</v>
      </c>
      <c r="D1294" t="s">
        <v>40</v>
      </c>
      <c r="E1294" t="s">
        <v>41</v>
      </c>
      <c r="F1294" t="s">
        <v>21</v>
      </c>
      <c r="G1294" s="23">
        <v>0.25</v>
      </c>
      <c r="H1294" t="s">
        <v>53</v>
      </c>
      <c r="I1294" t="s">
        <v>37</v>
      </c>
      <c r="J1294" t="s">
        <v>69</v>
      </c>
      <c r="K1294" t="s">
        <v>55</v>
      </c>
      <c r="L1294" t="s">
        <v>26</v>
      </c>
      <c r="M1294" t="s">
        <v>124</v>
      </c>
      <c r="N1294" t="s">
        <v>28</v>
      </c>
      <c r="O1294">
        <v>0</v>
      </c>
      <c r="P1294">
        <v>76364</v>
      </c>
      <c r="Q1294">
        <f t="shared" si="23"/>
        <v>7.6364000000000001E-2</v>
      </c>
      <c r="R1294">
        <v>43252</v>
      </c>
      <c r="S1294" t="s">
        <v>122</v>
      </c>
    </row>
    <row r="1295" spans="1:19">
      <c r="A1295">
        <v>60000026</v>
      </c>
      <c r="B1295">
        <v>47</v>
      </c>
      <c r="C1295" t="s">
        <v>18</v>
      </c>
      <c r="D1295" t="s">
        <v>19</v>
      </c>
      <c r="E1295" t="s">
        <v>72</v>
      </c>
      <c r="F1295" t="s">
        <v>21</v>
      </c>
      <c r="G1295" s="23">
        <v>0.24</v>
      </c>
      <c r="H1295" t="s">
        <v>29</v>
      </c>
      <c r="I1295" t="s">
        <v>65</v>
      </c>
      <c r="J1295" t="s">
        <v>66</v>
      </c>
      <c r="K1295" t="s">
        <v>77</v>
      </c>
      <c r="L1295" t="s">
        <v>26</v>
      </c>
      <c r="M1295" t="s">
        <v>124</v>
      </c>
      <c r="N1295" t="s">
        <v>28</v>
      </c>
      <c r="O1295">
        <v>1</v>
      </c>
      <c r="P1295">
        <v>78267</v>
      </c>
      <c r="Q1295">
        <f t="shared" si="23"/>
        <v>7.8267000000000003E-2</v>
      </c>
      <c r="R1295">
        <v>43252</v>
      </c>
      <c r="S1295" t="s">
        <v>122</v>
      </c>
    </row>
    <row r="1296" spans="1:19">
      <c r="A1296">
        <v>60000027</v>
      </c>
      <c r="B1296">
        <v>47</v>
      </c>
      <c r="C1296" t="s">
        <v>33</v>
      </c>
      <c r="D1296" t="s">
        <v>40</v>
      </c>
      <c r="E1296" t="s">
        <v>67</v>
      </c>
      <c r="F1296" t="s">
        <v>21</v>
      </c>
      <c r="G1296" s="23">
        <v>0.28999999999999998</v>
      </c>
      <c r="H1296" t="s">
        <v>53</v>
      </c>
      <c r="I1296" t="s">
        <v>65</v>
      </c>
      <c r="J1296" t="s">
        <v>69</v>
      </c>
      <c r="K1296" t="s">
        <v>111</v>
      </c>
      <c r="L1296" t="s">
        <v>26</v>
      </c>
      <c r="M1296" t="s">
        <v>124</v>
      </c>
      <c r="N1296" t="s">
        <v>28</v>
      </c>
      <c r="O1296">
        <v>7</v>
      </c>
      <c r="P1296">
        <v>48724</v>
      </c>
      <c r="Q1296">
        <f t="shared" si="23"/>
        <v>4.8724000000000003E-2</v>
      </c>
      <c r="R1296">
        <v>43252</v>
      </c>
      <c r="S1296" t="s">
        <v>122</v>
      </c>
    </row>
    <row r="1297" spans="1:19">
      <c r="A1297">
        <v>60000028</v>
      </c>
      <c r="B1297">
        <v>57</v>
      </c>
      <c r="C1297" t="s">
        <v>33</v>
      </c>
      <c r="D1297" t="s">
        <v>40</v>
      </c>
      <c r="E1297" t="s">
        <v>34</v>
      </c>
      <c r="F1297" t="s">
        <v>21</v>
      </c>
      <c r="G1297" s="23">
        <v>0.1</v>
      </c>
      <c r="H1297" t="s">
        <v>36</v>
      </c>
      <c r="I1297" t="s">
        <v>86</v>
      </c>
      <c r="J1297" t="s">
        <v>91</v>
      </c>
      <c r="K1297" t="s">
        <v>49</v>
      </c>
      <c r="L1297" t="s">
        <v>26</v>
      </c>
      <c r="M1297" t="s">
        <v>124</v>
      </c>
      <c r="N1297" t="s">
        <v>28</v>
      </c>
      <c r="O1297">
        <v>6</v>
      </c>
      <c r="P1297">
        <v>80630</v>
      </c>
      <c r="Q1297">
        <f t="shared" si="23"/>
        <v>8.0629999999999993E-2</v>
      </c>
      <c r="R1297">
        <v>43252</v>
      </c>
      <c r="S1297" t="s">
        <v>122</v>
      </c>
    </row>
    <row r="1298" spans="1:19">
      <c r="A1298">
        <v>60000029</v>
      </c>
      <c r="B1298">
        <v>28</v>
      </c>
      <c r="C1298" t="s">
        <v>18</v>
      </c>
      <c r="D1298" t="s">
        <v>19</v>
      </c>
      <c r="E1298" t="s">
        <v>52</v>
      </c>
      <c r="F1298" t="s">
        <v>21</v>
      </c>
      <c r="G1298" s="23">
        <v>0.37</v>
      </c>
      <c r="H1298" t="s">
        <v>42</v>
      </c>
      <c r="I1298" t="s">
        <v>68</v>
      </c>
      <c r="J1298" t="s">
        <v>91</v>
      </c>
      <c r="K1298" t="s">
        <v>103</v>
      </c>
      <c r="L1298" t="s">
        <v>26</v>
      </c>
      <c r="M1298" t="s">
        <v>124</v>
      </c>
      <c r="N1298" t="s">
        <v>28</v>
      </c>
      <c r="O1298">
        <v>4</v>
      </c>
      <c r="P1298">
        <v>57422</v>
      </c>
      <c r="Q1298">
        <f t="shared" si="23"/>
        <v>5.7422000000000001E-2</v>
      </c>
      <c r="R1298">
        <v>43252</v>
      </c>
      <c r="S1298" t="s">
        <v>122</v>
      </c>
    </row>
    <row r="1299" spans="1:19">
      <c r="A1299">
        <v>60000030</v>
      </c>
      <c r="B1299">
        <v>55</v>
      </c>
      <c r="C1299" t="s">
        <v>18</v>
      </c>
      <c r="D1299" t="s">
        <v>40</v>
      </c>
      <c r="E1299" t="s">
        <v>85</v>
      </c>
      <c r="F1299" t="s">
        <v>21</v>
      </c>
      <c r="G1299" s="23">
        <v>0.18</v>
      </c>
      <c r="H1299" t="s">
        <v>22</v>
      </c>
      <c r="I1299" t="s">
        <v>23</v>
      </c>
      <c r="J1299" t="s">
        <v>24</v>
      </c>
      <c r="K1299" t="s">
        <v>55</v>
      </c>
      <c r="L1299" t="s">
        <v>26</v>
      </c>
      <c r="M1299" t="s">
        <v>124</v>
      </c>
      <c r="N1299" t="s">
        <v>28</v>
      </c>
      <c r="O1299">
        <v>5</v>
      </c>
      <c r="P1299">
        <v>82448</v>
      </c>
      <c r="Q1299">
        <f t="shared" si="23"/>
        <v>8.2447999999999994E-2</v>
      </c>
      <c r="R1299">
        <v>43252</v>
      </c>
      <c r="S1299" t="s">
        <v>122</v>
      </c>
    </row>
    <row r="1300" spans="1:19">
      <c r="A1300">
        <v>60000031</v>
      </c>
      <c r="B1300">
        <v>26</v>
      </c>
      <c r="C1300" t="s">
        <v>18</v>
      </c>
      <c r="D1300" t="s">
        <v>19</v>
      </c>
      <c r="E1300" t="s">
        <v>75</v>
      </c>
      <c r="F1300" t="s">
        <v>21</v>
      </c>
      <c r="G1300" s="23">
        <v>0.34</v>
      </c>
      <c r="H1300" t="s">
        <v>42</v>
      </c>
      <c r="I1300" t="s">
        <v>80</v>
      </c>
      <c r="J1300" t="s">
        <v>38</v>
      </c>
      <c r="K1300" t="s">
        <v>96</v>
      </c>
      <c r="L1300" t="s">
        <v>26</v>
      </c>
      <c r="M1300" t="s">
        <v>124</v>
      </c>
      <c r="N1300" t="s">
        <v>28</v>
      </c>
      <c r="O1300">
        <v>0</v>
      </c>
      <c r="P1300">
        <v>48511</v>
      </c>
      <c r="Q1300">
        <f t="shared" si="23"/>
        <v>4.8510999999999999E-2</v>
      </c>
      <c r="R1300">
        <v>43252</v>
      </c>
      <c r="S1300" t="s">
        <v>122</v>
      </c>
    </row>
    <row r="1301" spans="1:19">
      <c r="A1301">
        <v>60000032</v>
      </c>
      <c r="B1301">
        <v>47</v>
      </c>
      <c r="C1301" t="s">
        <v>33</v>
      </c>
      <c r="D1301" t="s">
        <v>19</v>
      </c>
      <c r="E1301" t="s">
        <v>34</v>
      </c>
      <c r="F1301" t="s">
        <v>21</v>
      </c>
      <c r="G1301" s="23">
        <v>0.22</v>
      </c>
      <c r="H1301" t="s">
        <v>29</v>
      </c>
      <c r="I1301" t="s">
        <v>23</v>
      </c>
      <c r="J1301" t="s">
        <v>69</v>
      </c>
      <c r="K1301" t="s">
        <v>98</v>
      </c>
      <c r="L1301" t="s">
        <v>26</v>
      </c>
      <c r="M1301" t="s">
        <v>124</v>
      </c>
      <c r="N1301" t="s">
        <v>28</v>
      </c>
      <c r="O1301">
        <v>0</v>
      </c>
      <c r="P1301">
        <v>60906</v>
      </c>
      <c r="Q1301">
        <f t="shared" si="23"/>
        <v>6.0906000000000002E-2</v>
      </c>
      <c r="R1301">
        <v>43252</v>
      </c>
      <c r="S1301" t="s">
        <v>122</v>
      </c>
    </row>
    <row r="1302" spans="1:19">
      <c r="A1302">
        <v>60000033</v>
      </c>
      <c r="B1302">
        <v>48</v>
      </c>
      <c r="C1302" t="s">
        <v>33</v>
      </c>
      <c r="D1302" t="s">
        <v>19</v>
      </c>
      <c r="E1302" t="s">
        <v>20</v>
      </c>
      <c r="F1302" t="s">
        <v>21</v>
      </c>
      <c r="G1302" s="23">
        <v>0.31</v>
      </c>
      <c r="H1302" t="s">
        <v>53</v>
      </c>
      <c r="I1302" t="s">
        <v>45</v>
      </c>
      <c r="J1302" t="s">
        <v>88</v>
      </c>
      <c r="K1302" t="s">
        <v>111</v>
      </c>
      <c r="L1302" t="s">
        <v>26</v>
      </c>
      <c r="M1302" t="s">
        <v>124</v>
      </c>
      <c r="N1302" t="s">
        <v>28</v>
      </c>
      <c r="O1302">
        <v>0</v>
      </c>
      <c r="P1302">
        <v>60696</v>
      </c>
      <c r="Q1302">
        <f t="shared" si="23"/>
        <v>6.0696E-2</v>
      </c>
      <c r="R1302">
        <v>43252</v>
      </c>
      <c r="S1302" t="s">
        <v>122</v>
      </c>
    </row>
    <row r="1303" spans="1:19">
      <c r="A1303">
        <v>60000034</v>
      </c>
      <c r="B1303">
        <v>39</v>
      </c>
      <c r="C1303" t="s">
        <v>33</v>
      </c>
      <c r="D1303" t="s">
        <v>40</v>
      </c>
      <c r="E1303" t="s">
        <v>41</v>
      </c>
      <c r="F1303" t="s">
        <v>21</v>
      </c>
      <c r="G1303" s="23">
        <v>0.2</v>
      </c>
      <c r="H1303" t="s">
        <v>29</v>
      </c>
      <c r="I1303" t="s">
        <v>68</v>
      </c>
      <c r="J1303" t="s">
        <v>38</v>
      </c>
      <c r="K1303" t="s">
        <v>96</v>
      </c>
      <c r="L1303" t="s">
        <v>26</v>
      </c>
      <c r="M1303" t="s">
        <v>124</v>
      </c>
      <c r="N1303" t="s">
        <v>28</v>
      </c>
      <c r="O1303">
        <v>0</v>
      </c>
      <c r="P1303">
        <v>68931</v>
      </c>
      <c r="Q1303">
        <f t="shared" si="23"/>
        <v>6.8931000000000006E-2</v>
      </c>
      <c r="R1303">
        <v>43252</v>
      </c>
      <c r="S1303" t="s">
        <v>122</v>
      </c>
    </row>
    <row r="1304" spans="1:19">
      <c r="A1304">
        <v>60000035</v>
      </c>
      <c r="B1304">
        <v>27</v>
      </c>
      <c r="C1304" t="s">
        <v>33</v>
      </c>
      <c r="D1304" t="s">
        <v>19</v>
      </c>
      <c r="E1304" t="s">
        <v>41</v>
      </c>
      <c r="F1304" t="s">
        <v>21</v>
      </c>
      <c r="G1304" s="23">
        <v>0.25</v>
      </c>
      <c r="H1304" t="s">
        <v>53</v>
      </c>
      <c r="I1304" t="s">
        <v>68</v>
      </c>
      <c r="J1304" t="s">
        <v>91</v>
      </c>
      <c r="K1304" t="s">
        <v>114</v>
      </c>
      <c r="L1304" t="s">
        <v>26</v>
      </c>
      <c r="M1304" t="s">
        <v>124</v>
      </c>
      <c r="N1304" t="s">
        <v>28</v>
      </c>
      <c r="O1304">
        <v>0</v>
      </c>
      <c r="P1304">
        <v>72486</v>
      </c>
      <c r="Q1304">
        <f t="shared" si="23"/>
        <v>7.2485999999999995E-2</v>
      </c>
      <c r="R1304">
        <v>43252</v>
      </c>
      <c r="S1304" t="s">
        <v>122</v>
      </c>
    </row>
    <row r="1305" spans="1:19">
      <c r="A1305">
        <v>60000036</v>
      </c>
      <c r="B1305">
        <v>50</v>
      </c>
      <c r="C1305" t="s">
        <v>18</v>
      </c>
      <c r="D1305" t="s">
        <v>40</v>
      </c>
      <c r="E1305" t="s">
        <v>20</v>
      </c>
      <c r="F1305" t="s">
        <v>21</v>
      </c>
      <c r="G1305" s="23">
        <v>0.34</v>
      </c>
      <c r="H1305" t="s">
        <v>42</v>
      </c>
      <c r="I1305" t="s">
        <v>62</v>
      </c>
      <c r="J1305" t="s">
        <v>58</v>
      </c>
      <c r="K1305" t="s">
        <v>49</v>
      </c>
      <c r="L1305" t="s">
        <v>26</v>
      </c>
      <c r="M1305" t="s">
        <v>124</v>
      </c>
      <c r="N1305" t="s">
        <v>28</v>
      </c>
      <c r="O1305">
        <v>0</v>
      </c>
      <c r="P1305">
        <v>25064</v>
      </c>
      <c r="Q1305">
        <f t="shared" si="23"/>
        <v>2.5063999999999999E-2</v>
      </c>
      <c r="R1305">
        <v>43252</v>
      </c>
      <c r="S1305" t="s">
        <v>122</v>
      </c>
    </row>
    <row r="1306" spans="1:19">
      <c r="A1306">
        <v>60000037</v>
      </c>
      <c r="B1306">
        <v>43</v>
      </c>
      <c r="C1306" t="s">
        <v>18</v>
      </c>
      <c r="D1306" t="s">
        <v>40</v>
      </c>
      <c r="E1306" t="s">
        <v>75</v>
      </c>
      <c r="F1306" t="s">
        <v>21</v>
      </c>
      <c r="G1306" s="23">
        <v>0.27</v>
      </c>
      <c r="H1306" t="s">
        <v>53</v>
      </c>
      <c r="I1306" t="s">
        <v>83</v>
      </c>
      <c r="J1306" t="s">
        <v>24</v>
      </c>
      <c r="K1306" t="s">
        <v>110</v>
      </c>
      <c r="L1306" t="s">
        <v>26</v>
      </c>
      <c r="M1306" t="s">
        <v>124</v>
      </c>
      <c r="N1306" t="s">
        <v>28</v>
      </c>
      <c r="O1306">
        <v>0</v>
      </c>
      <c r="P1306">
        <v>66485</v>
      </c>
      <c r="Q1306">
        <f t="shared" si="23"/>
        <v>6.6485000000000002E-2</v>
      </c>
      <c r="R1306">
        <v>43252</v>
      </c>
      <c r="S1306" t="s">
        <v>122</v>
      </c>
    </row>
    <row r="1307" spans="1:19">
      <c r="A1307">
        <v>60000038</v>
      </c>
      <c r="B1307">
        <v>26</v>
      </c>
      <c r="C1307" t="s">
        <v>33</v>
      </c>
      <c r="D1307" t="s">
        <v>40</v>
      </c>
      <c r="E1307" t="s">
        <v>67</v>
      </c>
      <c r="F1307" t="s">
        <v>21</v>
      </c>
      <c r="G1307" s="23">
        <v>0.17</v>
      </c>
      <c r="H1307" t="s">
        <v>22</v>
      </c>
      <c r="I1307" t="s">
        <v>73</v>
      </c>
      <c r="J1307" t="s">
        <v>69</v>
      </c>
      <c r="K1307" t="s">
        <v>81</v>
      </c>
      <c r="L1307" t="s">
        <v>26</v>
      </c>
      <c r="M1307" t="s">
        <v>124</v>
      </c>
      <c r="N1307" t="s">
        <v>28</v>
      </c>
      <c r="O1307">
        <v>0</v>
      </c>
      <c r="P1307">
        <v>32920</v>
      </c>
      <c r="Q1307">
        <f t="shared" si="23"/>
        <v>3.2919999999999998E-2</v>
      </c>
      <c r="R1307">
        <v>43252</v>
      </c>
      <c r="S1307" t="s">
        <v>122</v>
      </c>
    </row>
    <row r="1308" spans="1:19">
      <c r="A1308">
        <v>60000039</v>
      </c>
      <c r="B1308">
        <v>23</v>
      </c>
      <c r="C1308" t="s">
        <v>18</v>
      </c>
      <c r="D1308" t="s">
        <v>19</v>
      </c>
      <c r="E1308" t="s">
        <v>56</v>
      </c>
      <c r="F1308" t="s">
        <v>21</v>
      </c>
      <c r="G1308" s="23">
        <v>0.1</v>
      </c>
      <c r="H1308" t="s">
        <v>36</v>
      </c>
      <c r="I1308" t="s">
        <v>76</v>
      </c>
      <c r="J1308" t="s">
        <v>88</v>
      </c>
      <c r="K1308" t="s">
        <v>77</v>
      </c>
      <c r="L1308" t="s">
        <v>26</v>
      </c>
      <c r="M1308" t="s">
        <v>124</v>
      </c>
      <c r="N1308" t="s">
        <v>28</v>
      </c>
      <c r="O1308">
        <v>0</v>
      </c>
      <c r="P1308">
        <v>60181</v>
      </c>
      <c r="Q1308">
        <f t="shared" si="23"/>
        <v>6.0180999999999998E-2</v>
      </c>
      <c r="R1308">
        <v>43252</v>
      </c>
      <c r="S1308" t="s">
        <v>122</v>
      </c>
    </row>
    <row r="1309" spans="1:19">
      <c r="A1309">
        <v>60000040</v>
      </c>
      <c r="B1309">
        <v>47</v>
      </c>
      <c r="C1309" t="s">
        <v>33</v>
      </c>
      <c r="D1309" t="s">
        <v>19</v>
      </c>
      <c r="E1309" t="s">
        <v>64</v>
      </c>
      <c r="F1309" t="s">
        <v>21</v>
      </c>
      <c r="G1309" s="23">
        <v>0.28000000000000003</v>
      </c>
      <c r="H1309" t="s">
        <v>53</v>
      </c>
      <c r="I1309" t="s">
        <v>45</v>
      </c>
      <c r="J1309" t="s">
        <v>58</v>
      </c>
      <c r="K1309" t="s">
        <v>49</v>
      </c>
      <c r="L1309" t="s">
        <v>26</v>
      </c>
      <c r="M1309" t="s">
        <v>124</v>
      </c>
      <c r="N1309" t="s">
        <v>28</v>
      </c>
      <c r="O1309">
        <v>7</v>
      </c>
      <c r="P1309">
        <v>64200</v>
      </c>
      <c r="Q1309">
        <f t="shared" si="23"/>
        <v>6.4199999999999993E-2</v>
      </c>
      <c r="R1309">
        <v>43252</v>
      </c>
      <c r="S1309" t="s">
        <v>122</v>
      </c>
    </row>
    <row r="1310" spans="1:19">
      <c r="A1310">
        <v>60000041</v>
      </c>
      <c r="B1310">
        <v>54</v>
      </c>
      <c r="C1310" t="s">
        <v>33</v>
      </c>
      <c r="D1310" t="s">
        <v>19</v>
      </c>
      <c r="E1310" t="s">
        <v>44</v>
      </c>
      <c r="F1310" t="s">
        <v>21</v>
      </c>
      <c r="G1310" s="23">
        <v>0.32</v>
      </c>
      <c r="H1310" t="s">
        <v>42</v>
      </c>
      <c r="I1310" t="s">
        <v>37</v>
      </c>
      <c r="J1310" t="s">
        <v>74</v>
      </c>
      <c r="K1310" t="s">
        <v>81</v>
      </c>
      <c r="L1310" t="s">
        <v>26</v>
      </c>
      <c r="M1310" t="s">
        <v>124</v>
      </c>
      <c r="N1310" t="s">
        <v>28</v>
      </c>
      <c r="O1310">
        <v>0</v>
      </c>
      <c r="P1310">
        <v>27376</v>
      </c>
      <c r="Q1310">
        <f t="shared" si="23"/>
        <v>2.7376000000000001E-2</v>
      </c>
      <c r="R1310">
        <v>43252</v>
      </c>
      <c r="S1310" t="s">
        <v>122</v>
      </c>
    </row>
    <row r="1311" spans="1:19">
      <c r="A1311">
        <v>60000042</v>
      </c>
      <c r="B1311">
        <v>47</v>
      </c>
      <c r="C1311" t="s">
        <v>18</v>
      </c>
      <c r="D1311" t="s">
        <v>40</v>
      </c>
      <c r="E1311" t="s">
        <v>44</v>
      </c>
      <c r="F1311" t="s">
        <v>21</v>
      </c>
      <c r="G1311" s="23">
        <v>0.36</v>
      </c>
      <c r="H1311" t="s">
        <v>42</v>
      </c>
      <c r="I1311" t="s">
        <v>68</v>
      </c>
      <c r="J1311" t="s">
        <v>38</v>
      </c>
      <c r="K1311" t="s">
        <v>111</v>
      </c>
      <c r="L1311" t="s">
        <v>26</v>
      </c>
      <c r="M1311" t="s">
        <v>124</v>
      </c>
      <c r="N1311" t="s">
        <v>28</v>
      </c>
      <c r="O1311">
        <v>6</v>
      </c>
      <c r="P1311">
        <v>73100</v>
      </c>
      <c r="Q1311">
        <f t="shared" si="23"/>
        <v>7.3099999999999998E-2</v>
      </c>
      <c r="R1311">
        <v>43252</v>
      </c>
      <c r="S1311" t="s">
        <v>122</v>
      </c>
    </row>
    <row r="1312" spans="1:19">
      <c r="A1312">
        <v>60000043</v>
      </c>
      <c r="B1312">
        <v>37</v>
      </c>
      <c r="C1312" t="s">
        <v>33</v>
      </c>
      <c r="D1312" t="s">
        <v>40</v>
      </c>
      <c r="E1312" t="s">
        <v>20</v>
      </c>
      <c r="F1312" t="s">
        <v>21</v>
      </c>
      <c r="G1312" s="23">
        <v>0.33</v>
      </c>
      <c r="H1312" t="s">
        <v>42</v>
      </c>
      <c r="I1312" t="s">
        <v>23</v>
      </c>
      <c r="J1312" t="s">
        <v>88</v>
      </c>
      <c r="K1312" t="s">
        <v>110</v>
      </c>
      <c r="L1312" t="s">
        <v>26</v>
      </c>
      <c r="M1312" t="s">
        <v>124</v>
      </c>
      <c r="N1312" t="s">
        <v>28</v>
      </c>
      <c r="O1312">
        <v>0</v>
      </c>
      <c r="P1312">
        <v>51512</v>
      </c>
      <c r="Q1312">
        <f t="shared" si="23"/>
        <v>5.1512000000000002E-2</v>
      </c>
      <c r="R1312">
        <v>43252</v>
      </c>
      <c r="S1312" t="s">
        <v>122</v>
      </c>
    </row>
    <row r="1313" spans="1:19">
      <c r="A1313">
        <v>60000044</v>
      </c>
      <c r="B1313">
        <v>65</v>
      </c>
      <c r="C1313" t="s">
        <v>33</v>
      </c>
      <c r="D1313" t="s">
        <v>40</v>
      </c>
      <c r="E1313" t="s">
        <v>34</v>
      </c>
      <c r="F1313" t="s">
        <v>21</v>
      </c>
      <c r="G1313" s="23">
        <v>0.24</v>
      </c>
      <c r="H1313" t="s">
        <v>29</v>
      </c>
      <c r="I1313" t="s">
        <v>49</v>
      </c>
      <c r="J1313" t="s">
        <v>46</v>
      </c>
      <c r="K1313" t="s">
        <v>43</v>
      </c>
      <c r="L1313" t="s">
        <v>26</v>
      </c>
      <c r="M1313" t="s">
        <v>124</v>
      </c>
      <c r="N1313" t="s">
        <v>28</v>
      </c>
      <c r="O1313">
        <v>4</v>
      </c>
      <c r="P1313">
        <v>32853</v>
      </c>
      <c r="Q1313">
        <f t="shared" si="23"/>
        <v>3.2853E-2</v>
      </c>
      <c r="R1313">
        <v>43252</v>
      </c>
      <c r="S1313" t="s">
        <v>122</v>
      </c>
    </row>
    <row r="1314" spans="1:19">
      <c r="A1314">
        <v>60000045</v>
      </c>
      <c r="B1314">
        <v>42</v>
      </c>
      <c r="C1314" t="s">
        <v>33</v>
      </c>
      <c r="D1314" t="s">
        <v>19</v>
      </c>
      <c r="E1314" t="s">
        <v>85</v>
      </c>
      <c r="F1314" t="s">
        <v>21</v>
      </c>
      <c r="G1314" s="23">
        <v>0.34</v>
      </c>
      <c r="H1314" t="s">
        <v>42</v>
      </c>
      <c r="I1314" t="s">
        <v>80</v>
      </c>
      <c r="J1314" t="s">
        <v>58</v>
      </c>
      <c r="K1314" t="s">
        <v>102</v>
      </c>
      <c r="L1314" t="s">
        <v>26</v>
      </c>
      <c r="M1314" t="s">
        <v>124</v>
      </c>
      <c r="N1314" t="s">
        <v>28</v>
      </c>
      <c r="O1314">
        <v>0</v>
      </c>
      <c r="P1314">
        <v>33519</v>
      </c>
      <c r="Q1314">
        <f t="shared" si="23"/>
        <v>3.3519E-2</v>
      </c>
      <c r="R1314">
        <v>43252</v>
      </c>
      <c r="S1314" t="s">
        <v>122</v>
      </c>
    </row>
    <row r="1315" spans="1:19">
      <c r="A1315">
        <v>60000046</v>
      </c>
      <c r="B1315">
        <v>29</v>
      </c>
      <c r="C1315" t="s">
        <v>33</v>
      </c>
      <c r="D1315" t="s">
        <v>40</v>
      </c>
      <c r="E1315" t="s">
        <v>67</v>
      </c>
      <c r="F1315" t="s">
        <v>21</v>
      </c>
      <c r="G1315" s="23">
        <v>0.23</v>
      </c>
      <c r="H1315" t="s">
        <v>29</v>
      </c>
      <c r="I1315" t="s">
        <v>86</v>
      </c>
      <c r="J1315" t="s">
        <v>38</v>
      </c>
      <c r="K1315" t="s">
        <v>25</v>
      </c>
      <c r="L1315" t="s">
        <v>26</v>
      </c>
      <c r="M1315" t="s">
        <v>124</v>
      </c>
      <c r="N1315" t="s">
        <v>28</v>
      </c>
      <c r="O1315">
        <v>0</v>
      </c>
      <c r="P1315">
        <v>47392</v>
      </c>
      <c r="Q1315">
        <f t="shared" si="23"/>
        <v>4.7391999999999997E-2</v>
      </c>
      <c r="R1315">
        <v>43252</v>
      </c>
      <c r="S1315" t="s">
        <v>122</v>
      </c>
    </row>
    <row r="1316" spans="1:19">
      <c r="A1316">
        <v>60000047</v>
      </c>
      <c r="B1316">
        <v>21</v>
      </c>
      <c r="C1316" t="s">
        <v>18</v>
      </c>
      <c r="D1316" t="s">
        <v>19</v>
      </c>
      <c r="E1316" t="s">
        <v>20</v>
      </c>
      <c r="F1316" t="s">
        <v>21</v>
      </c>
      <c r="G1316" s="23">
        <v>0.16</v>
      </c>
      <c r="H1316" t="s">
        <v>22</v>
      </c>
      <c r="I1316" t="s">
        <v>62</v>
      </c>
      <c r="J1316" t="s">
        <v>46</v>
      </c>
      <c r="K1316" t="s">
        <v>93</v>
      </c>
      <c r="L1316" t="s">
        <v>26</v>
      </c>
      <c r="M1316" t="s">
        <v>124</v>
      </c>
      <c r="N1316" t="s">
        <v>28</v>
      </c>
      <c r="O1316">
        <v>7</v>
      </c>
      <c r="P1316">
        <v>81471</v>
      </c>
      <c r="Q1316">
        <f t="shared" si="23"/>
        <v>8.1471000000000002E-2</v>
      </c>
      <c r="R1316">
        <v>43252</v>
      </c>
      <c r="S1316" t="s">
        <v>122</v>
      </c>
    </row>
    <row r="1317" spans="1:19">
      <c r="A1317">
        <v>60000048</v>
      </c>
      <c r="B1317">
        <v>65</v>
      </c>
      <c r="C1317" t="s">
        <v>18</v>
      </c>
      <c r="D1317" t="s">
        <v>19</v>
      </c>
      <c r="E1317" t="s">
        <v>85</v>
      </c>
      <c r="F1317" t="s">
        <v>21</v>
      </c>
      <c r="G1317" s="23">
        <v>0.36</v>
      </c>
      <c r="H1317" t="s">
        <v>42</v>
      </c>
      <c r="I1317" t="s">
        <v>65</v>
      </c>
      <c r="J1317" t="s">
        <v>24</v>
      </c>
      <c r="K1317" t="s">
        <v>102</v>
      </c>
      <c r="L1317" t="s">
        <v>26</v>
      </c>
      <c r="M1317" t="s">
        <v>124</v>
      </c>
      <c r="N1317" t="s">
        <v>28</v>
      </c>
      <c r="O1317">
        <v>4</v>
      </c>
      <c r="P1317">
        <v>46613</v>
      </c>
      <c r="Q1317">
        <f t="shared" si="23"/>
        <v>4.6613000000000002E-2</v>
      </c>
      <c r="R1317">
        <v>43252</v>
      </c>
      <c r="S1317" t="s">
        <v>122</v>
      </c>
    </row>
    <row r="1318" spans="1:19">
      <c r="A1318">
        <v>60000049</v>
      </c>
      <c r="B1318">
        <v>47</v>
      </c>
      <c r="C1318" t="s">
        <v>33</v>
      </c>
      <c r="D1318" t="s">
        <v>40</v>
      </c>
      <c r="E1318" t="s">
        <v>52</v>
      </c>
      <c r="F1318" t="s">
        <v>21</v>
      </c>
      <c r="G1318" s="23">
        <v>0.12</v>
      </c>
      <c r="H1318" t="s">
        <v>22</v>
      </c>
      <c r="I1318" t="s">
        <v>68</v>
      </c>
      <c r="J1318" t="s">
        <v>74</v>
      </c>
      <c r="K1318" t="s">
        <v>87</v>
      </c>
      <c r="L1318" t="s">
        <v>26</v>
      </c>
      <c r="M1318" t="s">
        <v>124</v>
      </c>
      <c r="N1318" t="s">
        <v>28</v>
      </c>
      <c r="O1318">
        <v>0</v>
      </c>
      <c r="P1318">
        <v>75842</v>
      </c>
      <c r="Q1318">
        <f t="shared" si="23"/>
        <v>7.5842000000000007E-2</v>
      </c>
      <c r="R1318">
        <v>43252</v>
      </c>
      <c r="S1318" t="s">
        <v>122</v>
      </c>
    </row>
    <row r="1319" spans="1:19">
      <c r="A1319">
        <v>60000050</v>
      </c>
      <c r="B1319">
        <v>47</v>
      </c>
      <c r="C1319" t="s">
        <v>18</v>
      </c>
      <c r="D1319" t="s">
        <v>40</v>
      </c>
      <c r="E1319" t="s">
        <v>52</v>
      </c>
      <c r="F1319" t="s">
        <v>21</v>
      </c>
      <c r="G1319" s="23">
        <v>0.18</v>
      </c>
      <c r="H1319" t="s">
        <v>22</v>
      </c>
      <c r="I1319" t="s">
        <v>65</v>
      </c>
      <c r="J1319" t="s">
        <v>31</v>
      </c>
      <c r="K1319" t="s">
        <v>94</v>
      </c>
      <c r="L1319" t="s">
        <v>26</v>
      </c>
      <c r="M1319" t="s">
        <v>124</v>
      </c>
      <c r="N1319" t="s">
        <v>28</v>
      </c>
      <c r="O1319">
        <v>0</v>
      </c>
      <c r="P1319">
        <v>77615</v>
      </c>
      <c r="Q1319">
        <f t="shared" si="23"/>
        <v>7.7615000000000003E-2</v>
      </c>
      <c r="R1319">
        <v>43252</v>
      </c>
      <c r="S1319" t="s">
        <v>122</v>
      </c>
    </row>
    <row r="1320" spans="1:19">
      <c r="A1320">
        <v>60000051</v>
      </c>
      <c r="B1320">
        <v>48</v>
      </c>
      <c r="C1320" t="s">
        <v>33</v>
      </c>
      <c r="D1320" t="s">
        <v>19</v>
      </c>
      <c r="E1320" t="s">
        <v>67</v>
      </c>
      <c r="F1320" t="s">
        <v>21</v>
      </c>
      <c r="G1320" s="23">
        <v>0.31</v>
      </c>
      <c r="H1320" t="s">
        <v>53</v>
      </c>
      <c r="I1320" t="s">
        <v>45</v>
      </c>
      <c r="J1320" t="s">
        <v>78</v>
      </c>
      <c r="K1320" t="s">
        <v>62</v>
      </c>
      <c r="L1320" t="s">
        <v>26</v>
      </c>
      <c r="M1320" t="s">
        <v>124</v>
      </c>
      <c r="N1320" t="s">
        <v>28</v>
      </c>
      <c r="O1320">
        <v>0</v>
      </c>
      <c r="P1320">
        <v>46121</v>
      </c>
      <c r="Q1320">
        <f t="shared" si="23"/>
        <v>4.6121000000000002E-2</v>
      </c>
      <c r="R1320">
        <v>43252</v>
      </c>
      <c r="S1320" t="s">
        <v>122</v>
      </c>
    </row>
    <row r="1321" spans="1:19">
      <c r="A1321">
        <v>60000052</v>
      </c>
      <c r="B1321">
        <v>24</v>
      </c>
      <c r="C1321" t="s">
        <v>18</v>
      </c>
      <c r="D1321" t="s">
        <v>19</v>
      </c>
      <c r="E1321" t="s">
        <v>75</v>
      </c>
      <c r="F1321" t="s">
        <v>21</v>
      </c>
      <c r="G1321" s="23">
        <v>0.25</v>
      </c>
      <c r="H1321" t="s">
        <v>53</v>
      </c>
      <c r="I1321" t="s">
        <v>45</v>
      </c>
      <c r="J1321" t="s">
        <v>91</v>
      </c>
      <c r="K1321" t="s">
        <v>109</v>
      </c>
      <c r="L1321" t="s">
        <v>26</v>
      </c>
      <c r="M1321" t="s">
        <v>124</v>
      </c>
      <c r="N1321" t="s">
        <v>28</v>
      </c>
      <c r="O1321">
        <v>6</v>
      </c>
      <c r="P1321">
        <v>39270</v>
      </c>
      <c r="Q1321">
        <f t="shared" si="23"/>
        <v>3.9269999999999999E-2</v>
      </c>
      <c r="R1321">
        <v>43252</v>
      </c>
      <c r="S1321" t="s">
        <v>122</v>
      </c>
    </row>
    <row r="1322" spans="1:19">
      <c r="A1322">
        <v>60000053</v>
      </c>
      <c r="B1322">
        <v>61</v>
      </c>
      <c r="C1322" t="s">
        <v>18</v>
      </c>
      <c r="D1322" t="s">
        <v>19</v>
      </c>
      <c r="E1322" t="s">
        <v>56</v>
      </c>
      <c r="F1322" t="s">
        <v>21</v>
      </c>
      <c r="G1322" s="23">
        <v>0.1</v>
      </c>
      <c r="H1322" t="s">
        <v>36</v>
      </c>
      <c r="I1322" t="s">
        <v>65</v>
      </c>
      <c r="J1322" t="s">
        <v>61</v>
      </c>
      <c r="K1322" t="s">
        <v>39</v>
      </c>
      <c r="L1322" t="s">
        <v>26</v>
      </c>
      <c r="M1322" t="s">
        <v>124</v>
      </c>
      <c r="N1322" t="s">
        <v>28</v>
      </c>
      <c r="O1322">
        <v>5</v>
      </c>
      <c r="P1322">
        <v>77754</v>
      </c>
      <c r="Q1322">
        <f t="shared" si="23"/>
        <v>7.7754000000000004E-2</v>
      </c>
      <c r="R1322">
        <v>43252</v>
      </c>
      <c r="S1322" t="s">
        <v>122</v>
      </c>
    </row>
    <row r="1323" spans="1:19">
      <c r="A1323">
        <v>60000054</v>
      </c>
      <c r="B1323">
        <v>45</v>
      </c>
      <c r="C1323" t="s">
        <v>18</v>
      </c>
      <c r="D1323" t="s">
        <v>19</v>
      </c>
      <c r="E1323" t="s">
        <v>44</v>
      </c>
      <c r="F1323" t="s">
        <v>21</v>
      </c>
      <c r="G1323" s="23">
        <v>0.15</v>
      </c>
      <c r="H1323" t="s">
        <v>22</v>
      </c>
      <c r="I1323" t="s">
        <v>45</v>
      </c>
      <c r="J1323" t="s">
        <v>66</v>
      </c>
      <c r="K1323" t="s">
        <v>62</v>
      </c>
      <c r="L1323" t="s">
        <v>26</v>
      </c>
      <c r="M1323" t="s">
        <v>124</v>
      </c>
      <c r="N1323" t="s">
        <v>28</v>
      </c>
      <c r="O1323">
        <v>3</v>
      </c>
      <c r="P1323">
        <v>55314</v>
      </c>
      <c r="Q1323">
        <f t="shared" si="23"/>
        <v>5.5314000000000002E-2</v>
      </c>
      <c r="R1323">
        <v>43252</v>
      </c>
      <c r="S1323" t="s">
        <v>122</v>
      </c>
    </row>
    <row r="1324" spans="1:19">
      <c r="A1324">
        <v>60000055</v>
      </c>
      <c r="B1324">
        <v>60</v>
      </c>
      <c r="C1324" t="s">
        <v>18</v>
      </c>
      <c r="D1324" t="s">
        <v>40</v>
      </c>
      <c r="E1324" t="s">
        <v>44</v>
      </c>
      <c r="F1324" t="s">
        <v>21</v>
      </c>
      <c r="G1324" s="23">
        <v>0.28000000000000003</v>
      </c>
      <c r="H1324" t="s">
        <v>53</v>
      </c>
      <c r="I1324" t="s">
        <v>83</v>
      </c>
      <c r="J1324" t="s">
        <v>69</v>
      </c>
      <c r="K1324" t="s">
        <v>71</v>
      </c>
      <c r="L1324" t="s">
        <v>26</v>
      </c>
      <c r="M1324" t="s">
        <v>124</v>
      </c>
      <c r="N1324" t="s">
        <v>28</v>
      </c>
      <c r="O1324">
        <v>5</v>
      </c>
      <c r="P1324">
        <v>44686</v>
      </c>
      <c r="Q1324">
        <f t="shared" si="23"/>
        <v>4.4685999999999997E-2</v>
      </c>
      <c r="R1324">
        <v>43252</v>
      </c>
      <c r="S1324" t="s">
        <v>122</v>
      </c>
    </row>
    <row r="1325" spans="1:19">
      <c r="A1325">
        <v>60000056</v>
      </c>
      <c r="B1325">
        <v>27</v>
      </c>
      <c r="C1325" t="s">
        <v>33</v>
      </c>
      <c r="D1325" t="s">
        <v>19</v>
      </c>
      <c r="E1325" t="s">
        <v>85</v>
      </c>
      <c r="F1325" t="s">
        <v>21</v>
      </c>
      <c r="G1325" s="23">
        <v>0.16</v>
      </c>
      <c r="H1325" t="s">
        <v>22</v>
      </c>
      <c r="I1325" t="s">
        <v>45</v>
      </c>
      <c r="J1325" t="s">
        <v>46</v>
      </c>
      <c r="K1325" t="s">
        <v>49</v>
      </c>
      <c r="L1325" t="s">
        <v>26</v>
      </c>
      <c r="M1325" t="s">
        <v>124</v>
      </c>
      <c r="N1325" t="s">
        <v>28</v>
      </c>
      <c r="O1325">
        <v>0</v>
      </c>
      <c r="P1325">
        <v>79381</v>
      </c>
      <c r="Q1325">
        <f t="shared" si="23"/>
        <v>7.9380999999999993E-2</v>
      </c>
      <c r="R1325">
        <v>43252</v>
      </c>
      <c r="S1325" t="s">
        <v>122</v>
      </c>
    </row>
    <row r="1326" spans="1:19">
      <c r="A1326">
        <v>60000057</v>
      </c>
      <c r="B1326">
        <v>29</v>
      </c>
      <c r="C1326" t="s">
        <v>18</v>
      </c>
      <c r="D1326" t="s">
        <v>19</v>
      </c>
      <c r="E1326" t="s">
        <v>67</v>
      </c>
      <c r="F1326" t="s">
        <v>21</v>
      </c>
      <c r="G1326" s="23">
        <v>0.25</v>
      </c>
      <c r="H1326" t="s">
        <v>53</v>
      </c>
      <c r="I1326" t="s">
        <v>49</v>
      </c>
      <c r="J1326" t="s">
        <v>31</v>
      </c>
      <c r="K1326" t="s">
        <v>97</v>
      </c>
      <c r="L1326" t="s">
        <v>26</v>
      </c>
      <c r="M1326" t="s">
        <v>124</v>
      </c>
      <c r="N1326" t="s">
        <v>28</v>
      </c>
      <c r="O1326">
        <v>4</v>
      </c>
      <c r="P1326">
        <v>55151</v>
      </c>
      <c r="Q1326">
        <f t="shared" si="23"/>
        <v>5.5150999999999999E-2</v>
      </c>
      <c r="R1326">
        <v>43252</v>
      </c>
      <c r="S1326" t="s">
        <v>122</v>
      </c>
    </row>
    <row r="1327" spans="1:19">
      <c r="A1327">
        <v>60000058</v>
      </c>
      <c r="B1327">
        <v>59</v>
      </c>
      <c r="C1327" t="s">
        <v>18</v>
      </c>
      <c r="D1327" t="s">
        <v>40</v>
      </c>
      <c r="E1327" t="s">
        <v>85</v>
      </c>
      <c r="F1327" t="s">
        <v>21</v>
      </c>
      <c r="G1327" s="23">
        <v>0.27</v>
      </c>
      <c r="H1327" t="s">
        <v>53</v>
      </c>
      <c r="I1327" t="s">
        <v>83</v>
      </c>
      <c r="J1327" t="s">
        <v>88</v>
      </c>
      <c r="K1327" t="s">
        <v>96</v>
      </c>
      <c r="L1327" t="s">
        <v>26</v>
      </c>
      <c r="M1327" t="s">
        <v>124</v>
      </c>
      <c r="N1327" t="s">
        <v>28</v>
      </c>
      <c r="O1327">
        <v>1</v>
      </c>
      <c r="P1327">
        <v>65029</v>
      </c>
      <c r="Q1327">
        <f t="shared" si="23"/>
        <v>6.5029000000000003E-2</v>
      </c>
      <c r="R1327">
        <v>43252</v>
      </c>
      <c r="S1327" t="s">
        <v>122</v>
      </c>
    </row>
    <row r="1328" spans="1:19">
      <c r="A1328">
        <v>60000059</v>
      </c>
      <c r="B1328">
        <v>56</v>
      </c>
      <c r="C1328" t="s">
        <v>33</v>
      </c>
      <c r="D1328" t="s">
        <v>19</v>
      </c>
      <c r="E1328" t="s">
        <v>67</v>
      </c>
      <c r="F1328" t="s">
        <v>21</v>
      </c>
      <c r="G1328" s="23">
        <v>0.2</v>
      </c>
      <c r="H1328" t="s">
        <v>29</v>
      </c>
      <c r="I1328" t="s">
        <v>37</v>
      </c>
      <c r="J1328" t="s">
        <v>54</v>
      </c>
      <c r="K1328" t="s">
        <v>39</v>
      </c>
      <c r="L1328" t="s">
        <v>26</v>
      </c>
      <c r="M1328" t="s">
        <v>124</v>
      </c>
      <c r="N1328" t="s">
        <v>28</v>
      </c>
      <c r="O1328">
        <v>5</v>
      </c>
      <c r="P1328">
        <v>26628</v>
      </c>
      <c r="Q1328">
        <f t="shared" si="23"/>
        <v>2.6627999999999999E-2</v>
      </c>
      <c r="R1328">
        <v>43252</v>
      </c>
      <c r="S1328" t="s">
        <v>122</v>
      </c>
    </row>
    <row r="1329" spans="1:19">
      <c r="A1329">
        <v>60000060</v>
      </c>
      <c r="B1329">
        <v>42</v>
      </c>
      <c r="C1329" t="s">
        <v>18</v>
      </c>
      <c r="D1329" t="s">
        <v>19</v>
      </c>
      <c r="E1329" t="s">
        <v>56</v>
      </c>
      <c r="F1329" t="s">
        <v>21</v>
      </c>
      <c r="G1329" s="23">
        <v>0.19</v>
      </c>
      <c r="H1329" t="s">
        <v>29</v>
      </c>
      <c r="I1329" t="s">
        <v>60</v>
      </c>
      <c r="J1329" t="s">
        <v>61</v>
      </c>
      <c r="K1329" t="s">
        <v>47</v>
      </c>
      <c r="L1329" t="s">
        <v>26</v>
      </c>
      <c r="M1329" t="s">
        <v>124</v>
      </c>
      <c r="N1329" t="s">
        <v>28</v>
      </c>
      <c r="O1329">
        <v>0</v>
      </c>
      <c r="P1329">
        <v>49132</v>
      </c>
      <c r="Q1329">
        <f t="shared" si="23"/>
        <v>4.9132000000000002E-2</v>
      </c>
      <c r="R1329">
        <v>43252</v>
      </c>
      <c r="S1329" t="s">
        <v>122</v>
      </c>
    </row>
    <row r="1330" spans="1:19">
      <c r="A1330">
        <v>60000061</v>
      </c>
      <c r="B1330">
        <v>52</v>
      </c>
      <c r="C1330" t="s">
        <v>33</v>
      </c>
      <c r="D1330" t="s">
        <v>19</v>
      </c>
      <c r="E1330" t="s">
        <v>75</v>
      </c>
      <c r="F1330" t="s">
        <v>21</v>
      </c>
      <c r="G1330" s="23">
        <v>0.31</v>
      </c>
      <c r="H1330" t="s">
        <v>53</v>
      </c>
      <c r="I1330" t="s">
        <v>57</v>
      </c>
      <c r="J1330" t="s">
        <v>24</v>
      </c>
      <c r="K1330" t="s">
        <v>103</v>
      </c>
      <c r="L1330" t="s">
        <v>26</v>
      </c>
      <c r="M1330" t="s">
        <v>124</v>
      </c>
      <c r="N1330" t="s">
        <v>28</v>
      </c>
      <c r="O1330">
        <v>2</v>
      </c>
      <c r="P1330">
        <v>75641</v>
      </c>
      <c r="Q1330">
        <f t="shared" si="23"/>
        <v>7.5641E-2</v>
      </c>
      <c r="R1330">
        <v>43252</v>
      </c>
      <c r="S1330" t="s">
        <v>122</v>
      </c>
    </row>
    <row r="1331" spans="1:19">
      <c r="A1331">
        <v>60000062</v>
      </c>
      <c r="B1331">
        <v>44</v>
      </c>
      <c r="C1331" t="s">
        <v>33</v>
      </c>
      <c r="D1331" t="s">
        <v>40</v>
      </c>
      <c r="E1331" t="s">
        <v>56</v>
      </c>
      <c r="F1331" t="s">
        <v>21</v>
      </c>
      <c r="G1331" s="23">
        <v>0.18</v>
      </c>
      <c r="H1331" t="s">
        <v>22</v>
      </c>
      <c r="I1331" t="s">
        <v>45</v>
      </c>
      <c r="J1331" t="s">
        <v>69</v>
      </c>
      <c r="K1331" t="s">
        <v>71</v>
      </c>
      <c r="L1331" t="s">
        <v>26</v>
      </c>
      <c r="M1331" t="s">
        <v>124</v>
      </c>
      <c r="N1331" t="s">
        <v>28</v>
      </c>
      <c r="O1331">
        <v>0</v>
      </c>
      <c r="P1331">
        <v>46107</v>
      </c>
      <c r="Q1331">
        <f t="shared" si="23"/>
        <v>4.6107000000000002E-2</v>
      </c>
      <c r="R1331">
        <v>43252</v>
      </c>
      <c r="S1331" t="s">
        <v>122</v>
      </c>
    </row>
    <row r="1332" spans="1:19">
      <c r="A1332">
        <v>60000063</v>
      </c>
      <c r="B1332">
        <v>37</v>
      </c>
      <c r="C1332" t="s">
        <v>33</v>
      </c>
      <c r="D1332" t="s">
        <v>40</v>
      </c>
      <c r="E1332" t="s">
        <v>52</v>
      </c>
      <c r="F1332" t="s">
        <v>21</v>
      </c>
      <c r="G1332" s="23">
        <v>0.28999999999999998</v>
      </c>
      <c r="H1332" t="s">
        <v>53</v>
      </c>
      <c r="I1332" t="s">
        <v>60</v>
      </c>
      <c r="J1332" t="s">
        <v>38</v>
      </c>
      <c r="K1332" t="s">
        <v>98</v>
      </c>
      <c r="L1332" t="s">
        <v>26</v>
      </c>
      <c r="M1332" t="s">
        <v>124</v>
      </c>
      <c r="N1332" t="s">
        <v>28</v>
      </c>
      <c r="O1332">
        <v>5</v>
      </c>
      <c r="P1332">
        <v>54603</v>
      </c>
      <c r="Q1332">
        <f t="shared" si="23"/>
        <v>5.4602999999999999E-2</v>
      </c>
      <c r="R1332">
        <v>43252</v>
      </c>
      <c r="S1332" t="s">
        <v>122</v>
      </c>
    </row>
    <row r="1333" spans="1:19">
      <c r="A1333">
        <v>60000064</v>
      </c>
      <c r="B1333">
        <v>20</v>
      </c>
      <c r="C1333" t="s">
        <v>33</v>
      </c>
      <c r="D1333" t="s">
        <v>40</v>
      </c>
      <c r="E1333" t="s">
        <v>85</v>
      </c>
      <c r="F1333" t="s">
        <v>21</v>
      </c>
      <c r="G1333" s="23">
        <v>0.12</v>
      </c>
      <c r="H1333" t="s">
        <v>22</v>
      </c>
      <c r="I1333" t="s">
        <v>86</v>
      </c>
      <c r="J1333" t="s">
        <v>61</v>
      </c>
      <c r="K1333" t="s">
        <v>102</v>
      </c>
      <c r="L1333" t="s">
        <v>26</v>
      </c>
      <c r="M1333" t="s">
        <v>124</v>
      </c>
      <c r="N1333" t="s">
        <v>28</v>
      </c>
      <c r="O1333">
        <v>2</v>
      </c>
      <c r="P1333">
        <v>76546</v>
      </c>
      <c r="Q1333">
        <f t="shared" si="23"/>
        <v>7.6546000000000003E-2</v>
      </c>
      <c r="R1333">
        <v>43252</v>
      </c>
      <c r="S1333" t="s">
        <v>122</v>
      </c>
    </row>
    <row r="1334" spans="1:19">
      <c r="A1334">
        <v>60000065</v>
      </c>
      <c r="B1334">
        <v>20</v>
      </c>
      <c r="C1334" t="s">
        <v>18</v>
      </c>
      <c r="D1334" t="s">
        <v>19</v>
      </c>
      <c r="E1334" t="s">
        <v>56</v>
      </c>
      <c r="F1334" t="s">
        <v>21</v>
      </c>
      <c r="G1334" s="23">
        <v>0.14000000000000001</v>
      </c>
      <c r="H1334" t="s">
        <v>22</v>
      </c>
      <c r="I1334" t="s">
        <v>62</v>
      </c>
      <c r="J1334" t="s">
        <v>74</v>
      </c>
      <c r="K1334" t="s">
        <v>60</v>
      </c>
      <c r="L1334" t="s">
        <v>26</v>
      </c>
      <c r="M1334" t="s">
        <v>124</v>
      </c>
      <c r="N1334" t="s">
        <v>28</v>
      </c>
      <c r="O1334">
        <v>4</v>
      </c>
      <c r="P1334">
        <v>51693</v>
      </c>
      <c r="Q1334">
        <f t="shared" si="23"/>
        <v>5.1693000000000003E-2</v>
      </c>
      <c r="R1334">
        <v>43252</v>
      </c>
      <c r="S1334" t="s">
        <v>122</v>
      </c>
    </row>
    <row r="1335" spans="1:19">
      <c r="A1335">
        <v>60000066</v>
      </c>
      <c r="B1335">
        <v>43</v>
      </c>
      <c r="C1335" t="s">
        <v>18</v>
      </c>
      <c r="D1335" t="s">
        <v>19</v>
      </c>
      <c r="E1335" t="s">
        <v>75</v>
      </c>
      <c r="F1335" t="s">
        <v>21</v>
      </c>
      <c r="G1335" s="23">
        <v>0.21</v>
      </c>
      <c r="H1335" t="s">
        <v>29</v>
      </c>
      <c r="I1335" t="s">
        <v>83</v>
      </c>
      <c r="J1335" t="s">
        <v>54</v>
      </c>
      <c r="K1335" t="s">
        <v>77</v>
      </c>
      <c r="L1335" t="s">
        <v>26</v>
      </c>
      <c r="M1335" t="s">
        <v>124</v>
      </c>
      <c r="N1335" t="s">
        <v>28</v>
      </c>
      <c r="O1335">
        <v>2</v>
      </c>
      <c r="P1335">
        <v>74562</v>
      </c>
      <c r="Q1335">
        <f t="shared" si="23"/>
        <v>7.4562000000000003E-2</v>
      </c>
      <c r="R1335">
        <v>43252</v>
      </c>
      <c r="S1335" t="s">
        <v>122</v>
      </c>
    </row>
    <row r="1336" spans="1:19">
      <c r="A1336">
        <v>60000067</v>
      </c>
      <c r="B1336">
        <v>48</v>
      </c>
      <c r="C1336" t="s">
        <v>33</v>
      </c>
      <c r="D1336" t="s">
        <v>19</v>
      </c>
      <c r="E1336" t="s">
        <v>56</v>
      </c>
      <c r="F1336" t="s">
        <v>21</v>
      </c>
      <c r="G1336" s="23">
        <v>0.15</v>
      </c>
      <c r="H1336" t="s">
        <v>22</v>
      </c>
      <c r="I1336" t="s">
        <v>70</v>
      </c>
      <c r="J1336" t="s">
        <v>78</v>
      </c>
      <c r="K1336" t="s">
        <v>118</v>
      </c>
      <c r="L1336" t="s">
        <v>26</v>
      </c>
      <c r="M1336" t="s">
        <v>124</v>
      </c>
      <c r="N1336" t="s">
        <v>28</v>
      </c>
      <c r="O1336">
        <v>0</v>
      </c>
      <c r="P1336">
        <v>23033</v>
      </c>
      <c r="Q1336">
        <f t="shared" si="23"/>
        <v>2.3033000000000001E-2</v>
      </c>
      <c r="R1336">
        <v>43252</v>
      </c>
      <c r="S1336" t="s">
        <v>122</v>
      </c>
    </row>
    <row r="1337" spans="1:19">
      <c r="A1337">
        <v>60000068</v>
      </c>
      <c r="B1337">
        <v>57</v>
      </c>
      <c r="C1337" t="s">
        <v>33</v>
      </c>
      <c r="D1337" t="s">
        <v>40</v>
      </c>
      <c r="E1337" t="s">
        <v>67</v>
      </c>
      <c r="F1337" t="s">
        <v>21</v>
      </c>
      <c r="G1337" s="23">
        <v>0.32</v>
      </c>
      <c r="H1337" t="s">
        <v>42</v>
      </c>
      <c r="I1337" t="s">
        <v>60</v>
      </c>
      <c r="J1337" t="s">
        <v>38</v>
      </c>
      <c r="K1337" t="s">
        <v>55</v>
      </c>
      <c r="L1337" t="s">
        <v>26</v>
      </c>
      <c r="M1337" t="s">
        <v>124</v>
      </c>
      <c r="N1337" t="s">
        <v>28</v>
      </c>
      <c r="O1337">
        <v>7</v>
      </c>
      <c r="P1337">
        <v>49487</v>
      </c>
      <c r="Q1337">
        <f t="shared" si="23"/>
        <v>4.9487000000000003E-2</v>
      </c>
      <c r="R1337">
        <v>43252</v>
      </c>
      <c r="S1337" t="s">
        <v>122</v>
      </c>
    </row>
    <row r="1338" spans="1:19">
      <c r="A1338">
        <v>60000069</v>
      </c>
      <c r="B1338">
        <v>20</v>
      </c>
      <c r="C1338" t="s">
        <v>18</v>
      </c>
      <c r="D1338" t="s">
        <v>40</v>
      </c>
      <c r="E1338" t="s">
        <v>41</v>
      </c>
      <c r="F1338" t="s">
        <v>21</v>
      </c>
      <c r="G1338" s="23">
        <v>0.13</v>
      </c>
      <c r="H1338" t="s">
        <v>22</v>
      </c>
      <c r="I1338" t="s">
        <v>37</v>
      </c>
      <c r="J1338" t="s">
        <v>66</v>
      </c>
      <c r="K1338" t="s">
        <v>116</v>
      </c>
      <c r="L1338" t="s">
        <v>26</v>
      </c>
      <c r="M1338" t="s">
        <v>124</v>
      </c>
      <c r="N1338" t="s">
        <v>28</v>
      </c>
      <c r="O1338">
        <v>6</v>
      </c>
      <c r="P1338">
        <v>81554</v>
      </c>
      <c r="Q1338">
        <f t="shared" si="23"/>
        <v>8.1554000000000001E-2</v>
      </c>
      <c r="R1338">
        <v>43252</v>
      </c>
      <c r="S1338" t="s">
        <v>122</v>
      </c>
    </row>
    <row r="1339" spans="1:19">
      <c r="A1339">
        <v>60000070</v>
      </c>
      <c r="B1339">
        <v>63</v>
      </c>
      <c r="C1339" t="s">
        <v>33</v>
      </c>
      <c r="D1339" t="s">
        <v>40</v>
      </c>
      <c r="E1339" t="s">
        <v>41</v>
      </c>
      <c r="F1339" t="s">
        <v>21</v>
      </c>
      <c r="G1339" s="23">
        <v>0.23</v>
      </c>
      <c r="H1339" t="s">
        <v>29</v>
      </c>
      <c r="I1339" t="s">
        <v>80</v>
      </c>
      <c r="J1339" t="s">
        <v>58</v>
      </c>
      <c r="K1339" t="s">
        <v>79</v>
      </c>
      <c r="L1339" t="s">
        <v>26</v>
      </c>
      <c r="M1339" t="s">
        <v>124</v>
      </c>
      <c r="N1339" t="s">
        <v>28</v>
      </c>
      <c r="O1339">
        <v>0</v>
      </c>
      <c r="P1339">
        <v>50937</v>
      </c>
      <c r="Q1339">
        <f t="shared" si="23"/>
        <v>5.0937000000000003E-2</v>
      </c>
      <c r="R1339">
        <v>43252</v>
      </c>
      <c r="S1339" t="s">
        <v>122</v>
      </c>
    </row>
    <row r="1340" spans="1:19">
      <c r="A1340">
        <v>60000071</v>
      </c>
      <c r="B1340">
        <v>54</v>
      </c>
      <c r="C1340" t="s">
        <v>18</v>
      </c>
      <c r="D1340" t="s">
        <v>19</v>
      </c>
      <c r="E1340" t="s">
        <v>72</v>
      </c>
      <c r="F1340" t="s">
        <v>21</v>
      </c>
      <c r="G1340" s="23">
        <v>0.38</v>
      </c>
      <c r="H1340" t="s">
        <v>42</v>
      </c>
      <c r="I1340" t="s">
        <v>23</v>
      </c>
      <c r="J1340" t="s">
        <v>74</v>
      </c>
      <c r="K1340" t="s">
        <v>111</v>
      </c>
      <c r="L1340" t="s">
        <v>26</v>
      </c>
      <c r="M1340" t="s">
        <v>124</v>
      </c>
      <c r="N1340" t="s">
        <v>28</v>
      </c>
      <c r="O1340">
        <v>0</v>
      </c>
      <c r="P1340">
        <v>50926</v>
      </c>
      <c r="Q1340">
        <f t="shared" si="23"/>
        <v>5.0925999999999999E-2</v>
      </c>
      <c r="R1340">
        <v>43252</v>
      </c>
      <c r="S1340" t="s">
        <v>122</v>
      </c>
    </row>
    <row r="1341" spans="1:19">
      <c r="A1341">
        <v>60000072</v>
      </c>
      <c r="B1341">
        <v>34</v>
      </c>
      <c r="C1341" t="s">
        <v>18</v>
      </c>
      <c r="D1341" t="s">
        <v>19</v>
      </c>
      <c r="E1341" t="s">
        <v>56</v>
      </c>
      <c r="F1341" t="s">
        <v>21</v>
      </c>
      <c r="G1341" s="23">
        <v>0.2</v>
      </c>
      <c r="H1341" t="s">
        <v>29</v>
      </c>
      <c r="I1341" t="s">
        <v>30</v>
      </c>
      <c r="J1341" t="s">
        <v>78</v>
      </c>
      <c r="K1341" t="s">
        <v>71</v>
      </c>
      <c r="L1341" t="s">
        <v>26</v>
      </c>
      <c r="M1341" t="s">
        <v>124</v>
      </c>
      <c r="N1341" t="s">
        <v>28</v>
      </c>
      <c r="O1341">
        <v>0</v>
      </c>
      <c r="P1341">
        <v>65453</v>
      </c>
      <c r="Q1341">
        <f t="shared" si="23"/>
        <v>6.5452999999999997E-2</v>
      </c>
      <c r="R1341">
        <v>43252</v>
      </c>
      <c r="S1341" t="s">
        <v>122</v>
      </c>
    </row>
    <row r="1342" spans="1:19">
      <c r="A1342">
        <v>60000073</v>
      </c>
      <c r="B1342">
        <v>26</v>
      </c>
      <c r="C1342" t="s">
        <v>33</v>
      </c>
      <c r="D1342" t="s">
        <v>40</v>
      </c>
      <c r="E1342" t="s">
        <v>52</v>
      </c>
      <c r="F1342" t="s">
        <v>21</v>
      </c>
      <c r="G1342" s="23">
        <v>0.15</v>
      </c>
      <c r="H1342" t="s">
        <v>22</v>
      </c>
      <c r="I1342" t="s">
        <v>80</v>
      </c>
      <c r="J1342" t="s">
        <v>78</v>
      </c>
      <c r="K1342" t="s">
        <v>109</v>
      </c>
      <c r="L1342" t="s">
        <v>26</v>
      </c>
      <c r="M1342" t="s">
        <v>124</v>
      </c>
      <c r="N1342" t="s">
        <v>28</v>
      </c>
      <c r="O1342">
        <v>4</v>
      </c>
      <c r="P1342">
        <v>60126</v>
      </c>
      <c r="Q1342">
        <f t="shared" si="23"/>
        <v>6.0125999999999999E-2</v>
      </c>
      <c r="R1342">
        <v>43252</v>
      </c>
      <c r="S1342" t="s">
        <v>122</v>
      </c>
    </row>
    <row r="1343" spans="1:19">
      <c r="A1343">
        <v>60000074</v>
      </c>
      <c r="B1343">
        <v>40</v>
      </c>
      <c r="C1343" t="s">
        <v>18</v>
      </c>
      <c r="D1343" t="s">
        <v>19</v>
      </c>
      <c r="E1343" t="s">
        <v>64</v>
      </c>
      <c r="F1343" t="s">
        <v>21</v>
      </c>
      <c r="G1343" s="23">
        <v>0.13</v>
      </c>
      <c r="H1343" t="s">
        <v>22</v>
      </c>
      <c r="I1343" t="s">
        <v>80</v>
      </c>
      <c r="J1343" t="s">
        <v>31</v>
      </c>
      <c r="K1343" t="s">
        <v>94</v>
      </c>
      <c r="L1343" t="s">
        <v>26</v>
      </c>
      <c r="M1343" t="s">
        <v>124</v>
      </c>
      <c r="N1343" t="s">
        <v>28</v>
      </c>
      <c r="O1343">
        <v>0</v>
      </c>
      <c r="P1343">
        <v>23711</v>
      </c>
      <c r="Q1343">
        <f t="shared" si="23"/>
        <v>2.3710999999999999E-2</v>
      </c>
      <c r="R1343">
        <v>43252</v>
      </c>
      <c r="S1343" t="s">
        <v>122</v>
      </c>
    </row>
    <row r="1344" spans="1:19">
      <c r="A1344">
        <v>60000075</v>
      </c>
      <c r="B1344">
        <v>57</v>
      </c>
      <c r="C1344" t="s">
        <v>33</v>
      </c>
      <c r="D1344" t="s">
        <v>19</v>
      </c>
      <c r="E1344" t="s">
        <v>72</v>
      </c>
      <c r="F1344" t="s">
        <v>21</v>
      </c>
      <c r="G1344" s="23">
        <v>0.33</v>
      </c>
      <c r="H1344" t="s">
        <v>42</v>
      </c>
      <c r="I1344" t="s">
        <v>62</v>
      </c>
      <c r="J1344" t="s">
        <v>66</v>
      </c>
      <c r="K1344" t="s">
        <v>118</v>
      </c>
      <c r="L1344" t="s">
        <v>26</v>
      </c>
      <c r="M1344" t="s">
        <v>124</v>
      </c>
      <c r="N1344" t="s">
        <v>28</v>
      </c>
      <c r="O1344">
        <v>0</v>
      </c>
      <c r="P1344">
        <v>77308</v>
      </c>
      <c r="Q1344">
        <f t="shared" si="23"/>
        <v>7.7308000000000002E-2</v>
      </c>
      <c r="R1344">
        <v>43252</v>
      </c>
      <c r="S1344" t="s">
        <v>122</v>
      </c>
    </row>
    <row r="1345" spans="1:19">
      <c r="A1345">
        <v>60000076</v>
      </c>
      <c r="B1345">
        <v>21</v>
      </c>
      <c r="C1345" t="s">
        <v>18</v>
      </c>
      <c r="D1345" t="s">
        <v>40</v>
      </c>
      <c r="E1345" t="s">
        <v>41</v>
      </c>
      <c r="F1345" t="s">
        <v>21</v>
      </c>
      <c r="G1345" s="23">
        <v>0.1</v>
      </c>
      <c r="H1345" t="s">
        <v>36</v>
      </c>
      <c r="I1345" t="s">
        <v>62</v>
      </c>
      <c r="J1345" t="s">
        <v>91</v>
      </c>
      <c r="K1345" t="s">
        <v>55</v>
      </c>
      <c r="L1345" t="s">
        <v>26</v>
      </c>
      <c r="M1345" t="s">
        <v>124</v>
      </c>
      <c r="N1345" t="s">
        <v>28</v>
      </c>
      <c r="O1345">
        <v>0</v>
      </c>
      <c r="P1345">
        <v>34801</v>
      </c>
      <c r="Q1345">
        <f t="shared" si="23"/>
        <v>3.4800999999999999E-2</v>
      </c>
      <c r="R1345">
        <v>43252</v>
      </c>
      <c r="S1345" t="s">
        <v>122</v>
      </c>
    </row>
    <row r="1346" spans="1:19">
      <c r="A1346">
        <v>60000077</v>
      </c>
      <c r="B1346">
        <v>27</v>
      </c>
      <c r="C1346" t="s">
        <v>33</v>
      </c>
      <c r="D1346" t="s">
        <v>40</v>
      </c>
      <c r="E1346" t="s">
        <v>52</v>
      </c>
      <c r="F1346" t="s">
        <v>21</v>
      </c>
      <c r="G1346" s="23">
        <v>0.16</v>
      </c>
      <c r="H1346" t="s">
        <v>22</v>
      </c>
      <c r="I1346" t="s">
        <v>37</v>
      </c>
      <c r="J1346" t="s">
        <v>91</v>
      </c>
      <c r="K1346" t="s">
        <v>60</v>
      </c>
      <c r="L1346" t="s">
        <v>26</v>
      </c>
      <c r="M1346" t="s">
        <v>124</v>
      </c>
      <c r="N1346" t="s">
        <v>28</v>
      </c>
      <c r="O1346">
        <v>2</v>
      </c>
      <c r="P1346">
        <v>79253</v>
      </c>
      <c r="Q1346">
        <f t="shared" si="23"/>
        <v>7.9253000000000004E-2</v>
      </c>
      <c r="R1346">
        <v>43252</v>
      </c>
      <c r="S1346" t="s">
        <v>122</v>
      </c>
    </row>
    <row r="1347" spans="1:19">
      <c r="A1347">
        <v>60000078</v>
      </c>
      <c r="B1347">
        <v>59</v>
      </c>
      <c r="C1347" t="s">
        <v>33</v>
      </c>
      <c r="D1347" t="s">
        <v>40</v>
      </c>
      <c r="E1347" t="s">
        <v>34</v>
      </c>
      <c r="F1347" t="s">
        <v>21</v>
      </c>
      <c r="G1347" s="23">
        <v>0.38</v>
      </c>
      <c r="H1347" t="s">
        <v>42</v>
      </c>
      <c r="I1347" t="s">
        <v>76</v>
      </c>
      <c r="J1347" t="s">
        <v>66</v>
      </c>
      <c r="K1347" t="s">
        <v>81</v>
      </c>
      <c r="L1347" t="s">
        <v>26</v>
      </c>
      <c r="M1347" t="s">
        <v>124</v>
      </c>
      <c r="N1347" t="s">
        <v>28</v>
      </c>
      <c r="O1347">
        <v>0</v>
      </c>
      <c r="P1347">
        <v>74467</v>
      </c>
      <c r="Q1347">
        <f t="shared" si="23"/>
        <v>7.4467000000000005E-2</v>
      </c>
      <c r="R1347">
        <v>43252</v>
      </c>
      <c r="S1347" t="s">
        <v>122</v>
      </c>
    </row>
    <row r="1348" spans="1:19">
      <c r="A1348">
        <v>60000079</v>
      </c>
      <c r="B1348">
        <v>50</v>
      </c>
      <c r="C1348" t="s">
        <v>33</v>
      </c>
      <c r="D1348" t="s">
        <v>40</v>
      </c>
      <c r="E1348" t="s">
        <v>72</v>
      </c>
      <c r="F1348" t="s">
        <v>21</v>
      </c>
      <c r="G1348" s="23">
        <v>0.31</v>
      </c>
      <c r="H1348" t="s">
        <v>53</v>
      </c>
      <c r="I1348" t="s">
        <v>73</v>
      </c>
      <c r="J1348" t="s">
        <v>58</v>
      </c>
      <c r="K1348" t="s">
        <v>25</v>
      </c>
      <c r="L1348" t="s">
        <v>26</v>
      </c>
      <c r="M1348" t="s">
        <v>124</v>
      </c>
      <c r="N1348" t="s">
        <v>28</v>
      </c>
      <c r="O1348">
        <v>0</v>
      </c>
      <c r="P1348">
        <v>71270</v>
      </c>
      <c r="Q1348">
        <f t="shared" ref="Q1348:Q1411" si="24">+P1348/1000000</f>
        <v>7.127E-2</v>
      </c>
      <c r="R1348">
        <v>43252</v>
      </c>
      <c r="S1348" t="s">
        <v>122</v>
      </c>
    </row>
    <row r="1349" spans="1:19">
      <c r="A1349">
        <v>60000080</v>
      </c>
      <c r="B1349">
        <v>51</v>
      </c>
      <c r="C1349" t="s">
        <v>33</v>
      </c>
      <c r="D1349" t="s">
        <v>19</v>
      </c>
      <c r="E1349" t="s">
        <v>85</v>
      </c>
      <c r="F1349" t="s">
        <v>21</v>
      </c>
      <c r="G1349" s="23">
        <v>0.35</v>
      </c>
      <c r="H1349" t="s">
        <v>42</v>
      </c>
      <c r="I1349" t="s">
        <v>60</v>
      </c>
      <c r="J1349" t="s">
        <v>74</v>
      </c>
      <c r="K1349" t="s">
        <v>84</v>
      </c>
      <c r="L1349" t="s">
        <v>26</v>
      </c>
      <c r="M1349" t="s">
        <v>124</v>
      </c>
      <c r="N1349" t="s">
        <v>28</v>
      </c>
      <c r="O1349">
        <v>0</v>
      </c>
      <c r="P1349">
        <v>84560</v>
      </c>
      <c r="Q1349">
        <f t="shared" si="24"/>
        <v>8.4559999999999996E-2</v>
      </c>
      <c r="R1349">
        <v>43252</v>
      </c>
      <c r="S1349" t="s">
        <v>122</v>
      </c>
    </row>
    <row r="1350" spans="1:19">
      <c r="A1350">
        <v>60000081</v>
      </c>
      <c r="B1350">
        <v>44</v>
      </c>
      <c r="C1350" t="s">
        <v>33</v>
      </c>
      <c r="D1350" t="s">
        <v>19</v>
      </c>
      <c r="E1350" t="s">
        <v>44</v>
      </c>
      <c r="F1350" t="s">
        <v>21</v>
      </c>
      <c r="G1350" s="23">
        <v>0.19</v>
      </c>
      <c r="H1350" t="s">
        <v>29</v>
      </c>
      <c r="I1350" t="s">
        <v>49</v>
      </c>
      <c r="J1350" t="s">
        <v>61</v>
      </c>
      <c r="K1350" t="s">
        <v>96</v>
      </c>
      <c r="L1350" t="s">
        <v>26</v>
      </c>
      <c r="M1350" t="s">
        <v>124</v>
      </c>
      <c r="N1350" t="s">
        <v>28</v>
      </c>
      <c r="O1350">
        <v>0</v>
      </c>
      <c r="P1350">
        <v>67808</v>
      </c>
      <c r="Q1350">
        <f t="shared" si="24"/>
        <v>6.7807999999999993E-2</v>
      </c>
      <c r="R1350">
        <v>43252</v>
      </c>
      <c r="S1350" t="s">
        <v>122</v>
      </c>
    </row>
    <row r="1351" spans="1:19">
      <c r="A1351">
        <v>60000082</v>
      </c>
      <c r="B1351">
        <v>22</v>
      </c>
      <c r="C1351" t="s">
        <v>18</v>
      </c>
      <c r="D1351" t="s">
        <v>40</v>
      </c>
      <c r="E1351" t="s">
        <v>41</v>
      </c>
      <c r="F1351" t="s">
        <v>21</v>
      </c>
      <c r="G1351" s="23">
        <v>0.13</v>
      </c>
      <c r="H1351" t="s">
        <v>22</v>
      </c>
      <c r="I1351" t="s">
        <v>23</v>
      </c>
      <c r="J1351" t="s">
        <v>46</v>
      </c>
      <c r="K1351" t="s">
        <v>95</v>
      </c>
      <c r="L1351" t="s">
        <v>26</v>
      </c>
      <c r="M1351" t="s">
        <v>124</v>
      </c>
      <c r="N1351" t="s">
        <v>28</v>
      </c>
      <c r="O1351">
        <v>0</v>
      </c>
      <c r="P1351">
        <v>35771</v>
      </c>
      <c r="Q1351">
        <f t="shared" si="24"/>
        <v>3.5770999999999997E-2</v>
      </c>
      <c r="R1351">
        <v>43252</v>
      </c>
      <c r="S1351" t="s">
        <v>122</v>
      </c>
    </row>
    <row r="1352" spans="1:19">
      <c r="A1352">
        <v>60000083</v>
      </c>
      <c r="B1352">
        <v>30</v>
      </c>
      <c r="C1352" t="s">
        <v>18</v>
      </c>
      <c r="D1352" t="s">
        <v>40</v>
      </c>
      <c r="E1352" t="s">
        <v>34</v>
      </c>
      <c r="F1352" t="s">
        <v>21</v>
      </c>
      <c r="G1352" s="23">
        <v>0.17</v>
      </c>
      <c r="H1352" t="s">
        <v>22</v>
      </c>
      <c r="I1352" t="s">
        <v>49</v>
      </c>
      <c r="J1352" t="s">
        <v>38</v>
      </c>
      <c r="K1352" t="s">
        <v>97</v>
      </c>
      <c r="L1352" t="s">
        <v>26</v>
      </c>
      <c r="M1352" t="s">
        <v>124</v>
      </c>
      <c r="N1352" t="s">
        <v>28</v>
      </c>
      <c r="O1352">
        <v>0</v>
      </c>
      <c r="P1352">
        <v>28257</v>
      </c>
      <c r="Q1352">
        <f t="shared" si="24"/>
        <v>2.8257000000000001E-2</v>
      </c>
      <c r="R1352">
        <v>43252</v>
      </c>
      <c r="S1352" t="s">
        <v>122</v>
      </c>
    </row>
    <row r="1353" spans="1:19">
      <c r="A1353">
        <v>60000084</v>
      </c>
      <c r="B1353">
        <v>52</v>
      </c>
      <c r="C1353" t="s">
        <v>33</v>
      </c>
      <c r="D1353" t="s">
        <v>19</v>
      </c>
      <c r="E1353" t="s">
        <v>64</v>
      </c>
      <c r="F1353" t="s">
        <v>21</v>
      </c>
      <c r="G1353" s="23">
        <v>0.12</v>
      </c>
      <c r="H1353" t="s">
        <v>22</v>
      </c>
      <c r="I1353" t="s">
        <v>45</v>
      </c>
      <c r="J1353" t="s">
        <v>46</v>
      </c>
      <c r="K1353" t="s">
        <v>79</v>
      </c>
      <c r="L1353" t="s">
        <v>26</v>
      </c>
      <c r="M1353" t="s">
        <v>124</v>
      </c>
      <c r="N1353" t="s">
        <v>28</v>
      </c>
      <c r="O1353">
        <v>0</v>
      </c>
      <c r="P1353">
        <v>65096</v>
      </c>
      <c r="Q1353">
        <f t="shared" si="24"/>
        <v>6.5096000000000001E-2</v>
      </c>
      <c r="R1353">
        <v>43252</v>
      </c>
      <c r="S1353" t="s">
        <v>122</v>
      </c>
    </row>
    <row r="1354" spans="1:19">
      <c r="A1354">
        <v>60000085</v>
      </c>
      <c r="B1354">
        <v>51</v>
      </c>
      <c r="C1354" t="s">
        <v>33</v>
      </c>
      <c r="D1354" t="s">
        <v>40</v>
      </c>
      <c r="E1354" t="s">
        <v>75</v>
      </c>
      <c r="F1354" t="s">
        <v>21</v>
      </c>
      <c r="G1354" s="23">
        <v>0.27</v>
      </c>
      <c r="H1354" t="s">
        <v>53</v>
      </c>
      <c r="I1354" t="s">
        <v>60</v>
      </c>
      <c r="J1354" t="s">
        <v>74</v>
      </c>
      <c r="K1354" t="s">
        <v>105</v>
      </c>
      <c r="L1354" t="s">
        <v>26</v>
      </c>
      <c r="M1354" t="s">
        <v>124</v>
      </c>
      <c r="N1354" t="s">
        <v>28</v>
      </c>
      <c r="O1354">
        <v>0</v>
      </c>
      <c r="P1354">
        <v>46817</v>
      </c>
      <c r="Q1354">
        <f t="shared" si="24"/>
        <v>4.6816999999999998E-2</v>
      </c>
      <c r="R1354">
        <v>43252</v>
      </c>
      <c r="S1354" t="s">
        <v>122</v>
      </c>
    </row>
    <row r="1355" spans="1:19">
      <c r="A1355">
        <v>60000086</v>
      </c>
      <c r="B1355">
        <v>60</v>
      </c>
      <c r="C1355" t="s">
        <v>33</v>
      </c>
      <c r="D1355" t="s">
        <v>19</v>
      </c>
      <c r="E1355" t="s">
        <v>75</v>
      </c>
      <c r="F1355" t="s">
        <v>21</v>
      </c>
      <c r="G1355" s="23">
        <v>0.17</v>
      </c>
      <c r="H1355" t="s">
        <v>22</v>
      </c>
      <c r="I1355" t="s">
        <v>68</v>
      </c>
      <c r="J1355" t="s">
        <v>31</v>
      </c>
      <c r="K1355" t="s">
        <v>115</v>
      </c>
      <c r="L1355" t="s">
        <v>26</v>
      </c>
      <c r="M1355" t="s">
        <v>124</v>
      </c>
      <c r="N1355" t="s">
        <v>28</v>
      </c>
      <c r="O1355">
        <v>3</v>
      </c>
      <c r="P1355">
        <v>70068</v>
      </c>
      <c r="Q1355">
        <f t="shared" si="24"/>
        <v>7.0068000000000005E-2</v>
      </c>
      <c r="R1355">
        <v>43252</v>
      </c>
      <c r="S1355" t="s">
        <v>122</v>
      </c>
    </row>
    <row r="1356" spans="1:19">
      <c r="A1356">
        <v>60000087</v>
      </c>
      <c r="B1356">
        <v>40</v>
      </c>
      <c r="C1356" t="s">
        <v>18</v>
      </c>
      <c r="D1356" t="s">
        <v>40</v>
      </c>
      <c r="E1356" t="s">
        <v>52</v>
      </c>
      <c r="F1356" t="s">
        <v>21</v>
      </c>
      <c r="G1356" s="23">
        <v>0.26</v>
      </c>
      <c r="H1356" t="s">
        <v>53</v>
      </c>
      <c r="I1356" t="s">
        <v>60</v>
      </c>
      <c r="J1356" t="s">
        <v>69</v>
      </c>
      <c r="K1356" t="s">
        <v>109</v>
      </c>
      <c r="L1356" t="s">
        <v>26</v>
      </c>
      <c r="M1356" t="s">
        <v>124</v>
      </c>
      <c r="N1356" t="s">
        <v>28</v>
      </c>
      <c r="O1356">
        <v>0</v>
      </c>
      <c r="P1356">
        <v>64035</v>
      </c>
      <c r="Q1356">
        <f t="shared" si="24"/>
        <v>6.4034999999999995E-2</v>
      </c>
      <c r="R1356">
        <v>43252</v>
      </c>
      <c r="S1356" t="s">
        <v>122</v>
      </c>
    </row>
    <row r="1357" spans="1:19">
      <c r="A1357">
        <v>60000088</v>
      </c>
      <c r="B1357">
        <v>48</v>
      </c>
      <c r="C1357" t="s">
        <v>18</v>
      </c>
      <c r="D1357" t="s">
        <v>40</v>
      </c>
      <c r="E1357" t="s">
        <v>44</v>
      </c>
      <c r="F1357" t="s">
        <v>21</v>
      </c>
      <c r="G1357" s="23">
        <v>0.26</v>
      </c>
      <c r="H1357" t="s">
        <v>53</v>
      </c>
      <c r="I1357" t="s">
        <v>73</v>
      </c>
      <c r="J1357" t="s">
        <v>66</v>
      </c>
      <c r="K1357" t="s">
        <v>77</v>
      </c>
      <c r="L1357" t="s">
        <v>26</v>
      </c>
      <c r="M1357" t="s">
        <v>124</v>
      </c>
      <c r="N1357" t="s">
        <v>28</v>
      </c>
      <c r="O1357">
        <v>0</v>
      </c>
      <c r="P1357">
        <v>59746</v>
      </c>
      <c r="Q1357">
        <f t="shared" si="24"/>
        <v>5.9746E-2</v>
      </c>
      <c r="R1357">
        <v>43252</v>
      </c>
      <c r="S1357" t="s">
        <v>122</v>
      </c>
    </row>
    <row r="1358" spans="1:19">
      <c r="A1358">
        <v>60000089</v>
      </c>
      <c r="B1358">
        <v>32</v>
      </c>
      <c r="C1358" t="s">
        <v>18</v>
      </c>
      <c r="D1358" t="s">
        <v>40</v>
      </c>
      <c r="E1358" t="s">
        <v>75</v>
      </c>
      <c r="F1358" t="s">
        <v>21</v>
      </c>
      <c r="G1358" s="23">
        <v>0.38</v>
      </c>
      <c r="H1358" t="s">
        <v>42</v>
      </c>
      <c r="I1358" t="s">
        <v>49</v>
      </c>
      <c r="J1358" t="s">
        <v>91</v>
      </c>
      <c r="K1358" t="s">
        <v>118</v>
      </c>
      <c r="L1358" t="s">
        <v>26</v>
      </c>
      <c r="M1358" t="s">
        <v>124</v>
      </c>
      <c r="N1358" t="s">
        <v>28</v>
      </c>
      <c r="O1358">
        <v>0</v>
      </c>
      <c r="P1358">
        <v>65443</v>
      </c>
      <c r="Q1358">
        <f t="shared" si="24"/>
        <v>6.5443000000000001E-2</v>
      </c>
      <c r="R1358">
        <v>43252</v>
      </c>
      <c r="S1358" t="s">
        <v>122</v>
      </c>
    </row>
    <row r="1359" spans="1:19">
      <c r="A1359">
        <v>60000090</v>
      </c>
      <c r="B1359">
        <v>65</v>
      </c>
      <c r="C1359" t="s">
        <v>33</v>
      </c>
      <c r="D1359" t="s">
        <v>19</v>
      </c>
      <c r="E1359" t="s">
        <v>75</v>
      </c>
      <c r="F1359" t="s">
        <v>21</v>
      </c>
      <c r="G1359" s="23">
        <v>0.28999999999999998</v>
      </c>
      <c r="H1359" t="s">
        <v>53</v>
      </c>
      <c r="I1359" t="s">
        <v>37</v>
      </c>
      <c r="J1359" t="s">
        <v>46</v>
      </c>
      <c r="K1359" t="s">
        <v>99</v>
      </c>
      <c r="L1359" t="s">
        <v>26</v>
      </c>
      <c r="M1359" t="s">
        <v>124</v>
      </c>
      <c r="N1359" t="s">
        <v>28</v>
      </c>
      <c r="O1359">
        <v>7</v>
      </c>
      <c r="P1359">
        <v>77471</v>
      </c>
      <c r="Q1359">
        <f t="shared" si="24"/>
        <v>7.7470999999999998E-2</v>
      </c>
      <c r="R1359">
        <v>43252</v>
      </c>
      <c r="S1359" t="s">
        <v>122</v>
      </c>
    </row>
    <row r="1360" spans="1:19">
      <c r="A1360">
        <v>60000091</v>
      </c>
      <c r="B1360">
        <v>62</v>
      </c>
      <c r="C1360" t="s">
        <v>33</v>
      </c>
      <c r="D1360" t="s">
        <v>19</v>
      </c>
      <c r="E1360" t="s">
        <v>75</v>
      </c>
      <c r="F1360" t="s">
        <v>21</v>
      </c>
      <c r="G1360" s="23">
        <v>0.13</v>
      </c>
      <c r="H1360" t="s">
        <v>22</v>
      </c>
      <c r="I1360" t="s">
        <v>70</v>
      </c>
      <c r="J1360" t="s">
        <v>88</v>
      </c>
      <c r="K1360" t="s">
        <v>101</v>
      </c>
      <c r="L1360" t="s">
        <v>26</v>
      </c>
      <c r="M1360" t="s">
        <v>124</v>
      </c>
      <c r="N1360" t="s">
        <v>28</v>
      </c>
      <c r="O1360">
        <v>1</v>
      </c>
      <c r="P1360">
        <v>62047</v>
      </c>
      <c r="Q1360">
        <f t="shared" si="24"/>
        <v>6.2046999999999998E-2</v>
      </c>
      <c r="R1360">
        <v>43252</v>
      </c>
      <c r="S1360" t="s">
        <v>122</v>
      </c>
    </row>
    <row r="1361" spans="1:19">
      <c r="A1361">
        <v>60000092</v>
      </c>
      <c r="B1361">
        <v>49</v>
      </c>
      <c r="C1361" t="s">
        <v>18</v>
      </c>
      <c r="D1361" t="s">
        <v>40</v>
      </c>
      <c r="E1361" t="s">
        <v>64</v>
      </c>
      <c r="F1361" t="s">
        <v>21</v>
      </c>
      <c r="G1361" s="23">
        <v>0.35</v>
      </c>
      <c r="H1361" t="s">
        <v>42</v>
      </c>
      <c r="I1361" t="s">
        <v>68</v>
      </c>
      <c r="J1361" t="s">
        <v>74</v>
      </c>
      <c r="K1361" t="s">
        <v>60</v>
      </c>
      <c r="L1361" t="s">
        <v>26</v>
      </c>
      <c r="M1361" t="s">
        <v>124</v>
      </c>
      <c r="N1361" t="s">
        <v>28</v>
      </c>
      <c r="O1361">
        <v>3</v>
      </c>
      <c r="P1361">
        <v>72608</v>
      </c>
      <c r="Q1361">
        <f t="shared" si="24"/>
        <v>7.2608000000000006E-2</v>
      </c>
      <c r="R1361">
        <v>43252</v>
      </c>
      <c r="S1361" t="s">
        <v>122</v>
      </c>
    </row>
    <row r="1362" spans="1:19">
      <c r="A1362">
        <v>60000093</v>
      </c>
      <c r="B1362">
        <v>33</v>
      </c>
      <c r="C1362" t="s">
        <v>18</v>
      </c>
      <c r="D1362" t="s">
        <v>19</v>
      </c>
      <c r="E1362" t="s">
        <v>64</v>
      </c>
      <c r="F1362" t="s">
        <v>21</v>
      </c>
      <c r="G1362" s="23">
        <v>0.35</v>
      </c>
      <c r="H1362" t="s">
        <v>42</v>
      </c>
      <c r="I1362" t="s">
        <v>62</v>
      </c>
      <c r="J1362" t="s">
        <v>38</v>
      </c>
      <c r="K1362" t="s">
        <v>111</v>
      </c>
      <c r="L1362" t="s">
        <v>26</v>
      </c>
      <c r="M1362" t="s">
        <v>124</v>
      </c>
      <c r="N1362" t="s">
        <v>28</v>
      </c>
      <c r="O1362">
        <v>6</v>
      </c>
      <c r="P1362">
        <v>33947</v>
      </c>
      <c r="Q1362">
        <f t="shared" si="24"/>
        <v>3.3946999999999998E-2</v>
      </c>
      <c r="R1362">
        <v>43252</v>
      </c>
      <c r="S1362" t="s">
        <v>122</v>
      </c>
    </row>
    <row r="1363" spans="1:19">
      <c r="A1363">
        <v>60000094</v>
      </c>
      <c r="B1363">
        <v>37</v>
      </c>
      <c r="C1363" t="s">
        <v>18</v>
      </c>
      <c r="D1363" t="s">
        <v>19</v>
      </c>
      <c r="E1363" t="s">
        <v>85</v>
      </c>
      <c r="F1363" t="s">
        <v>21</v>
      </c>
      <c r="G1363" s="23">
        <v>0.25</v>
      </c>
      <c r="H1363" t="s">
        <v>53</v>
      </c>
      <c r="I1363" t="s">
        <v>60</v>
      </c>
      <c r="J1363" t="s">
        <v>61</v>
      </c>
      <c r="K1363" t="s">
        <v>113</v>
      </c>
      <c r="L1363" t="s">
        <v>26</v>
      </c>
      <c r="M1363" t="s">
        <v>124</v>
      </c>
      <c r="N1363" t="s">
        <v>28</v>
      </c>
      <c r="O1363">
        <v>6</v>
      </c>
      <c r="P1363">
        <v>37975</v>
      </c>
      <c r="Q1363">
        <f t="shared" si="24"/>
        <v>3.7975000000000002E-2</v>
      </c>
      <c r="R1363">
        <v>43252</v>
      </c>
      <c r="S1363" t="s">
        <v>122</v>
      </c>
    </row>
    <row r="1364" spans="1:19">
      <c r="A1364">
        <v>60000095</v>
      </c>
      <c r="B1364">
        <v>23</v>
      </c>
      <c r="C1364" t="s">
        <v>18</v>
      </c>
      <c r="D1364" t="s">
        <v>19</v>
      </c>
      <c r="E1364" t="s">
        <v>44</v>
      </c>
      <c r="F1364" t="s">
        <v>21</v>
      </c>
      <c r="G1364" s="23">
        <v>0.12</v>
      </c>
      <c r="H1364" t="s">
        <v>22</v>
      </c>
      <c r="I1364" t="s">
        <v>45</v>
      </c>
      <c r="J1364" t="s">
        <v>74</v>
      </c>
      <c r="K1364" t="s">
        <v>39</v>
      </c>
      <c r="L1364" t="s">
        <v>26</v>
      </c>
      <c r="M1364" t="s">
        <v>124</v>
      </c>
      <c r="N1364" t="s">
        <v>28</v>
      </c>
      <c r="O1364">
        <v>0</v>
      </c>
      <c r="P1364">
        <v>29675</v>
      </c>
      <c r="Q1364">
        <f t="shared" si="24"/>
        <v>2.9675E-2</v>
      </c>
      <c r="R1364">
        <v>43252</v>
      </c>
      <c r="S1364" t="s">
        <v>122</v>
      </c>
    </row>
    <row r="1365" spans="1:19">
      <c r="A1365">
        <v>60000096</v>
      </c>
      <c r="B1365">
        <v>40</v>
      </c>
      <c r="C1365" t="s">
        <v>33</v>
      </c>
      <c r="D1365" t="s">
        <v>40</v>
      </c>
      <c r="E1365" t="s">
        <v>20</v>
      </c>
      <c r="F1365" t="s">
        <v>21</v>
      </c>
      <c r="G1365" s="23">
        <v>0.31</v>
      </c>
      <c r="H1365" t="s">
        <v>53</v>
      </c>
      <c r="I1365" t="s">
        <v>68</v>
      </c>
      <c r="J1365" t="s">
        <v>58</v>
      </c>
      <c r="K1365" t="s">
        <v>25</v>
      </c>
      <c r="L1365" t="s">
        <v>26</v>
      </c>
      <c r="M1365" t="s">
        <v>124</v>
      </c>
      <c r="N1365" t="s">
        <v>28</v>
      </c>
      <c r="O1365">
        <v>0</v>
      </c>
      <c r="P1365">
        <v>51903</v>
      </c>
      <c r="Q1365">
        <f t="shared" si="24"/>
        <v>5.1902999999999998E-2</v>
      </c>
      <c r="R1365">
        <v>43252</v>
      </c>
      <c r="S1365" t="s">
        <v>122</v>
      </c>
    </row>
    <row r="1366" spans="1:19">
      <c r="A1366">
        <v>60000097</v>
      </c>
      <c r="B1366">
        <v>40</v>
      </c>
      <c r="C1366" t="s">
        <v>33</v>
      </c>
      <c r="D1366" t="s">
        <v>40</v>
      </c>
      <c r="E1366" t="s">
        <v>34</v>
      </c>
      <c r="F1366" t="s">
        <v>21</v>
      </c>
      <c r="G1366" s="23">
        <v>0.19</v>
      </c>
      <c r="H1366" t="s">
        <v>29</v>
      </c>
      <c r="I1366" t="s">
        <v>83</v>
      </c>
      <c r="J1366" t="s">
        <v>88</v>
      </c>
      <c r="K1366" t="s">
        <v>103</v>
      </c>
      <c r="L1366" t="s">
        <v>26</v>
      </c>
      <c r="M1366" t="s">
        <v>124</v>
      </c>
      <c r="N1366" t="s">
        <v>28</v>
      </c>
      <c r="O1366">
        <v>0</v>
      </c>
      <c r="P1366">
        <v>75407</v>
      </c>
      <c r="Q1366">
        <f t="shared" si="24"/>
        <v>7.5407000000000002E-2</v>
      </c>
      <c r="R1366">
        <v>43252</v>
      </c>
      <c r="S1366" t="s">
        <v>122</v>
      </c>
    </row>
    <row r="1367" spans="1:19">
      <c r="A1367">
        <v>60000098</v>
      </c>
      <c r="B1367">
        <v>62</v>
      </c>
      <c r="C1367" t="s">
        <v>33</v>
      </c>
      <c r="D1367" t="s">
        <v>40</v>
      </c>
      <c r="E1367" t="s">
        <v>72</v>
      </c>
      <c r="F1367" t="s">
        <v>21</v>
      </c>
      <c r="G1367" s="23">
        <v>0.35</v>
      </c>
      <c r="H1367" t="s">
        <v>42</v>
      </c>
      <c r="I1367" t="s">
        <v>37</v>
      </c>
      <c r="J1367" t="s">
        <v>78</v>
      </c>
      <c r="K1367" t="s">
        <v>99</v>
      </c>
      <c r="L1367" t="s">
        <v>26</v>
      </c>
      <c r="M1367" t="s">
        <v>124</v>
      </c>
      <c r="N1367" t="s">
        <v>28</v>
      </c>
      <c r="O1367">
        <v>0</v>
      </c>
      <c r="P1367">
        <v>53325</v>
      </c>
      <c r="Q1367">
        <f t="shared" si="24"/>
        <v>5.3324999999999997E-2</v>
      </c>
      <c r="R1367">
        <v>43252</v>
      </c>
      <c r="S1367" t="s">
        <v>122</v>
      </c>
    </row>
    <row r="1368" spans="1:19">
      <c r="A1368">
        <v>60000099</v>
      </c>
      <c r="B1368">
        <v>45</v>
      </c>
      <c r="C1368" t="s">
        <v>18</v>
      </c>
      <c r="D1368" t="s">
        <v>19</v>
      </c>
      <c r="E1368" t="s">
        <v>34</v>
      </c>
      <c r="F1368" t="s">
        <v>21</v>
      </c>
      <c r="G1368" s="23">
        <v>0.36</v>
      </c>
      <c r="H1368" t="s">
        <v>42</v>
      </c>
      <c r="I1368" t="s">
        <v>68</v>
      </c>
      <c r="J1368" t="s">
        <v>74</v>
      </c>
      <c r="K1368" t="s">
        <v>92</v>
      </c>
      <c r="L1368" t="s">
        <v>26</v>
      </c>
      <c r="M1368" t="s">
        <v>124</v>
      </c>
      <c r="N1368" t="s">
        <v>28</v>
      </c>
      <c r="O1368">
        <v>7</v>
      </c>
      <c r="P1368">
        <v>67527</v>
      </c>
      <c r="Q1368">
        <f t="shared" si="24"/>
        <v>6.7527000000000004E-2</v>
      </c>
      <c r="R1368">
        <v>43252</v>
      </c>
      <c r="S1368" t="s">
        <v>122</v>
      </c>
    </row>
    <row r="1369" spans="1:19">
      <c r="A1369">
        <v>60000100</v>
      </c>
      <c r="B1369">
        <v>58</v>
      </c>
      <c r="C1369" t="s">
        <v>33</v>
      </c>
      <c r="D1369" t="s">
        <v>40</v>
      </c>
      <c r="E1369" t="s">
        <v>85</v>
      </c>
      <c r="F1369" t="s">
        <v>21</v>
      </c>
      <c r="G1369" s="23">
        <v>0.17</v>
      </c>
      <c r="H1369" t="s">
        <v>22</v>
      </c>
      <c r="I1369" t="s">
        <v>83</v>
      </c>
      <c r="J1369" t="s">
        <v>38</v>
      </c>
      <c r="K1369" t="s">
        <v>84</v>
      </c>
      <c r="L1369" t="s">
        <v>26</v>
      </c>
      <c r="M1369" t="s">
        <v>124</v>
      </c>
      <c r="N1369" t="s">
        <v>28</v>
      </c>
      <c r="O1369">
        <v>5</v>
      </c>
      <c r="P1369">
        <v>41676</v>
      </c>
      <c r="Q1369">
        <f t="shared" si="24"/>
        <v>4.1675999999999998E-2</v>
      </c>
      <c r="R1369">
        <v>43252</v>
      </c>
      <c r="S1369" t="s">
        <v>122</v>
      </c>
    </row>
    <row r="1370" spans="1:19">
      <c r="A1370">
        <v>60000101</v>
      </c>
      <c r="B1370">
        <v>28</v>
      </c>
      <c r="C1370" t="s">
        <v>33</v>
      </c>
      <c r="D1370" t="s">
        <v>19</v>
      </c>
      <c r="E1370" t="s">
        <v>67</v>
      </c>
      <c r="F1370" t="s">
        <v>21</v>
      </c>
      <c r="G1370" s="23">
        <v>0.27</v>
      </c>
      <c r="H1370" t="s">
        <v>53</v>
      </c>
      <c r="I1370" t="s">
        <v>57</v>
      </c>
      <c r="J1370" t="s">
        <v>58</v>
      </c>
      <c r="K1370" t="s">
        <v>113</v>
      </c>
      <c r="L1370" t="s">
        <v>26</v>
      </c>
      <c r="M1370" t="s">
        <v>124</v>
      </c>
      <c r="N1370" t="s">
        <v>28</v>
      </c>
      <c r="O1370">
        <v>0</v>
      </c>
      <c r="P1370">
        <v>83260</v>
      </c>
      <c r="Q1370">
        <f t="shared" si="24"/>
        <v>8.3260000000000001E-2</v>
      </c>
      <c r="R1370">
        <v>43252</v>
      </c>
      <c r="S1370" t="s">
        <v>122</v>
      </c>
    </row>
    <row r="1371" spans="1:19">
      <c r="A1371">
        <v>60000102</v>
      </c>
      <c r="B1371">
        <v>49</v>
      </c>
      <c r="C1371" t="s">
        <v>33</v>
      </c>
      <c r="D1371" t="s">
        <v>40</v>
      </c>
      <c r="E1371" t="s">
        <v>64</v>
      </c>
      <c r="F1371" t="s">
        <v>21</v>
      </c>
      <c r="G1371" s="23">
        <v>0.28999999999999998</v>
      </c>
      <c r="H1371" t="s">
        <v>53</v>
      </c>
      <c r="I1371" t="s">
        <v>45</v>
      </c>
      <c r="J1371" t="s">
        <v>69</v>
      </c>
      <c r="K1371" t="s">
        <v>89</v>
      </c>
      <c r="L1371" t="s">
        <v>26</v>
      </c>
      <c r="M1371" t="s">
        <v>124</v>
      </c>
      <c r="N1371" t="s">
        <v>28</v>
      </c>
      <c r="O1371">
        <v>0</v>
      </c>
      <c r="P1371">
        <v>42293</v>
      </c>
      <c r="Q1371">
        <f t="shared" si="24"/>
        <v>4.2292999999999997E-2</v>
      </c>
      <c r="R1371">
        <v>43252</v>
      </c>
      <c r="S1371" t="s">
        <v>122</v>
      </c>
    </row>
    <row r="1372" spans="1:19">
      <c r="A1372">
        <v>60000103</v>
      </c>
      <c r="B1372">
        <v>41</v>
      </c>
      <c r="C1372" t="s">
        <v>33</v>
      </c>
      <c r="D1372" t="s">
        <v>40</v>
      </c>
      <c r="E1372" t="s">
        <v>67</v>
      </c>
      <c r="F1372" t="s">
        <v>21</v>
      </c>
      <c r="G1372" s="23">
        <v>0.23</v>
      </c>
      <c r="H1372" t="s">
        <v>29</v>
      </c>
      <c r="I1372" t="s">
        <v>30</v>
      </c>
      <c r="J1372" t="s">
        <v>38</v>
      </c>
      <c r="K1372" t="s">
        <v>39</v>
      </c>
      <c r="L1372" t="s">
        <v>26</v>
      </c>
      <c r="M1372" t="s">
        <v>124</v>
      </c>
      <c r="N1372" t="s">
        <v>28</v>
      </c>
      <c r="O1372">
        <v>4</v>
      </c>
      <c r="P1372">
        <v>31530</v>
      </c>
      <c r="Q1372">
        <f t="shared" si="24"/>
        <v>3.1530000000000002E-2</v>
      </c>
      <c r="R1372">
        <v>43252</v>
      </c>
      <c r="S1372" t="s">
        <v>122</v>
      </c>
    </row>
    <row r="1373" spans="1:19">
      <c r="A1373">
        <v>60000104</v>
      </c>
      <c r="B1373">
        <v>57</v>
      </c>
      <c r="C1373" t="s">
        <v>18</v>
      </c>
      <c r="D1373" t="s">
        <v>19</v>
      </c>
      <c r="E1373" t="s">
        <v>52</v>
      </c>
      <c r="F1373" t="s">
        <v>21</v>
      </c>
      <c r="G1373" s="23">
        <v>0.21</v>
      </c>
      <c r="H1373" t="s">
        <v>29</v>
      </c>
      <c r="I1373" t="s">
        <v>57</v>
      </c>
      <c r="J1373" t="s">
        <v>58</v>
      </c>
      <c r="K1373" t="s">
        <v>109</v>
      </c>
      <c r="L1373" t="s">
        <v>26</v>
      </c>
      <c r="M1373" t="s">
        <v>124</v>
      </c>
      <c r="N1373" t="s">
        <v>28</v>
      </c>
      <c r="O1373">
        <v>0</v>
      </c>
      <c r="P1373">
        <v>80431</v>
      </c>
      <c r="Q1373">
        <f t="shared" si="24"/>
        <v>8.0431000000000002E-2</v>
      </c>
      <c r="R1373">
        <v>43252</v>
      </c>
      <c r="S1373" t="s">
        <v>122</v>
      </c>
    </row>
    <row r="1374" spans="1:19">
      <c r="A1374">
        <v>60000105</v>
      </c>
      <c r="B1374">
        <v>56</v>
      </c>
      <c r="C1374" t="s">
        <v>18</v>
      </c>
      <c r="D1374" t="s">
        <v>19</v>
      </c>
      <c r="E1374" t="s">
        <v>44</v>
      </c>
      <c r="F1374" t="s">
        <v>21</v>
      </c>
      <c r="G1374" s="23">
        <v>0.36</v>
      </c>
      <c r="H1374" t="s">
        <v>42</v>
      </c>
      <c r="I1374" t="s">
        <v>70</v>
      </c>
      <c r="J1374" t="s">
        <v>66</v>
      </c>
      <c r="K1374" t="s">
        <v>106</v>
      </c>
      <c r="L1374" t="s">
        <v>26</v>
      </c>
      <c r="M1374" t="s">
        <v>124</v>
      </c>
      <c r="N1374" t="s">
        <v>28</v>
      </c>
      <c r="O1374">
        <v>2</v>
      </c>
      <c r="P1374">
        <v>27023</v>
      </c>
      <c r="Q1374">
        <f t="shared" si="24"/>
        <v>2.7022999999999998E-2</v>
      </c>
      <c r="R1374">
        <v>43252</v>
      </c>
      <c r="S1374" t="s">
        <v>122</v>
      </c>
    </row>
    <row r="1375" spans="1:19">
      <c r="A1375">
        <v>60000106</v>
      </c>
      <c r="B1375">
        <v>34</v>
      </c>
      <c r="C1375" t="s">
        <v>18</v>
      </c>
      <c r="D1375" t="s">
        <v>19</v>
      </c>
      <c r="E1375" t="s">
        <v>52</v>
      </c>
      <c r="F1375" t="s">
        <v>21</v>
      </c>
      <c r="G1375" s="23">
        <v>0.11</v>
      </c>
      <c r="H1375" t="s">
        <v>36</v>
      </c>
      <c r="I1375" t="s">
        <v>62</v>
      </c>
      <c r="J1375" t="s">
        <v>74</v>
      </c>
      <c r="K1375" t="s">
        <v>108</v>
      </c>
      <c r="L1375" t="s">
        <v>26</v>
      </c>
      <c r="M1375" t="s">
        <v>124</v>
      </c>
      <c r="N1375" t="s">
        <v>28</v>
      </c>
      <c r="O1375">
        <v>0</v>
      </c>
      <c r="P1375">
        <v>30628</v>
      </c>
      <c r="Q1375">
        <f t="shared" si="24"/>
        <v>3.0627999999999999E-2</v>
      </c>
      <c r="R1375">
        <v>43252</v>
      </c>
      <c r="S1375" t="s">
        <v>122</v>
      </c>
    </row>
    <row r="1376" spans="1:19">
      <c r="A1376">
        <v>60000107</v>
      </c>
      <c r="B1376">
        <v>48</v>
      </c>
      <c r="C1376" t="s">
        <v>33</v>
      </c>
      <c r="D1376" t="s">
        <v>19</v>
      </c>
      <c r="E1376" t="s">
        <v>34</v>
      </c>
      <c r="F1376" t="s">
        <v>21</v>
      </c>
      <c r="G1376" s="23">
        <v>0.11</v>
      </c>
      <c r="H1376" t="s">
        <v>36</v>
      </c>
      <c r="I1376" t="s">
        <v>80</v>
      </c>
      <c r="J1376" t="s">
        <v>61</v>
      </c>
      <c r="K1376" t="s">
        <v>90</v>
      </c>
      <c r="L1376" t="s">
        <v>26</v>
      </c>
      <c r="M1376" t="s">
        <v>124</v>
      </c>
      <c r="N1376" t="s">
        <v>28</v>
      </c>
      <c r="O1376">
        <v>7</v>
      </c>
      <c r="P1376">
        <v>84173</v>
      </c>
      <c r="Q1376">
        <f t="shared" si="24"/>
        <v>8.4172999999999998E-2</v>
      </c>
      <c r="R1376">
        <v>43252</v>
      </c>
      <c r="S1376" t="s">
        <v>122</v>
      </c>
    </row>
    <row r="1377" spans="1:19">
      <c r="A1377">
        <v>60000108</v>
      </c>
      <c r="B1377">
        <v>63</v>
      </c>
      <c r="C1377" t="s">
        <v>33</v>
      </c>
      <c r="D1377" t="s">
        <v>19</v>
      </c>
      <c r="E1377" t="s">
        <v>85</v>
      </c>
      <c r="F1377" t="s">
        <v>21</v>
      </c>
      <c r="G1377" s="23">
        <v>0.28000000000000003</v>
      </c>
      <c r="H1377" t="s">
        <v>53</v>
      </c>
      <c r="I1377" t="s">
        <v>45</v>
      </c>
      <c r="J1377" t="s">
        <v>61</v>
      </c>
      <c r="K1377" t="s">
        <v>102</v>
      </c>
      <c r="L1377" t="s">
        <v>26</v>
      </c>
      <c r="M1377" t="s">
        <v>124</v>
      </c>
      <c r="N1377" t="s">
        <v>28</v>
      </c>
      <c r="O1377">
        <v>4</v>
      </c>
      <c r="P1377">
        <v>40057</v>
      </c>
      <c r="Q1377">
        <f t="shared" si="24"/>
        <v>4.0057000000000002E-2</v>
      </c>
      <c r="R1377">
        <v>43252</v>
      </c>
      <c r="S1377" t="s">
        <v>122</v>
      </c>
    </row>
    <row r="1378" spans="1:19">
      <c r="A1378">
        <v>60000109</v>
      </c>
      <c r="B1378">
        <v>20</v>
      </c>
      <c r="C1378" t="s">
        <v>33</v>
      </c>
      <c r="D1378" t="s">
        <v>40</v>
      </c>
      <c r="E1378" t="s">
        <v>75</v>
      </c>
      <c r="F1378" t="s">
        <v>21</v>
      </c>
      <c r="G1378" s="23">
        <v>0.32</v>
      </c>
      <c r="H1378" t="s">
        <v>42</v>
      </c>
      <c r="I1378" t="s">
        <v>62</v>
      </c>
      <c r="J1378" t="s">
        <v>88</v>
      </c>
      <c r="K1378" t="s">
        <v>39</v>
      </c>
      <c r="L1378" t="s">
        <v>26</v>
      </c>
      <c r="M1378" t="s">
        <v>124</v>
      </c>
      <c r="N1378" t="s">
        <v>28</v>
      </c>
      <c r="O1378">
        <v>0</v>
      </c>
      <c r="P1378">
        <v>31074</v>
      </c>
      <c r="Q1378">
        <f t="shared" si="24"/>
        <v>3.1074000000000001E-2</v>
      </c>
      <c r="R1378">
        <v>43252</v>
      </c>
      <c r="S1378" t="s">
        <v>122</v>
      </c>
    </row>
    <row r="1379" spans="1:19">
      <c r="A1379">
        <v>60000110</v>
      </c>
      <c r="B1379">
        <v>50</v>
      </c>
      <c r="C1379" t="s">
        <v>18</v>
      </c>
      <c r="D1379" t="s">
        <v>40</v>
      </c>
      <c r="E1379" t="s">
        <v>20</v>
      </c>
      <c r="F1379" t="s">
        <v>21</v>
      </c>
      <c r="G1379" s="23">
        <v>0.35</v>
      </c>
      <c r="H1379" t="s">
        <v>42</v>
      </c>
      <c r="I1379" t="s">
        <v>80</v>
      </c>
      <c r="J1379" t="s">
        <v>91</v>
      </c>
      <c r="K1379" t="s">
        <v>114</v>
      </c>
      <c r="L1379" t="s">
        <v>26</v>
      </c>
      <c r="M1379" t="s">
        <v>124</v>
      </c>
      <c r="N1379" t="s">
        <v>28</v>
      </c>
      <c r="O1379">
        <v>5</v>
      </c>
      <c r="P1379">
        <v>40029</v>
      </c>
      <c r="Q1379">
        <f t="shared" si="24"/>
        <v>4.0029000000000002E-2</v>
      </c>
      <c r="R1379">
        <v>43252</v>
      </c>
      <c r="S1379" t="s">
        <v>122</v>
      </c>
    </row>
    <row r="1380" spans="1:19">
      <c r="A1380">
        <v>60000111</v>
      </c>
      <c r="B1380">
        <v>51</v>
      </c>
      <c r="C1380" t="s">
        <v>18</v>
      </c>
      <c r="D1380" t="s">
        <v>19</v>
      </c>
      <c r="E1380" t="s">
        <v>56</v>
      </c>
      <c r="F1380" t="s">
        <v>21</v>
      </c>
      <c r="G1380" s="23">
        <v>0.22</v>
      </c>
      <c r="H1380" t="s">
        <v>29</v>
      </c>
      <c r="I1380" t="s">
        <v>76</v>
      </c>
      <c r="J1380" t="s">
        <v>91</v>
      </c>
      <c r="K1380" t="s">
        <v>62</v>
      </c>
      <c r="L1380" t="s">
        <v>26</v>
      </c>
      <c r="M1380" t="s">
        <v>124</v>
      </c>
      <c r="N1380" t="s">
        <v>28</v>
      </c>
      <c r="O1380">
        <v>0</v>
      </c>
      <c r="P1380">
        <v>63650</v>
      </c>
      <c r="Q1380">
        <f t="shared" si="24"/>
        <v>6.3649999999999998E-2</v>
      </c>
      <c r="R1380">
        <v>43252</v>
      </c>
      <c r="S1380" t="s">
        <v>122</v>
      </c>
    </row>
    <row r="1381" spans="1:19">
      <c r="A1381">
        <v>60000112</v>
      </c>
      <c r="B1381">
        <v>63</v>
      </c>
      <c r="C1381" t="s">
        <v>18</v>
      </c>
      <c r="D1381" t="s">
        <v>40</v>
      </c>
      <c r="E1381" t="s">
        <v>34</v>
      </c>
      <c r="F1381" t="s">
        <v>21</v>
      </c>
      <c r="G1381" s="23">
        <v>0.28000000000000003</v>
      </c>
      <c r="H1381" t="s">
        <v>53</v>
      </c>
      <c r="I1381" t="s">
        <v>60</v>
      </c>
      <c r="J1381" t="s">
        <v>38</v>
      </c>
      <c r="K1381" t="s">
        <v>84</v>
      </c>
      <c r="L1381" t="s">
        <v>26</v>
      </c>
      <c r="M1381" t="s">
        <v>124</v>
      </c>
      <c r="N1381" t="s">
        <v>28</v>
      </c>
      <c r="O1381">
        <v>0</v>
      </c>
      <c r="P1381">
        <v>78866</v>
      </c>
      <c r="Q1381">
        <f t="shared" si="24"/>
        <v>7.8866000000000006E-2</v>
      </c>
      <c r="R1381">
        <v>43252</v>
      </c>
      <c r="S1381" t="s">
        <v>122</v>
      </c>
    </row>
    <row r="1382" spans="1:19">
      <c r="A1382">
        <v>60000113</v>
      </c>
      <c r="B1382">
        <v>53</v>
      </c>
      <c r="C1382" t="s">
        <v>33</v>
      </c>
      <c r="D1382" t="s">
        <v>40</v>
      </c>
      <c r="E1382" t="s">
        <v>20</v>
      </c>
      <c r="F1382" t="s">
        <v>21</v>
      </c>
      <c r="G1382" s="23">
        <v>0.25</v>
      </c>
      <c r="H1382" t="s">
        <v>53</v>
      </c>
      <c r="I1382" t="s">
        <v>30</v>
      </c>
      <c r="J1382" t="s">
        <v>88</v>
      </c>
      <c r="K1382" t="s">
        <v>62</v>
      </c>
      <c r="L1382" t="s">
        <v>26</v>
      </c>
      <c r="M1382" t="s">
        <v>124</v>
      </c>
      <c r="N1382" t="s">
        <v>28</v>
      </c>
      <c r="O1382">
        <v>3</v>
      </c>
      <c r="P1382">
        <v>51138</v>
      </c>
      <c r="Q1382">
        <f t="shared" si="24"/>
        <v>5.1138000000000003E-2</v>
      </c>
      <c r="R1382">
        <v>43252</v>
      </c>
      <c r="S1382" t="s">
        <v>122</v>
      </c>
    </row>
    <row r="1383" spans="1:19">
      <c r="A1383">
        <v>60000114</v>
      </c>
      <c r="B1383">
        <v>50</v>
      </c>
      <c r="C1383" t="s">
        <v>33</v>
      </c>
      <c r="D1383" t="s">
        <v>19</v>
      </c>
      <c r="E1383" t="s">
        <v>75</v>
      </c>
      <c r="F1383" t="s">
        <v>21</v>
      </c>
      <c r="G1383" s="23">
        <v>0.19</v>
      </c>
      <c r="H1383" t="s">
        <v>29</v>
      </c>
      <c r="I1383" t="s">
        <v>70</v>
      </c>
      <c r="J1383" t="s">
        <v>91</v>
      </c>
      <c r="K1383" t="s">
        <v>117</v>
      </c>
      <c r="L1383" t="s">
        <v>26</v>
      </c>
      <c r="M1383" t="s">
        <v>124</v>
      </c>
      <c r="N1383" t="s">
        <v>28</v>
      </c>
      <c r="O1383">
        <v>6</v>
      </c>
      <c r="P1383">
        <v>66491</v>
      </c>
      <c r="Q1383">
        <f t="shared" si="24"/>
        <v>6.6490999999999995E-2</v>
      </c>
      <c r="R1383">
        <v>43252</v>
      </c>
      <c r="S1383" t="s">
        <v>122</v>
      </c>
    </row>
    <row r="1384" spans="1:19">
      <c r="A1384">
        <v>60000115</v>
      </c>
      <c r="B1384">
        <v>31</v>
      </c>
      <c r="C1384" t="s">
        <v>33</v>
      </c>
      <c r="D1384" t="s">
        <v>19</v>
      </c>
      <c r="E1384" t="s">
        <v>44</v>
      </c>
      <c r="F1384" t="s">
        <v>21</v>
      </c>
      <c r="G1384" s="23">
        <v>0.17</v>
      </c>
      <c r="H1384" t="s">
        <v>22</v>
      </c>
      <c r="I1384" t="s">
        <v>45</v>
      </c>
      <c r="J1384" t="s">
        <v>88</v>
      </c>
      <c r="K1384" t="s">
        <v>113</v>
      </c>
      <c r="L1384" t="s">
        <v>26</v>
      </c>
      <c r="M1384" t="s">
        <v>124</v>
      </c>
      <c r="N1384" t="s">
        <v>28</v>
      </c>
      <c r="O1384">
        <v>3</v>
      </c>
      <c r="P1384">
        <v>48516</v>
      </c>
      <c r="Q1384">
        <f t="shared" si="24"/>
        <v>4.8515999999999997E-2</v>
      </c>
      <c r="R1384">
        <v>43252</v>
      </c>
      <c r="S1384" t="s">
        <v>122</v>
      </c>
    </row>
    <row r="1385" spans="1:19">
      <c r="A1385">
        <v>60000116</v>
      </c>
      <c r="B1385">
        <v>36</v>
      </c>
      <c r="C1385" t="s">
        <v>18</v>
      </c>
      <c r="D1385" t="s">
        <v>40</v>
      </c>
      <c r="E1385" t="s">
        <v>72</v>
      </c>
      <c r="F1385" t="s">
        <v>21</v>
      </c>
      <c r="G1385" s="23">
        <v>0.23</v>
      </c>
      <c r="H1385" t="s">
        <v>29</v>
      </c>
      <c r="I1385" t="s">
        <v>80</v>
      </c>
      <c r="J1385" t="s">
        <v>61</v>
      </c>
      <c r="K1385" t="s">
        <v>97</v>
      </c>
      <c r="L1385" t="s">
        <v>26</v>
      </c>
      <c r="M1385" t="s">
        <v>124</v>
      </c>
      <c r="N1385" t="s">
        <v>28</v>
      </c>
      <c r="O1385">
        <v>0</v>
      </c>
      <c r="P1385">
        <v>58625</v>
      </c>
      <c r="Q1385">
        <f t="shared" si="24"/>
        <v>5.8624999999999997E-2</v>
      </c>
      <c r="R1385">
        <v>43252</v>
      </c>
      <c r="S1385" t="s">
        <v>122</v>
      </c>
    </row>
    <row r="1386" spans="1:19">
      <c r="A1386">
        <v>60000117</v>
      </c>
      <c r="B1386">
        <v>38</v>
      </c>
      <c r="C1386" t="s">
        <v>33</v>
      </c>
      <c r="D1386" t="s">
        <v>19</v>
      </c>
      <c r="E1386" t="s">
        <v>52</v>
      </c>
      <c r="F1386" t="s">
        <v>21</v>
      </c>
      <c r="G1386" s="23">
        <v>0.2</v>
      </c>
      <c r="H1386" t="s">
        <v>29</v>
      </c>
      <c r="I1386" t="s">
        <v>76</v>
      </c>
      <c r="J1386" t="s">
        <v>54</v>
      </c>
      <c r="K1386" t="s">
        <v>97</v>
      </c>
      <c r="L1386" t="s">
        <v>26</v>
      </c>
      <c r="M1386" t="s">
        <v>124</v>
      </c>
      <c r="N1386" t="s">
        <v>28</v>
      </c>
      <c r="O1386">
        <v>1</v>
      </c>
      <c r="P1386">
        <v>35181</v>
      </c>
      <c r="Q1386">
        <f t="shared" si="24"/>
        <v>3.5180999999999997E-2</v>
      </c>
      <c r="R1386">
        <v>43252</v>
      </c>
      <c r="S1386" t="s">
        <v>122</v>
      </c>
    </row>
    <row r="1387" spans="1:19">
      <c r="A1387">
        <v>60000118</v>
      </c>
      <c r="B1387">
        <v>26</v>
      </c>
      <c r="C1387" t="s">
        <v>18</v>
      </c>
      <c r="D1387" t="s">
        <v>19</v>
      </c>
      <c r="E1387" t="s">
        <v>64</v>
      </c>
      <c r="F1387" t="s">
        <v>21</v>
      </c>
      <c r="G1387" s="23">
        <v>0.28000000000000003</v>
      </c>
      <c r="H1387" t="s">
        <v>53</v>
      </c>
      <c r="I1387" t="s">
        <v>83</v>
      </c>
      <c r="J1387" t="s">
        <v>66</v>
      </c>
      <c r="K1387" t="s">
        <v>43</v>
      </c>
      <c r="L1387" t="s">
        <v>26</v>
      </c>
      <c r="M1387" t="s">
        <v>124</v>
      </c>
      <c r="N1387" t="s">
        <v>28</v>
      </c>
      <c r="O1387">
        <v>0</v>
      </c>
      <c r="P1387">
        <v>30585</v>
      </c>
      <c r="Q1387">
        <f t="shared" si="24"/>
        <v>3.0585000000000001E-2</v>
      </c>
      <c r="R1387">
        <v>43252</v>
      </c>
      <c r="S1387" t="s">
        <v>122</v>
      </c>
    </row>
    <row r="1388" spans="1:19">
      <c r="A1388">
        <v>60000119</v>
      </c>
      <c r="B1388">
        <v>34</v>
      </c>
      <c r="C1388" t="s">
        <v>18</v>
      </c>
      <c r="D1388" t="s">
        <v>40</v>
      </c>
      <c r="E1388" t="s">
        <v>48</v>
      </c>
      <c r="F1388" t="s">
        <v>21</v>
      </c>
      <c r="G1388" s="23">
        <v>0.37</v>
      </c>
      <c r="H1388" t="s">
        <v>42</v>
      </c>
      <c r="I1388" t="s">
        <v>23</v>
      </c>
      <c r="J1388" t="s">
        <v>54</v>
      </c>
      <c r="K1388" t="s">
        <v>104</v>
      </c>
      <c r="L1388" t="s">
        <v>26</v>
      </c>
      <c r="M1388" t="s">
        <v>124</v>
      </c>
      <c r="N1388" t="s">
        <v>28</v>
      </c>
      <c r="O1388">
        <v>0</v>
      </c>
      <c r="P1388">
        <v>52519</v>
      </c>
      <c r="Q1388">
        <f t="shared" si="24"/>
        <v>5.2519000000000003E-2</v>
      </c>
      <c r="R1388">
        <v>43252</v>
      </c>
      <c r="S1388" t="s">
        <v>122</v>
      </c>
    </row>
    <row r="1389" spans="1:19">
      <c r="A1389">
        <v>60000120</v>
      </c>
      <c r="B1389">
        <v>35</v>
      </c>
      <c r="C1389" t="s">
        <v>18</v>
      </c>
      <c r="D1389" t="s">
        <v>19</v>
      </c>
      <c r="E1389" t="s">
        <v>34</v>
      </c>
      <c r="F1389" t="s">
        <v>21</v>
      </c>
      <c r="G1389" s="23">
        <v>0.37</v>
      </c>
      <c r="H1389" t="s">
        <v>42</v>
      </c>
      <c r="I1389" t="s">
        <v>65</v>
      </c>
      <c r="J1389" t="s">
        <v>54</v>
      </c>
      <c r="K1389" t="s">
        <v>47</v>
      </c>
      <c r="L1389" t="s">
        <v>26</v>
      </c>
      <c r="M1389" t="s">
        <v>124</v>
      </c>
      <c r="N1389" t="s">
        <v>28</v>
      </c>
      <c r="O1389">
        <v>0</v>
      </c>
      <c r="P1389">
        <v>33470</v>
      </c>
      <c r="Q1389">
        <f t="shared" si="24"/>
        <v>3.347E-2</v>
      </c>
      <c r="R1389">
        <v>43252</v>
      </c>
      <c r="S1389" t="s">
        <v>122</v>
      </c>
    </row>
    <row r="1390" spans="1:19">
      <c r="A1390">
        <v>60000121</v>
      </c>
      <c r="B1390">
        <v>48</v>
      </c>
      <c r="C1390" t="s">
        <v>18</v>
      </c>
      <c r="D1390" t="s">
        <v>19</v>
      </c>
      <c r="E1390" t="s">
        <v>56</v>
      </c>
      <c r="F1390" t="s">
        <v>21</v>
      </c>
      <c r="G1390" s="23">
        <v>0.2</v>
      </c>
      <c r="H1390" t="s">
        <v>29</v>
      </c>
      <c r="I1390" t="s">
        <v>70</v>
      </c>
      <c r="J1390" t="s">
        <v>31</v>
      </c>
      <c r="K1390" t="s">
        <v>111</v>
      </c>
      <c r="L1390" t="s">
        <v>26</v>
      </c>
      <c r="M1390" t="s">
        <v>124</v>
      </c>
      <c r="N1390" t="s">
        <v>28</v>
      </c>
      <c r="O1390">
        <v>0</v>
      </c>
      <c r="P1390">
        <v>35876</v>
      </c>
      <c r="Q1390">
        <f t="shared" si="24"/>
        <v>3.5875999999999998E-2</v>
      </c>
      <c r="R1390">
        <v>43252</v>
      </c>
      <c r="S1390" t="s">
        <v>122</v>
      </c>
    </row>
    <row r="1391" spans="1:19">
      <c r="A1391">
        <v>60000122</v>
      </c>
      <c r="B1391">
        <v>62</v>
      </c>
      <c r="C1391" t="s">
        <v>33</v>
      </c>
      <c r="D1391" t="s">
        <v>40</v>
      </c>
      <c r="E1391" t="s">
        <v>56</v>
      </c>
      <c r="F1391" t="s">
        <v>21</v>
      </c>
      <c r="G1391" s="23">
        <v>0.1</v>
      </c>
      <c r="H1391" t="s">
        <v>36</v>
      </c>
      <c r="I1391" t="s">
        <v>68</v>
      </c>
      <c r="J1391" t="s">
        <v>46</v>
      </c>
      <c r="K1391" t="s">
        <v>32</v>
      </c>
      <c r="L1391" t="s">
        <v>26</v>
      </c>
      <c r="M1391" t="s">
        <v>124</v>
      </c>
      <c r="N1391" t="s">
        <v>28</v>
      </c>
      <c r="O1391">
        <v>0</v>
      </c>
      <c r="P1391">
        <v>27806</v>
      </c>
      <c r="Q1391">
        <f t="shared" si="24"/>
        <v>2.7806000000000001E-2</v>
      </c>
      <c r="R1391">
        <v>43252</v>
      </c>
      <c r="S1391" t="s">
        <v>122</v>
      </c>
    </row>
    <row r="1392" spans="1:19">
      <c r="A1392">
        <v>60000123</v>
      </c>
      <c r="B1392">
        <v>63</v>
      </c>
      <c r="C1392" t="s">
        <v>33</v>
      </c>
      <c r="D1392" t="s">
        <v>19</v>
      </c>
      <c r="E1392" t="s">
        <v>48</v>
      </c>
      <c r="F1392" t="s">
        <v>21</v>
      </c>
      <c r="G1392" s="23">
        <v>0.21</v>
      </c>
      <c r="H1392" t="s">
        <v>29</v>
      </c>
      <c r="I1392" t="s">
        <v>45</v>
      </c>
      <c r="J1392" t="s">
        <v>91</v>
      </c>
      <c r="K1392" t="s">
        <v>99</v>
      </c>
      <c r="L1392" t="s">
        <v>26</v>
      </c>
      <c r="M1392" t="s">
        <v>124</v>
      </c>
      <c r="N1392" t="s">
        <v>28</v>
      </c>
      <c r="O1392">
        <v>7</v>
      </c>
      <c r="P1392">
        <v>63422</v>
      </c>
      <c r="Q1392">
        <f t="shared" si="24"/>
        <v>6.3422000000000006E-2</v>
      </c>
      <c r="R1392">
        <v>43252</v>
      </c>
      <c r="S1392" t="s">
        <v>122</v>
      </c>
    </row>
    <row r="1393" spans="1:19">
      <c r="A1393">
        <v>60000124</v>
      </c>
      <c r="B1393">
        <v>40</v>
      </c>
      <c r="C1393" t="s">
        <v>33</v>
      </c>
      <c r="D1393" t="s">
        <v>19</v>
      </c>
      <c r="E1393" t="s">
        <v>85</v>
      </c>
      <c r="F1393" t="s">
        <v>21</v>
      </c>
      <c r="G1393" s="23">
        <v>0.21</v>
      </c>
      <c r="H1393" t="s">
        <v>29</v>
      </c>
      <c r="I1393" t="s">
        <v>70</v>
      </c>
      <c r="J1393" t="s">
        <v>66</v>
      </c>
      <c r="K1393" t="s">
        <v>100</v>
      </c>
      <c r="L1393" t="s">
        <v>26</v>
      </c>
      <c r="M1393" t="s">
        <v>124</v>
      </c>
      <c r="N1393" t="s">
        <v>28</v>
      </c>
      <c r="O1393">
        <v>4</v>
      </c>
      <c r="P1393">
        <v>52615</v>
      </c>
      <c r="Q1393">
        <f t="shared" si="24"/>
        <v>5.2615000000000002E-2</v>
      </c>
      <c r="R1393">
        <v>43252</v>
      </c>
      <c r="S1393" t="s">
        <v>122</v>
      </c>
    </row>
    <row r="1394" spans="1:19">
      <c r="A1394">
        <v>60000125</v>
      </c>
      <c r="B1394">
        <v>32</v>
      </c>
      <c r="C1394" t="s">
        <v>33</v>
      </c>
      <c r="D1394" t="s">
        <v>19</v>
      </c>
      <c r="E1394" t="s">
        <v>41</v>
      </c>
      <c r="F1394" t="s">
        <v>21</v>
      </c>
      <c r="G1394" s="23">
        <v>0.35</v>
      </c>
      <c r="H1394" t="s">
        <v>42</v>
      </c>
      <c r="I1394" t="s">
        <v>45</v>
      </c>
      <c r="J1394" t="s">
        <v>74</v>
      </c>
      <c r="K1394" t="s">
        <v>93</v>
      </c>
      <c r="L1394" t="s">
        <v>26</v>
      </c>
      <c r="M1394" t="s">
        <v>124</v>
      </c>
      <c r="N1394" t="s">
        <v>28</v>
      </c>
      <c r="O1394">
        <v>0</v>
      </c>
      <c r="P1394">
        <v>77731</v>
      </c>
      <c r="Q1394">
        <f t="shared" si="24"/>
        <v>7.7730999999999995E-2</v>
      </c>
      <c r="R1394">
        <v>43252</v>
      </c>
      <c r="S1394" t="s">
        <v>122</v>
      </c>
    </row>
    <row r="1395" spans="1:19">
      <c r="A1395">
        <v>60000126</v>
      </c>
      <c r="B1395">
        <v>54</v>
      </c>
      <c r="C1395" t="s">
        <v>33</v>
      </c>
      <c r="D1395" t="s">
        <v>40</v>
      </c>
      <c r="E1395" t="s">
        <v>75</v>
      </c>
      <c r="F1395" t="s">
        <v>21</v>
      </c>
      <c r="G1395" s="23">
        <v>0.33</v>
      </c>
      <c r="H1395" t="s">
        <v>42</v>
      </c>
      <c r="I1395" t="s">
        <v>76</v>
      </c>
      <c r="J1395" t="s">
        <v>54</v>
      </c>
      <c r="K1395" t="s">
        <v>89</v>
      </c>
      <c r="L1395" t="s">
        <v>26</v>
      </c>
      <c r="M1395" t="s">
        <v>124</v>
      </c>
      <c r="N1395" t="s">
        <v>28</v>
      </c>
      <c r="O1395">
        <v>0</v>
      </c>
      <c r="P1395">
        <v>58121</v>
      </c>
      <c r="Q1395">
        <f t="shared" si="24"/>
        <v>5.8120999999999999E-2</v>
      </c>
      <c r="R1395">
        <v>43252</v>
      </c>
      <c r="S1395" t="s">
        <v>122</v>
      </c>
    </row>
    <row r="1396" spans="1:19">
      <c r="A1396">
        <v>60000127</v>
      </c>
      <c r="B1396">
        <v>21</v>
      </c>
      <c r="C1396" t="s">
        <v>33</v>
      </c>
      <c r="D1396" t="s">
        <v>40</v>
      </c>
      <c r="E1396" t="s">
        <v>75</v>
      </c>
      <c r="F1396" t="s">
        <v>21</v>
      </c>
      <c r="G1396" s="23">
        <v>0.23</v>
      </c>
      <c r="H1396" t="s">
        <v>29</v>
      </c>
      <c r="I1396" t="s">
        <v>30</v>
      </c>
      <c r="J1396" t="s">
        <v>24</v>
      </c>
      <c r="K1396" t="s">
        <v>62</v>
      </c>
      <c r="L1396" t="s">
        <v>26</v>
      </c>
      <c r="M1396" t="s">
        <v>124</v>
      </c>
      <c r="N1396" t="s">
        <v>28</v>
      </c>
      <c r="O1396">
        <v>4</v>
      </c>
      <c r="P1396">
        <v>48154</v>
      </c>
      <c r="Q1396">
        <f t="shared" si="24"/>
        <v>4.8154000000000002E-2</v>
      </c>
      <c r="R1396">
        <v>43252</v>
      </c>
      <c r="S1396" t="s">
        <v>122</v>
      </c>
    </row>
    <row r="1397" spans="1:19">
      <c r="A1397">
        <v>60000128</v>
      </c>
      <c r="B1397">
        <v>33</v>
      </c>
      <c r="C1397" t="s">
        <v>18</v>
      </c>
      <c r="D1397" t="s">
        <v>19</v>
      </c>
      <c r="E1397" t="s">
        <v>44</v>
      </c>
      <c r="F1397" t="s">
        <v>21</v>
      </c>
      <c r="G1397" s="23">
        <v>0.13</v>
      </c>
      <c r="H1397" t="s">
        <v>22</v>
      </c>
      <c r="I1397" t="s">
        <v>68</v>
      </c>
      <c r="J1397" t="s">
        <v>61</v>
      </c>
      <c r="K1397" t="s">
        <v>59</v>
      </c>
      <c r="L1397" t="s">
        <v>26</v>
      </c>
      <c r="M1397" t="s">
        <v>124</v>
      </c>
      <c r="N1397" t="s">
        <v>28</v>
      </c>
      <c r="O1397">
        <v>4</v>
      </c>
      <c r="P1397">
        <v>30044</v>
      </c>
      <c r="Q1397">
        <f t="shared" si="24"/>
        <v>3.0044000000000001E-2</v>
      </c>
      <c r="R1397">
        <v>43252</v>
      </c>
      <c r="S1397" t="s">
        <v>122</v>
      </c>
    </row>
    <row r="1398" spans="1:19">
      <c r="A1398">
        <v>60000129</v>
      </c>
      <c r="B1398">
        <v>41</v>
      </c>
      <c r="C1398" t="s">
        <v>33</v>
      </c>
      <c r="D1398" t="s">
        <v>40</v>
      </c>
      <c r="E1398" t="s">
        <v>72</v>
      </c>
      <c r="F1398" t="s">
        <v>21</v>
      </c>
      <c r="G1398" s="23">
        <v>0.12</v>
      </c>
      <c r="H1398" t="s">
        <v>22</v>
      </c>
      <c r="I1398" t="s">
        <v>60</v>
      </c>
      <c r="J1398" t="s">
        <v>38</v>
      </c>
      <c r="K1398" t="s">
        <v>83</v>
      </c>
      <c r="L1398" t="s">
        <v>26</v>
      </c>
      <c r="M1398" t="s">
        <v>124</v>
      </c>
      <c r="N1398" t="s">
        <v>28</v>
      </c>
      <c r="O1398">
        <v>1</v>
      </c>
      <c r="P1398">
        <v>70847</v>
      </c>
      <c r="Q1398">
        <f t="shared" si="24"/>
        <v>7.0846999999999993E-2</v>
      </c>
      <c r="R1398">
        <v>43252</v>
      </c>
      <c r="S1398" t="s">
        <v>122</v>
      </c>
    </row>
    <row r="1399" spans="1:19">
      <c r="A1399">
        <v>60000130</v>
      </c>
      <c r="B1399">
        <v>62</v>
      </c>
      <c r="C1399" t="s">
        <v>18</v>
      </c>
      <c r="D1399" t="s">
        <v>40</v>
      </c>
      <c r="E1399" t="s">
        <v>44</v>
      </c>
      <c r="F1399" t="s">
        <v>21</v>
      </c>
      <c r="G1399" s="23">
        <v>0.15</v>
      </c>
      <c r="H1399" t="s">
        <v>22</v>
      </c>
      <c r="I1399" t="s">
        <v>37</v>
      </c>
      <c r="J1399" t="s">
        <v>54</v>
      </c>
      <c r="K1399" t="s">
        <v>25</v>
      </c>
      <c r="L1399" t="s">
        <v>26</v>
      </c>
      <c r="M1399" t="s">
        <v>124</v>
      </c>
      <c r="N1399" t="s">
        <v>28</v>
      </c>
      <c r="O1399">
        <v>1</v>
      </c>
      <c r="P1399">
        <v>73043</v>
      </c>
      <c r="Q1399">
        <f t="shared" si="24"/>
        <v>7.3042999999999997E-2</v>
      </c>
      <c r="R1399">
        <v>43252</v>
      </c>
      <c r="S1399" t="s">
        <v>122</v>
      </c>
    </row>
    <row r="1400" spans="1:19">
      <c r="A1400">
        <v>60000131</v>
      </c>
      <c r="B1400">
        <v>55</v>
      </c>
      <c r="C1400" t="s">
        <v>33</v>
      </c>
      <c r="D1400" t="s">
        <v>19</v>
      </c>
      <c r="E1400" t="s">
        <v>48</v>
      </c>
      <c r="F1400" t="s">
        <v>21</v>
      </c>
      <c r="G1400" s="23">
        <v>0.21</v>
      </c>
      <c r="H1400" t="s">
        <v>29</v>
      </c>
      <c r="I1400" t="s">
        <v>76</v>
      </c>
      <c r="J1400" t="s">
        <v>78</v>
      </c>
      <c r="K1400" t="s">
        <v>109</v>
      </c>
      <c r="L1400" t="s">
        <v>26</v>
      </c>
      <c r="M1400" t="s">
        <v>124</v>
      </c>
      <c r="N1400" t="s">
        <v>28</v>
      </c>
      <c r="O1400">
        <v>0</v>
      </c>
      <c r="P1400">
        <v>31925</v>
      </c>
      <c r="Q1400">
        <f t="shared" si="24"/>
        <v>3.1925000000000002E-2</v>
      </c>
      <c r="R1400">
        <v>43252</v>
      </c>
      <c r="S1400" t="s">
        <v>122</v>
      </c>
    </row>
    <row r="1401" spans="1:19">
      <c r="A1401">
        <v>60000132</v>
      </c>
      <c r="B1401">
        <v>60</v>
      </c>
      <c r="C1401" t="s">
        <v>33</v>
      </c>
      <c r="D1401" t="s">
        <v>19</v>
      </c>
      <c r="E1401" t="s">
        <v>41</v>
      </c>
      <c r="F1401" t="s">
        <v>21</v>
      </c>
      <c r="G1401" s="23">
        <v>0.11</v>
      </c>
      <c r="H1401" t="s">
        <v>36</v>
      </c>
      <c r="I1401" t="s">
        <v>80</v>
      </c>
      <c r="J1401" t="s">
        <v>58</v>
      </c>
      <c r="K1401" t="s">
        <v>87</v>
      </c>
      <c r="L1401" t="s">
        <v>26</v>
      </c>
      <c r="M1401" t="s">
        <v>124</v>
      </c>
      <c r="N1401" t="s">
        <v>28</v>
      </c>
      <c r="O1401">
        <v>0</v>
      </c>
      <c r="P1401">
        <v>75752</v>
      </c>
      <c r="Q1401">
        <f t="shared" si="24"/>
        <v>7.5752E-2</v>
      </c>
      <c r="R1401">
        <v>43252</v>
      </c>
      <c r="S1401" t="s">
        <v>122</v>
      </c>
    </row>
    <row r="1402" spans="1:19">
      <c r="A1402">
        <v>60000133</v>
      </c>
      <c r="B1402">
        <v>43</v>
      </c>
      <c r="C1402" t="s">
        <v>33</v>
      </c>
      <c r="D1402" t="s">
        <v>19</v>
      </c>
      <c r="E1402" t="s">
        <v>72</v>
      </c>
      <c r="F1402" t="s">
        <v>21</v>
      </c>
      <c r="G1402" s="23">
        <v>0.21</v>
      </c>
      <c r="H1402" t="s">
        <v>29</v>
      </c>
      <c r="I1402" t="s">
        <v>45</v>
      </c>
      <c r="J1402" t="s">
        <v>69</v>
      </c>
      <c r="K1402" t="s">
        <v>97</v>
      </c>
      <c r="L1402" t="s">
        <v>26</v>
      </c>
      <c r="M1402" t="s">
        <v>124</v>
      </c>
      <c r="N1402" t="s">
        <v>28</v>
      </c>
      <c r="O1402">
        <v>0</v>
      </c>
      <c r="P1402">
        <v>24793</v>
      </c>
      <c r="Q1402">
        <f t="shared" si="24"/>
        <v>2.4792999999999999E-2</v>
      </c>
      <c r="R1402">
        <v>43252</v>
      </c>
      <c r="S1402" t="s">
        <v>122</v>
      </c>
    </row>
    <row r="1403" spans="1:19">
      <c r="A1403">
        <v>60000134</v>
      </c>
      <c r="B1403">
        <v>26</v>
      </c>
      <c r="C1403" t="s">
        <v>18</v>
      </c>
      <c r="D1403" t="s">
        <v>40</v>
      </c>
      <c r="E1403" t="s">
        <v>85</v>
      </c>
      <c r="F1403" t="s">
        <v>21</v>
      </c>
      <c r="G1403" s="23">
        <v>0.28999999999999998</v>
      </c>
      <c r="H1403" t="s">
        <v>53</v>
      </c>
      <c r="I1403" t="s">
        <v>86</v>
      </c>
      <c r="J1403" t="s">
        <v>74</v>
      </c>
      <c r="K1403" t="s">
        <v>49</v>
      </c>
      <c r="L1403" t="s">
        <v>26</v>
      </c>
      <c r="M1403" t="s">
        <v>124</v>
      </c>
      <c r="N1403" t="s">
        <v>28</v>
      </c>
      <c r="O1403">
        <v>0</v>
      </c>
      <c r="P1403">
        <v>58103</v>
      </c>
      <c r="Q1403">
        <f t="shared" si="24"/>
        <v>5.8103000000000002E-2</v>
      </c>
      <c r="R1403">
        <v>43252</v>
      </c>
      <c r="S1403" t="s">
        <v>122</v>
      </c>
    </row>
    <row r="1404" spans="1:19">
      <c r="A1404">
        <v>60000135</v>
      </c>
      <c r="B1404">
        <v>60</v>
      </c>
      <c r="C1404" t="s">
        <v>18</v>
      </c>
      <c r="D1404" t="s">
        <v>40</v>
      </c>
      <c r="E1404" t="s">
        <v>56</v>
      </c>
      <c r="F1404" t="s">
        <v>21</v>
      </c>
      <c r="G1404" s="23">
        <v>0.33</v>
      </c>
      <c r="H1404" t="s">
        <v>42</v>
      </c>
      <c r="I1404" t="s">
        <v>70</v>
      </c>
      <c r="J1404" t="s">
        <v>91</v>
      </c>
      <c r="K1404" t="s">
        <v>96</v>
      </c>
      <c r="L1404" t="s">
        <v>26</v>
      </c>
      <c r="M1404" t="s">
        <v>124</v>
      </c>
      <c r="N1404" t="s">
        <v>28</v>
      </c>
      <c r="O1404">
        <v>1</v>
      </c>
      <c r="P1404">
        <v>46478</v>
      </c>
      <c r="Q1404">
        <f t="shared" si="24"/>
        <v>4.6477999999999998E-2</v>
      </c>
      <c r="R1404">
        <v>43252</v>
      </c>
      <c r="S1404" t="s">
        <v>122</v>
      </c>
    </row>
    <row r="1405" spans="1:19">
      <c r="A1405">
        <v>60000136</v>
      </c>
      <c r="B1405">
        <v>34</v>
      </c>
      <c r="C1405" t="s">
        <v>18</v>
      </c>
      <c r="D1405" t="s">
        <v>19</v>
      </c>
      <c r="E1405" t="s">
        <v>20</v>
      </c>
      <c r="F1405" t="s">
        <v>21</v>
      </c>
      <c r="G1405" s="23">
        <v>0.3</v>
      </c>
      <c r="H1405" t="s">
        <v>53</v>
      </c>
      <c r="I1405" t="s">
        <v>70</v>
      </c>
      <c r="J1405" t="s">
        <v>24</v>
      </c>
      <c r="K1405" t="s">
        <v>109</v>
      </c>
      <c r="L1405" t="s">
        <v>26</v>
      </c>
      <c r="M1405" t="s">
        <v>124</v>
      </c>
      <c r="N1405" t="s">
        <v>28</v>
      </c>
      <c r="O1405">
        <v>3</v>
      </c>
      <c r="P1405">
        <v>83401</v>
      </c>
      <c r="Q1405">
        <f t="shared" si="24"/>
        <v>8.3401000000000003E-2</v>
      </c>
      <c r="R1405">
        <v>43252</v>
      </c>
      <c r="S1405" t="s">
        <v>122</v>
      </c>
    </row>
    <row r="1406" spans="1:19">
      <c r="A1406">
        <v>60000137</v>
      </c>
      <c r="B1406">
        <v>55</v>
      </c>
      <c r="C1406" t="s">
        <v>18</v>
      </c>
      <c r="D1406" t="s">
        <v>19</v>
      </c>
      <c r="E1406" t="s">
        <v>75</v>
      </c>
      <c r="F1406" t="s">
        <v>21</v>
      </c>
      <c r="G1406" s="23">
        <v>0.25</v>
      </c>
      <c r="H1406" t="s">
        <v>53</v>
      </c>
      <c r="I1406" t="s">
        <v>60</v>
      </c>
      <c r="J1406" t="s">
        <v>74</v>
      </c>
      <c r="K1406" t="s">
        <v>71</v>
      </c>
      <c r="L1406" t="s">
        <v>26</v>
      </c>
      <c r="M1406" t="s">
        <v>124</v>
      </c>
      <c r="N1406" t="s">
        <v>28</v>
      </c>
      <c r="O1406">
        <v>0</v>
      </c>
      <c r="P1406">
        <v>61812</v>
      </c>
      <c r="Q1406">
        <f t="shared" si="24"/>
        <v>6.1811999999999999E-2</v>
      </c>
      <c r="R1406">
        <v>43252</v>
      </c>
      <c r="S1406" t="s">
        <v>122</v>
      </c>
    </row>
    <row r="1407" spans="1:19">
      <c r="A1407">
        <v>60000138</v>
      </c>
      <c r="B1407">
        <v>26</v>
      </c>
      <c r="C1407" t="s">
        <v>18</v>
      </c>
      <c r="D1407" t="s">
        <v>19</v>
      </c>
      <c r="E1407" t="s">
        <v>85</v>
      </c>
      <c r="F1407" t="s">
        <v>21</v>
      </c>
      <c r="G1407" s="23">
        <v>0.33</v>
      </c>
      <c r="H1407" t="s">
        <v>42</v>
      </c>
      <c r="I1407" t="s">
        <v>62</v>
      </c>
      <c r="J1407" t="s">
        <v>31</v>
      </c>
      <c r="K1407" t="s">
        <v>108</v>
      </c>
      <c r="L1407" t="s">
        <v>26</v>
      </c>
      <c r="M1407" t="s">
        <v>124</v>
      </c>
      <c r="N1407" t="s">
        <v>28</v>
      </c>
      <c r="O1407">
        <v>0</v>
      </c>
      <c r="P1407">
        <v>58973</v>
      </c>
      <c r="Q1407">
        <f t="shared" si="24"/>
        <v>5.8972999999999998E-2</v>
      </c>
      <c r="R1407">
        <v>43252</v>
      </c>
      <c r="S1407" t="s">
        <v>122</v>
      </c>
    </row>
    <row r="1408" spans="1:19">
      <c r="A1408">
        <v>60000139</v>
      </c>
      <c r="B1408">
        <v>31</v>
      </c>
      <c r="C1408" t="s">
        <v>18</v>
      </c>
      <c r="D1408" t="s">
        <v>40</v>
      </c>
      <c r="E1408" t="s">
        <v>52</v>
      </c>
      <c r="F1408" t="s">
        <v>21</v>
      </c>
      <c r="G1408" s="23">
        <v>0.23</v>
      </c>
      <c r="H1408" t="s">
        <v>29</v>
      </c>
      <c r="I1408" t="s">
        <v>83</v>
      </c>
      <c r="J1408" t="s">
        <v>66</v>
      </c>
      <c r="K1408" t="s">
        <v>95</v>
      </c>
      <c r="L1408" t="s">
        <v>26</v>
      </c>
      <c r="M1408" t="s">
        <v>124</v>
      </c>
      <c r="N1408" t="s">
        <v>28</v>
      </c>
      <c r="O1408">
        <v>0</v>
      </c>
      <c r="P1408">
        <v>36477</v>
      </c>
      <c r="Q1408">
        <f t="shared" si="24"/>
        <v>3.6477000000000002E-2</v>
      </c>
      <c r="R1408">
        <v>43252</v>
      </c>
      <c r="S1408" t="s">
        <v>122</v>
      </c>
    </row>
    <row r="1409" spans="1:19">
      <c r="A1409">
        <v>60000140</v>
      </c>
      <c r="B1409">
        <v>43</v>
      </c>
      <c r="C1409" t="s">
        <v>33</v>
      </c>
      <c r="D1409" t="s">
        <v>40</v>
      </c>
      <c r="E1409" t="s">
        <v>56</v>
      </c>
      <c r="F1409" t="s">
        <v>21</v>
      </c>
      <c r="G1409" s="23">
        <v>0.33</v>
      </c>
      <c r="H1409" t="s">
        <v>42</v>
      </c>
      <c r="I1409" t="s">
        <v>37</v>
      </c>
      <c r="J1409" t="s">
        <v>54</v>
      </c>
      <c r="K1409" t="s">
        <v>92</v>
      </c>
      <c r="L1409" t="s">
        <v>26</v>
      </c>
      <c r="M1409" t="s">
        <v>124</v>
      </c>
      <c r="N1409" t="s">
        <v>28</v>
      </c>
      <c r="O1409">
        <v>4</v>
      </c>
      <c r="P1409">
        <v>33098</v>
      </c>
      <c r="Q1409">
        <f t="shared" si="24"/>
        <v>3.3098000000000002E-2</v>
      </c>
      <c r="R1409">
        <v>43252</v>
      </c>
      <c r="S1409" t="s">
        <v>122</v>
      </c>
    </row>
    <row r="1410" spans="1:19">
      <c r="A1410">
        <v>60000141</v>
      </c>
      <c r="B1410">
        <v>55</v>
      </c>
      <c r="C1410" t="s">
        <v>18</v>
      </c>
      <c r="D1410" t="s">
        <v>40</v>
      </c>
      <c r="E1410" t="s">
        <v>72</v>
      </c>
      <c r="F1410" t="s">
        <v>21</v>
      </c>
      <c r="G1410" s="23">
        <v>0.12</v>
      </c>
      <c r="H1410" t="s">
        <v>22</v>
      </c>
      <c r="I1410" t="s">
        <v>62</v>
      </c>
      <c r="J1410" t="s">
        <v>58</v>
      </c>
      <c r="K1410" t="s">
        <v>32</v>
      </c>
      <c r="L1410" t="s">
        <v>26</v>
      </c>
      <c r="M1410" t="s">
        <v>124</v>
      </c>
      <c r="N1410" t="s">
        <v>28</v>
      </c>
      <c r="O1410">
        <v>0</v>
      </c>
      <c r="P1410">
        <v>71611</v>
      </c>
      <c r="Q1410">
        <f t="shared" si="24"/>
        <v>7.1610999999999994E-2</v>
      </c>
      <c r="R1410">
        <v>43252</v>
      </c>
      <c r="S1410" t="s">
        <v>122</v>
      </c>
    </row>
    <row r="1411" spans="1:19">
      <c r="A1411">
        <v>60000142</v>
      </c>
      <c r="B1411">
        <v>22</v>
      </c>
      <c r="C1411" t="s">
        <v>33</v>
      </c>
      <c r="D1411" t="s">
        <v>40</v>
      </c>
      <c r="E1411" t="s">
        <v>41</v>
      </c>
      <c r="F1411" t="s">
        <v>21</v>
      </c>
      <c r="G1411" s="23">
        <v>0.38</v>
      </c>
      <c r="H1411" t="s">
        <v>42</v>
      </c>
      <c r="I1411" t="s">
        <v>80</v>
      </c>
      <c r="J1411" t="s">
        <v>58</v>
      </c>
      <c r="K1411" t="s">
        <v>104</v>
      </c>
      <c r="L1411" t="s">
        <v>26</v>
      </c>
      <c r="M1411" t="s">
        <v>124</v>
      </c>
      <c r="N1411" t="s">
        <v>28</v>
      </c>
      <c r="O1411">
        <v>0</v>
      </c>
      <c r="P1411">
        <v>29276</v>
      </c>
      <c r="Q1411">
        <f t="shared" si="24"/>
        <v>2.9276E-2</v>
      </c>
      <c r="R1411">
        <v>43252</v>
      </c>
      <c r="S1411" t="s">
        <v>122</v>
      </c>
    </row>
    <row r="1412" spans="1:19">
      <c r="A1412">
        <v>60000143</v>
      </c>
      <c r="B1412">
        <v>44</v>
      </c>
      <c r="C1412" t="s">
        <v>18</v>
      </c>
      <c r="D1412" t="s">
        <v>40</v>
      </c>
      <c r="E1412" t="s">
        <v>41</v>
      </c>
      <c r="F1412" t="s">
        <v>21</v>
      </c>
      <c r="G1412" s="23">
        <v>0.35</v>
      </c>
      <c r="H1412" t="s">
        <v>42</v>
      </c>
      <c r="I1412" t="s">
        <v>73</v>
      </c>
      <c r="J1412" t="s">
        <v>24</v>
      </c>
      <c r="K1412" t="s">
        <v>112</v>
      </c>
      <c r="L1412" t="s">
        <v>26</v>
      </c>
      <c r="M1412" t="s">
        <v>124</v>
      </c>
      <c r="N1412" t="s">
        <v>28</v>
      </c>
      <c r="O1412">
        <v>2</v>
      </c>
      <c r="P1412">
        <v>26313</v>
      </c>
      <c r="Q1412">
        <f t="shared" ref="Q1412:Q1475" si="25">+P1412/1000000</f>
        <v>2.6313E-2</v>
      </c>
      <c r="R1412">
        <v>43252</v>
      </c>
      <c r="S1412" t="s">
        <v>122</v>
      </c>
    </row>
    <row r="1413" spans="1:19">
      <c r="A1413">
        <v>60000144</v>
      </c>
      <c r="B1413">
        <v>51</v>
      </c>
      <c r="C1413" t="s">
        <v>33</v>
      </c>
      <c r="D1413" t="s">
        <v>19</v>
      </c>
      <c r="E1413" t="s">
        <v>64</v>
      </c>
      <c r="F1413" t="s">
        <v>21</v>
      </c>
      <c r="G1413" s="23">
        <v>0.15</v>
      </c>
      <c r="H1413" t="s">
        <v>22</v>
      </c>
      <c r="I1413" t="s">
        <v>76</v>
      </c>
      <c r="J1413" t="s">
        <v>78</v>
      </c>
      <c r="K1413" t="s">
        <v>105</v>
      </c>
      <c r="L1413" t="s">
        <v>26</v>
      </c>
      <c r="M1413" t="s">
        <v>124</v>
      </c>
      <c r="N1413" t="s">
        <v>28</v>
      </c>
      <c r="O1413">
        <v>0</v>
      </c>
      <c r="P1413">
        <v>35278</v>
      </c>
      <c r="Q1413">
        <f t="shared" si="25"/>
        <v>3.5277999999999997E-2</v>
      </c>
      <c r="R1413">
        <v>43252</v>
      </c>
      <c r="S1413" t="s">
        <v>122</v>
      </c>
    </row>
    <row r="1414" spans="1:19">
      <c r="A1414">
        <v>60000145</v>
      </c>
      <c r="B1414">
        <v>62</v>
      </c>
      <c r="C1414" t="s">
        <v>33</v>
      </c>
      <c r="D1414" t="s">
        <v>19</v>
      </c>
      <c r="E1414" t="s">
        <v>72</v>
      </c>
      <c r="F1414" t="s">
        <v>21</v>
      </c>
      <c r="G1414" s="23">
        <v>0.16</v>
      </c>
      <c r="H1414" t="s">
        <v>22</v>
      </c>
      <c r="I1414" t="s">
        <v>80</v>
      </c>
      <c r="J1414" t="s">
        <v>91</v>
      </c>
      <c r="K1414" t="s">
        <v>112</v>
      </c>
      <c r="L1414" t="s">
        <v>26</v>
      </c>
      <c r="M1414" t="s">
        <v>124</v>
      </c>
      <c r="N1414" t="s">
        <v>28</v>
      </c>
      <c r="O1414">
        <v>2</v>
      </c>
      <c r="P1414">
        <v>72189</v>
      </c>
      <c r="Q1414">
        <f t="shared" si="25"/>
        <v>7.2189000000000003E-2</v>
      </c>
      <c r="R1414">
        <v>43252</v>
      </c>
      <c r="S1414" t="s">
        <v>122</v>
      </c>
    </row>
    <row r="1415" spans="1:19">
      <c r="A1415">
        <v>60000146</v>
      </c>
      <c r="B1415">
        <v>46</v>
      </c>
      <c r="C1415" t="s">
        <v>18</v>
      </c>
      <c r="D1415" t="s">
        <v>40</v>
      </c>
      <c r="E1415" t="s">
        <v>72</v>
      </c>
      <c r="F1415" t="s">
        <v>21</v>
      </c>
      <c r="G1415" s="23">
        <v>0.19</v>
      </c>
      <c r="H1415" t="s">
        <v>29</v>
      </c>
      <c r="I1415" t="s">
        <v>68</v>
      </c>
      <c r="J1415" t="s">
        <v>31</v>
      </c>
      <c r="K1415" t="s">
        <v>106</v>
      </c>
      <c r="L1415" t="s">
        <v>26</v>
      </c>
      <c r="M1415" t="s">
        <v>124</v>
      </c>
      <c r="N1415" t="s">
        <v>28</v>
      </c>
      <c r="O1415">
        <v>0</v>
      </c>
      <c r="P1415">
        <v>47169</v>
      </c>
      <c r="Q1415">
        <f t="shared" si="25"/>
        <v>4.7169000000000003E-2</v>
      </c>
      <c r="R1415">
        <v>43252</v>
      </c>
      <c r="S1415" t="s">
        <v>122</v>
      </c>
    </row>
    <row r="1416" spans="1:19">
      <c r="A1416">
        <v>60000147</v>
      </c>
      <c r="B1416">
        <v>22</v>
      </c>
      <c r="C1416" t="s">
        <v>33</v>
      </c>
      <c r="D1416" t="s">
        <v>19</v>
      </c>
      <c r="E1416" t="s">
        <v>34</v>
      </c>
      <c r="F1416" t="s">
        <v>21</v>
      </c>
      <c r="G1416" s="23">
        <v>0.37</v>
      </c>
      <c r="H1416" t="s">
        <v>42</v>
      </c>
      <c r="I1416" t="s">
        <v>30</v>
      </c>
      <c r="J1416" t="s">
        <v>58</v>
      </c>
      <c r="K1416" t="s">
        <v>79</v>
      </c>
      <c r="L1416" t="s">
        <v>26</v>
      </c>
      <c r="M1416" t="s">
        <v>124</v>
      </c>
      <c r="N1416" t="s">
        <v>28</v>
      </c>
      <c r="O1416">
        <v>0</v>
      </c>
      <c r="P1416">
        <v>33136</v>
      </c>
      <c r="Q1416">
        <f t="shared" si="25"/>
        <v>3.3135999999999999E-2</v>
      </c>
      <c r="R1416">
        <v>43252</v>
      </c>
      <c r="S1416" t="s">
        <v>122</v>
      </c>
    </row>
    <row r="1417" spans="1:19">
      <c r="A1417">
        <v>60000148</v>
      </c>
      <c r="B1417">
        <v>47</v>
      </c>
      <c r="C1417" t="s">
        <v>18</v>
      </c>
      <c r="D1417" t="s">
        <v>40</v>
      </c>
      <c r="E1417" t="s">
        <v>72</v>
      </c>
      <c r="F1417" t="s">
        <v>21</v>
      </c>
      <c r="G1417" s="23">
        <v>0.18</v>
      </c>
      <c r="H1417" t="s">
        <v>22</v>
      </c>
      <c r="I1417" t="s">
        <v>76</v>
      </c>
      <c r="J1417" t="s">
        <v>46</v>
      </c>
      <c r="K1417" t="s">
        <v>93</v>
      </c>
      <c r="L1417" t="s">
        <v>26</v>
      </c>
      <c r="M1417" t="s">
        <v>124</v>
      </c>
      <c r="N1417" t="s">
        <v>28</v>
      </c>
      <c r="O1417">
        <v>7</v>
      </c>
      <c r="P1417">
        <v>60885</v>
      </c>
      <c r="Q1417">
        <f t="shared" si="25"/>
        <v>6.0885000000000002E-2</v>
      </c>
      <c r="R1417">
        <v>43252</v>
      </c>
      <c r="S1417" t="s">
        <v>122</v>
      </c>
    </row>
    <row r="1418" spans="1:19">
      <c r="A1418">
        <v>60000149</v>
      </c>
      <c r="B1418">
        <v>63</v>
      </c>
      <c r="C1418" t="s">
        <v>18</v>
      </c>
      <c r="D1418" t="s">
        <v>19</v>
      </c>
      <c r="E1418" t="s">
        <v>48</v>
      </c>
      <c r="F1418" t="s">
        <v>21</v>
      </c>
      <c r="G1418" s="23">
        <v>0.2</v>
      </c>
      <c r="H1418" t="s">
        <v>29</v>
      </c>
      <c r="I1418" t="s">
        <v>45</v>
      </c>
      <c r="J1418" t="s">
        <v>78</v>
      </c>
      <c r="K1418" t="s">
        <v>79</v>
      </c>
      <c r="L1418" t="s">
        <v>26</v>
      </c>
      <c r="M1418" t="s">
        <v>124</v>
      </c>
      <c r="N1418" t="s">
        <v>28</v>
      </c>
      <c r="O1418">
        <v>2</v>
      </c>
      <c r="P1418">
        <v>74807</v>
      </c>
      <c r="Q1418">
        <f t="shared" si="25"/>
        <v>7.4806999999999998E-2</v>
      </c>
      <c r="R1418">
        <v>43252</v>
      </c>
      <c r="S1418" t="s">
        <v>122</v>
      </c>
    </row>
    <row r="1419" spans="1:19">
      <c r="A1419">
        <v>60000150</v>
      </c>
      <c r="B1419">
        <v>52</v>
      </c>
      <c r="C1419" t="s">
        <v>33</v>
      </c>
      <c r="D1419" t="s">
        <v>40</v>
      </c>
      <c r="E1419" t="s">
        <v>72</v>
      </c>
      <c r="F1419" t="s">
        <v>21</v>
      </c>
      <c r="G1419" s="23">
        <v>0.1</v>
      </c>
      <c r="H1419" t="s">
        <v>36</v>
      </c>
      <c r="I1419" t="s">
        <v>80</v>
      </c>
      <c r="J1419" t="s">
        <v>54</v>
      </c>
      <c r="K1419" t="s">
        <v>82</v>
      </c>
      <c r="L1419" t="s">
        <v>26</v>
      </c>
      <c r="M1419" t="s">
        <v>124</v>
      </c>
      <c r="N1419" t="s">
        <v>28</v>
      </c>
      <c r="O1419">
        <v>5</v>
      </c>
      <c r="P1419">
        <v>60944</v>
      </c>
      <c r="Q1419">
        <f t="shared" si="25"/>
        <v>6.0943999999999998E-2</v>
      </c>
      <c r="R1419">
        <v>43252</v>
      </c>
      <c r="S1419" t="s">
        <v>122</v>
      </c>
    </row>
    <row r="1420" spans="1:19">
      <c r="A1420">
        <v>60000151</v>
      </c>
      <c r="B1420">
        <v>31</v>
      </c>
      <c r="C1420" t="s">
        <v>18</v>
      </c>
      <c r="D1420" t="s">
        <v>19</v>
      </c>
      <c r="E1420" t="s">
        <v>56</v>
      </c>
      <c r="F1420" t="s">
        <v>21</v>
      </c>
      <c r="G1420" s="23">
        <v>0.23</v>
      </c>
      <c r="H1420" t="s">
        <v>29</v>
      </c>
      <c r="I1420" t="s">
        <v>68</v>
      </c>
      <c r="J1420" t="s">
        <v>58</v>
      </c>
      <c r="K1420" t="s">
        <v>107</v>
      </c>
      <c r="L1420" t="s">
        <v>26</v>
      </c>
      <c r="M1420" t="s">
        <v>124</v>
      </c>
      <c r="N1420" t="s">
        <v>28</v>
      </c>
      <c r="O1420">
        <v>0</v>
      </c>
      <c r="P1420">
        <v>58918</v>
      </c>
      <c r="Q1420">
        <f t="shared" si="25"/>
        <v>5.8917999999999998E-2</v>
      </c>
      <c r="R1420">
        <v>43252</v>
      </c>
      <c r="S1420" t="s">
        <v>122</v>
      </c>
    </row>
    <row r="1421" spans="1:19">
      <c r="A1421">
        <v>60000152</v>
      </c>
      <c r="B1421">
        <v>24</v>
      </c>
      <c r="C1421" t="s">
        <v>18</v>
      </c>
      <c r="D1421" t="s">
        <v>19</v>
      </c>
      <c r="E1421" t="s">
        <v>56</v>
      </c>
      <c r="F1421" t="s">
        <v>21</v>
      </c>
      <c r="G1421" s="23">
        <v>0.35</v>
      </c>
      <c r="H1421" t="s">
        <v>42</v>
      </c>
      <c r="I1421" t="s">
        <v>86</v>
      </c>
      <c r="J1421" t="s">
        <v>88</v>
      </c>
      <c r="K1421" t="s">
        <v>47</v>
      </c>
      <c r="L1421" t="s">
        <v>26</v>
      </c>
      <c r="M1421" t="s">
        <v>124</v>
      </c>
      <c r="N1421" t="s">
        <v>28</v>
      </c>
      <c r="O1421">
        <v>0</v>
      </c>
      <c r="P1421">
        <v>37923</v>
      </c>
      <c r="Q1421">
        <f t="shared" si="25"/>
        <v>3.7922999999999998E-2</v>
      </c>
      <c r="R1421">
        <v>43252</v>
      </c>
      <c r="S1421" t="s">
        <v>122</v>
      </c>
    </row>
    <row r="1422" spans="1:19">
      <c r="A1422">
        <v>60000153</v>
      </c>
      <c r="B1422">
        <v>38</v>
      </c>
      <c r="C1422" t="s">
        <v>33</v>
      </c>
      <c r="D1422" t="s">
        <v>19</v>
      </c>
      <c r="E1422" t="s">
        <v>75</v>
      </c>
      <c r="F1422" t="s">
        <v>21</v>
      </c>
      <c r="G1422" s="23">
        <v>0.36</v>
      </c>
      <c r="H1422" t="s">
        <v>42</v>
      </c>
      <c r="I1422" t="s">
        <v>57</v>
      </c>
      <c r="J1422" t="s">
        <v>38</v>
      </c>
      <c r="K1422" t="s">
        <v>84</v>
      </c>
      <c r="L1422" t="s">
        <v>26</v>
      </c>
      <c r="M1422" t="s">
        <v>124</v>
      </c>
      <c r="N1422" t="s">
        <v>28</v>
      </c>
      <c r="O1422">
        <v>0</v>
      </c>
      <c r="P1422">
        <v>75896</v>
      </c>
      <c r="Q1422">
        <f t="shared" si="25"/>
        <v>7.5896000000000005E-2</v>
      </c>
      <c r="R1422">
        <v>43252</v>
      </c>
      <c r="S1422" t="s">
        <v>122</v>
      </c>
    </row>
    <row r="1423" spans="1:19">
      <c r="A1423">
        <v>60000154</v>
      </c>
      <c r="B1423">
        <v>35</v>
      </c>
      <c r="C1423" t="s">
        <v>33</v>
      </c>
      <c r="D1423" t="s">
        <v>19</v>
      </c>
      <c r="E1423" t="s">
        <v>75</v>
      </c>
      <c r="F1423" t="s">
        <v>21</v>
      </c>
      <c r="G1423" s="23">
        <v>0.16</v>
      </c>
      <c r="H1423" t="s">
        <v>22</v>
      </c>
      <c r="I1423" t="s">
        <v>65</v>
      </c>
      <c r="J1423" t="s">
        <v>38</v>
      </c>
      <c r="K1423" t="s">
        <v>118</v>
      </c>
      <c r="L1423" t="s">
        <v>26</v>
      </c>
      <c r="M1423" t="s">
        <v>124</v>
      </c>
      <c r="N1423" t="s">
        <v>28</v>
      </c>
      <c r="O1423">
        <v>0</v>
      </c>
      <c r="P1423">
        <v>39248</v>
      </c>
      <c r="Q1423">
        <f t="shared" si="25"/>
        <v>3.9247999999999998E-2</v>
      </c>
      <c r="R1423">
        <v>43252</v>
      </c>
      <c r="S1423" t="s">
        <v>122</v>
      </c>
    </row>
    <row r="1424" spans="1:19">
      <c r="A1424">
        <v>60000155</v>
      </c>
      <c r="B1424">
        <v>58</v>
      </c>
      <c r="C1424" t="s">
        <v>33</v>
      </c>
      <c r="D1424" t="s">
        <v>40</v>
      </c>
      <c r="E1424" t="s">
        <v>44</v>
      </c>
      <c r="F1424" t="s">
        <v>21</v>
      </c>
      <c r="G1424" s="23">
        <v>0.32</v>
      </c>
      <c r="H1424" t="s">
        <v>42</v>
      </c>
      <c r="I1424" t="s">
        <v>30</v>
      </c>
      <c r="J1424" t="s">
        <v>31</v>
      </c>
      <c r="K1424" t="s">
        <v>117</v>
      </c>
      <c r="L1424" t="s">
        <v>26</v>
      </c>
      <c r="M1424" t="s">
        <v>124</v>
      </c>
      <c r="N1424" t="s">
        <v>28</v>
      </c>
      <c r="O1424">
        <v>2</v>
      </c>
      <c r="P1424">
        <v>61793</v>
      </c>
      <c r="Q1424">
        <f t="shared" si="25"/>
        <v>6.1793000000000001E-2</v>
      </c>
      <c r="R1424">
        <v>43252</v>
      </c>
      <c r="S1424" t="s">
        <v>122</v>
      </c>
    </row>
    <row r="1425" spans="1:19">
      <c r="A1425">
        <v>60000156</v>
      </c>
      <c r="B1425">
        <v>43</v>
      </c>
      <c r="C1425" t="s">
        <v>33</v>
      </c>
      <c r="D1425" t="s">
        <v>40</v>
      </c>
      <c r="E1425" t="s">
        <v>48</v>
      </c>
      <c r="F1425" t="s">
        <v>21</v>
      </c>
      <c r="G1425" s="23">
        <v>0.35</v>
      </c>
      <c r="H1425" t="s">
        <v>42</v>
      </c>
      <c r="I1425" t="s">
        <v>57</v>
      </c>
      <c r="J1425" t="s">
        <v>61</v>
      </c>
      <c r="K1425" t="s">
        <v>60</v>
      </c>
      <c r="L1425" t="s">
        <v>26</v>
      </c>
      <c r="M1425" t="s">
        <v>124</v>
      </c>
      <c r="N1425" t="s">
        <v>28</v>
      </c>
      <c r="O1425">
        <v>0</v>
      </c>
      <c r="P1425">
        <v>84062</v>
      </c>
      <c r="Q1425">
        <f t="shared" si="25"/>
        <v>8.4061999999999998E-2</v>
      </c>
      <c r="R1425">
        <v>43252</v>
      </c>
      <c r="S1425" t="s">
        <v>122</v>
      </c>
    </row>
    <row r="1426" spans="1:19">
      <c r="A1426">
        <v>60000157</v>
      </c>
      <c r="B1426">
        <v>36</v>
      </c>
      <c r="C1426" t="s">
        <v>33</v>
      </c>
      <c r="D1426" t="s">
        <v>40</v>
      </c>
      <c r="E1426" t="s">
        <v>75</v>
      </c>
      <c r="F1426" t="s">
        <v>21</v>
      </c>
      <c r="G1426" s="23">
        <v>0.11</v>
      </c>
      <c r="H1426" t="s">
        <v>36</v>
      </c>
      <c r="I1426" t="s">
        <v>60</v>
      </c>
      <c r="J1426" t="s">
        <v>31</v>
      </c>
      <c r="K1426" t="s">
        <v>113</v>
      </c>
      <c r="L1426" t="s">
        <v>26</v>
      </c>
      <c r="M1426" t="s">
        <v>124</v>
      </c>
      <c r="N1426" t="s">
        <v>28</v>
      </c>
      <c r="O1426">
        <v>6</v>
      </c>
      <c r="P1426">
        <v>50759</v>
      </c>
      <c r="Q1426">
        <f t="shared" si="25"/>
        <v>5.0758999999999999E-2</v>
      </c>
      <c r="R1426">
        <v>43252</v>
      </c>
      <c r="S1426" t="s">
        <v>122</v>
      </c>
    </row>
    <row r="1427" spans="1:19">
      <c r="A1427">
        <v>60000158</v>
      </c>
      <c r="B1427">
        <v>35</v>
      </c>
      <c r="C1427" t="s">
        <v>33</v>
      </c>
      <c r="D1427" t="s">
        <v>19</v>
      </c>
      <c r="E1427" t="s">
        <v>64</v>
      </c>
      <c r="F1427" t="s">
        <v>21</v>
      </c>
      <c r="G1427" s="23">
        <v>0.31</v>
      </c>
      <c r="H1427" t="s">
        <v>53</v>
      </c>
      <c r="I1427" t="s">
        <v>23</v>
      </c>
      <c r="J1427" t="s">
        <v>46</v>
      </c>
      <c r="K1427" t="s">
        <v>113</v>
      </c>
      <c r="L1427" t="s">
        <v>26</v>
      </c>
      <c r="M1427" t="s">
        <v>124</v>
      </c>
      <c r="N1427" t="s">
        <v>28</v>
      </c>
      <c r="O1427">
        <v>6</v>
      </c>
      <c r="P1427">
        <v>29568</v>
      </c>
      <c r="Q1427">
        <f t="shared" si="25"/>
        <v>2.9568000000000001E-2</v>
      </c>
      <c r="R1427">
        <v>43252</v>
      </c>
      <c r="S1427" t="s">
        <v>122</v>
      </c>
    </row>
    <row r="1428" spans="1:19">
      <c r="A1428">
        <v>60000159</v>
      </c>
      <c r="B1428">
        <v>54</v>
      </c>
      <c r="C1428" t="s">
        <v>18</v>
      </c>
      <c r="D1428" t="s">
        <v>40</v>
      </c>
      <c r="E1428" t="s">
        <v>52</v>
      </c>
      <c r="F1428" t="s">
        <v>21</v>
      </c>
      <c r="G1428" s="23">
        <v>0.27</v>
      </c>
      <c r="H1428" t="s">
        <v>53</v>
      </c>
      <c r="I1428" t="s">
        <v>76</v>
      </c>
      <c r="J1428" t="s">
        <v>54</v>
      </c>
      <c r="K1428" t="s">
        <v>83</v>
      </c>
      <c r="L1428" t="s">
        <v>26</v>
      </c>
      <c r="M1428" t="s">
        <v>124</v>
      </c>
      <c r="N1428" t="s">
        <v>28</v>
      </c>
      <c r="O1428">
        <v>3</v>
      </c>
      <c r="P1428">
        <v>71682</v>
      </c>
      <c r="Q1428">
        <f t="shared" si="25"/>
        <v>7.1681999999999996E-2</v>
      </c>
      <c r="R1428">
        <v>43252</v>
      </c>
      <c r="S1428" t="s">
        <v>122</v>
      </c>
    </row>
    <row r="1429" spans="1:19">
      <c r="A1429">
        <v>60000160</v>
      </c>
      <c r="B1429">
        <v>52</v>
      </c>
      <c r="C1429" t="s">
        <v>33</v>
      </c>
      <c r="D1429" t="s">
        <v>40</v>
      </c>
      <c r="E1429" t="s">
        <v>34</v>
      </c>
      <c r="F1429" t="s">
        <v>21</v>
      </c>
      <c r="G1429" s="23">
        <v>0.19</v>
      </c>
      <c r="H1429" t="s">
        <v>29</v>
      </c>
      <c r="I1429" t="s">
        <v>65</v>
      </c>
      <c r="J1429" t="s">
        <v>58</v>
      </c>
      <c r="K1429" t="s">
        <v>106</v>
      </c>
      <c r="L1429" t="s">
        <v>26</v>
      </c>
      <c r="M1429" t="s">
        <v>124</v>
      </c>
      <c r="N1429" t="s">
        <v>28</v>
      </c>
      <c r="O1429">
        <v>0</v>
      </c>
      <c r="P1429">
        <v>70908</v>
      </c>
      <c r="Q1429">
        <f t="shared" si="25"/>
        <v>7.0907999999999999E-2</v>
      </c>
      <c r="R1429">
        <v>43252</v>
      </c>
      <c r="S1429" t="s">
        <v>122</v>
      </c>
    </row>
    <row r="1430" spans="1:19">
      <c r="A1430">
        <v>60000161</v>
      </c>
      <c r="B1430">
        <v>58</v>
      </c>
      <c r="C1430" t="s">
        <v>33</v>
      </c>
      <c r="D1430" t="s">
        <v>19</v>
      </c>
      <c r="E1430" t="s">
        <v>20</v>
      </c>
      <c r="F1430" t="s">
        <v>21</v>
      </c>
      <c r="G1430" s="23">
        <v>0.27</v>
      </c>
      <c r="H1430" t="s">
        <v>53</v>
      </c>
      <c r="I1430" t="s">
        <v>68</v>
      </c>
      <c r="J1430" t="s">
        <v>58</v>
      </c>
      <c r="K1430" t="s">
        <v>50</v>
      </c>
      <c r="L1430" t="s">
        <v>26</v>
      </c>
      <c r="M1430" t="s">
        <v>124</v>
      </c>
      <c r="N1430" t="s">
        <v>28</v>
      </c>
      <c r="O1430">
        <v>4</v>
      </c>
      <c r="P1430">
        <v>62729</v>
      </c>
      <c r="Q1430">
        <f t="shared" si="25"/>
        <v>6.2728999999999993E-2</v>
      </c>
      <c r="R1430">
        <v>43252</v>
      </c>
      <c r="S1430" t="s">
        <v>122</v>
      </c>
    </row>
    <row r="1431" spans="1:19">
      <c r="A1431">
        <v>60000162</v>
      </c>
      <c r="B1431">
        <v>25</v>
      </c>
      <c r="C1431" t="s">
        <v>18</v>
      </c>
      <c r="D1431" t="s">
        <v>19</v>
      </c>
      <c r="E1431" t="s">
        <v>52</v>
      </c>
      <c r="F1431" t="s">
        <v>21</v>
      </c>
      <c r="G1431" s="23">
        <v>0.21</v>
      </c>
      <c r="H1431" t="s">
        <v>29</v>
      </c>
      <c r="I1431" t="s">
        <v>37</v>
      </c>
      <c r="J1431" t="s">
        <v>58</v>
      </c>
      <c r="K1431" t="s">
        <v>100</v>
      </c>
      <c r="L1431" t="s">
        <v>26</v>
      </c>
      <c r="M1431" t="s">
        <v>124</v>
      </c>
      <c r="N1431" t="s">
        <v>28</v>
      </c>
      <c r="O1431">
        <v>5</v>
      </c>
      <c r="P1431">
        <v>51872</v>
      </c>
      <c r="Q1431">
        <f t="shared" si="25"/>
        <v>5.1872000000000001E-2</v>
      </c>
      <c r="R1431">
        <v>43252</v>
      </c>
      <c r="S1431" t="s">
        <v>122</v>
      </c>
    </row>
    <row r="1432" spans="1:19">
      <c r="A1432">
        <v>60000163</v>
      </c>
      <c r="B1432">
        <v>35</v>
      </c>
      <c r="C1432" t="s">
        <v>18</v>
      </c>
      <c r="D1432" t="s">
        <v>19</v>
      </c>
      <c r="E1432" t="s">
        <v>41</v>
      </c>
      <c r="F1432" t="s">
        <v>21</v>
      </c>
      <c r="G1432" s="23">
        <v>0.37</v>
      </c>
      <c r="H1432" t="s">
        <v>42</v>
      </c>
      <c r="I1432" t="s">
        <v>70</v>
      </c>
      <c r="J1432" t="s">
        <v>74</v>
      </c>
      <c r="K1432" t="s">
        <v>107</v>
      </c>
      <c r="L1432" t="s">
        <v>26</v>
      </c>
      <c r="M1432" t="s">
        <v>124</v>
      </c>
      <c r="N1432" t="s">
        <v>28</v>
      </c>
      <c r="O1432">
        <v>0</v>
      </c>
      <c r="P1432">
        <v>41202</v>
      </c>
      <c r="Q1432">
        <f t="shared" si="25"/>
        <v>4.1202000000000003E-2</v>
      </c>
      <c r="R1432">
        <v>43252</v>
      </c>
      <c r="S1432" t="s">
        <v>122</v>
      </c>
    </row>
    <row r="1433" spans="1:19">
      <c r="A1433">
        <v>60000164</v>
      </c>
      <c r="B1433">
        <v>21</v>
      </c>
      <c r="C1433" t="s">
        <v>33</v>
      </c>
      <c r="D1433" t="s">
        <v>40</v>
      </c>
      <c r="E1433" t="s">
        <v>44</v>
      </c>
      <c r="F1433" t="s">
        <v>21</v>
      </c>
      <c r="G1433" s="23">
        <v>0.33</v>
      </c>
      <c r="H1433" t="s">
        <v>42</v>
      </c>
      <c r="I1433" t="s">
        <v>73</v>
      </c>
      <c r="J1433" t="s">
        <v>46</v>
      </c>
      <c r="K1433" t="s">
        <v>81</v>
      </c>
      <c r="L1433" t="s">
        <v>26</v>
      </c>
      <c r="M1433" t="s">
        <v>124</v>
      </c>
      <c r="N1433" t="s">
        <v>28</v>
      </c>
      <c r="O1433">
        <v>6</v>
      </c>
      <c r="P1433">
        <v>54180</v>
      </c>
      <c r="Q1433">
        <f t="shared" si="25"/>
        <v>5.4179999999999999E-2</v>
      </c>
      <c r="R1433">
        <v>43252</v>
      </c>
      <c r="S1433" t="s">
        <v>122</v>
      </c>
    </row>
    <row r="1434" spans="1:19">
      <c r="A1434">
        <v>60000165</v>
      </c>
      <c r="B1434">
        <v>59</v>
      </c>
      <c r="C1434" t="s">
        <v>33</v>
      </c>
      <c r="D1434" t="s">
        <v>19</v>
      </c>
      <c r="E1434" t="s">
        <v>34</v>
      </c>
      <c r="F1434" t="s">
        <v>21</v>
      </c>
      <c r="G1434" s="23">
        <v>0.12</v>
      </c>
      <c r="H1434" t="s">
        <v>22</v>
      </c>
      <c r="I1434" t="s">
        <v>83</v>
      </c>
      <c r="J1434" t="s">
        <v>88</v>
      </c>
      <c r="K1434" t="s">
        <v>83</v>
      </c>
      <c r="L1434" t="s">
        <v>26</v>
      </c>
      <c r="M1434" t="s">
        <v>124</v>
      </c>
      <c r="N1434" t="s">
        <v>28</v>
      </c>
      <c r="O1434">
        <v>6</v>
      </c>
      <c r="P1434">
        <v>59795</v>
      </c>
      <c r="Q1434">
        <f t="shared" si="25"/>
        <v>5.9795000000000001E-2</v>
      </c>
      <c r="R1434">
        <v>43252</v>
      </c>
      <c r="S1434" t="s">
        <v>122</v>
      </c>
    </row>
    <row r="1435" spans="1:19">
      <c r="A1435">
        <v>60000166</v>
      </c>
      <c r="B1435">
        <v>27</v>
      </c>
      <c r="C1435" t="s">
        <v>33</v>
      </c>
      <c r="D1435" t="s">
        <v>19</v>
      </c>
      <c r="E1435" t="s">
        <v>56</v>
      </c>
      <c r="F1435" t="s">
        <v>21</v>
      </c>
      <c r="G1435" s="23">
        <v>0.37</v>
      </c>
      <c r="H1435" t="s">
        <v>42</v>
      </c>
      <c r="I1435" t="s">
        <v>70</v>
      </c>
      <c r="J1435" t="s">
        <v>91</v>
      </c>
      <c r="K1435" t="s">
        <v>49</v>
      </c>
      <c r="L1435" t="s">
        <v>26</v>
      </c>
      <c r="M1435" t="s">
        <v>124</v>
      </c>
      <c r="N1435" t="s">
        <v>28</v>
      </c>
      <c r="O1435">
        <v>0</v>
      </c>
      <c r="P1435">
        <v>26722</v>
      </c>
      <c r="Q1435">
        <f t="shared" si="25"/>
        <v>2.6721999999999999E-2</v>
      </c>
      <c r="R1435">
        <v>43252</v>
      </c>
      <c r="S1435" t="s">
        <v>122</v>
      </c>
    </row>
    <row r="1436" spans="1:19">
      <c r="A1436">
        <v>60000167</v>
      </c>
      <c r="B1436">
        <v>63</v>
      </c>
      <c r="C1436" t="s">
        <v>33</v>
      </c>
      <c r="D1436" t="s">
        <v>19</v>
      </c>
      <c r="E1436" t="s">
        <v>41</v>
      </c>
      <c r="F1436" t="s">
        <v>21</v>
      </c>
      <c r="G1436" s="23">
        <v>0.36</v>
      </c>
      <c r="H1436" t="s">
        <v>42</v>
      </c>
      <c r="I1436" t="s">
        <v>60</v>
      </c>
      <c r="J1436" t="s">
        <v>54</v>
      </c>
      <c r="K1436" t="s">
        <v>89</v>
      </c>
      <c r="L1436" t="s">
        <v>26</v>
      </c>
      <c r="M1436" t="s">
        <v>124</v>
      </c>
      <c r="N1436" t="s">
        <v>28</v>
      </c>
      <c r="O1436">
        <v>0</v>
      </c>
      <c r="P1436">
        <v>39648</v>
      </c>
      <c r="Q1436">
        <f t="shared" si="25"/>
        <v>3.9648000000000003E-2</v>
      </c>
      <c r="R1436">
        <v>43252</v>
      </c>
      <c r="S1436" t="s">
        <v>122</v>
      </c>
    </row>
    <row r="1437" spans="1:19">
      <c r="A1437">
        <v>60000168</v>
      </c>
      <c r="B1437">
        <v>45</v>
      </c>
      <c r="C1437" t="s">
        <v>33</v>
      </c>
      <c r="D1437" t="s">
        <v>40</v>
      </c>
      <c r="E1437" t="s">
        <v>72</v>
      </c>
      <c r="F1437" t="s">
        <v>21</v>
      </c>
      <c r="G1437" s="23">
        <v>0.35</v>
      </c>
      <c r="H1437" t="s">
        <v>42</v>
      </c>
      <c r="I1437" t="s">
        <v>83</v>
      </c>
      <c r="J1437" t="s">
        <v>46</v>
      </c>
      <c r="K1437" t="s">
        <v>71</v>
      </c>
      <c r="L1437" t="s">
        <v>26</v>
      </c>
      <c r="M1437" t="s">
        <v>124</v>
      </c>
      <c r="N1437" t="s">
        <v>28</v>
      </c>
      <c r="O1437">
        <v>5</v>
      </c>
      <c r="P1437">
        <v>63995</v>
      </c>
      <c r="Q1437">
        <f t="shared" si="25"/>
        <v>6.3994999999999996E-2</v>
      </c>
      <c r="R1437">
        <v>43252</v>
      </c>
      <c r="S1437" t="s">
        <v>122</v>
      </c>
    </row>
    <row r="1438" spans="1:19">
      <c r="A1438">
        <v>60000169</v>
      </c>
      <c r="B1438">
        <v>56</v>
      </c>
      <c r="C1438" t="s">
        <v>33</v>
      </c>
      <c r="D1438" t="s">
        <v>40</v>
      </c>
      <c r="E1438" t="s">
        <v>20</v>
      </c>
      <c r="F1438" t="s">
        <v>21</v>
      </c>
      <c r="G1438" s="23">
        <v>0.25</v>
      </c>
      <c r="H1438" t="s">
        <v>53</v>
      </c>
      <c r="I1438" t="s">
        <v>73</v>
      </c>
      <c r="J1438" t="s">
        <v>54</v>
      </c>
      <c r="K1438" t="s">
        <v>87</v>
      </c>
      <c r="L1438" t="s">
        <v>26</v>
      </c>
      <c r="M1438" t="s">
        <v>124</v>
      </c>
      <c r="N1438" t="s">
        <v>28</v>
      </c>
      <c r="O1438">
        <v>5</v>
      </c>
      <c r="P1438">
        <v>76037</v>
      </c>
      <c r="Q1438">
        <f t="shared" si="25"/>
        <v>7.6036999999999993E-2</v>
      </c>
      <c r="R1438">
        <v>43252</v>
      </c>
      <c r="S1438" t="s">
        <v>122</v>
      </c>
    </row>
    <row r="1439" spans="1:19">
      <c r="A1439">
        <v>60000170</v>
      </c>
      <c r="B1439">
        <v>26</v>
      </c>
      <c r="C1439" t="s">
        <v>18</v>
      </c>
      <c r="D1439" t="s">
        <v>40</v>
      </c>
      <c r="E1439" t="s">
        <v>67</v>
      </c>
      <c r="F1439" t="s">
        <v>21</v>
      </c>
      <c r="G1439" s="23">
        <v>0.17</v>
      </c>
      <c r="H1439" t="s">
        <v>22</v>
      </c>
      <c r="I1439" t="s">
        <v>70</v>
      </c>
      <c r="J1439" t="s">
        <v>38</v>
      </c>
      <c r="K1439" t="s">
        <v>89</v>
      </c>
      <c r="L1439" t="s">
        <v>26</v>
      </c>
      <c r="M1439" t="s">
        <v>124</v>
      </c>
      <c r="N1439" t="s">
        <v>28</v>
      </c>
      <c r="O1439">
        <v>0</v>
      </c>
      <c r="P1439">
        <v>56856</v>
      </c>
      <c r="Q1439">
        <f t="shared" si="25"/>
        <v>5.6855999999999997E-2</v>
      </c>
      <c r="R1439">
        <v>43252</v>
      </c>
      <c r="S1439" t="s">
        <v>122</v>
      </c>
    </row>
    <row r="1440" spans="1:19">
      <c r="A1440">
        <v>60000171</v>
      </c>
      <c r="B1440">
        <v>32</v>
      </c>
      <c r="C1440" t="s">
        <v>18</v>
      </c>
      <c r="D1440" t="s">
        <v>19</v>
      </c>
      <c r="E1440" t="s">
        <v>44</v>
      </c>
      <c r="F1440" t="s">
        <v>21</v>
      </c>
      <c r="G1440" s="23">
        <v>0.33</v>
      </c>
      <c r="H1440" t="s">
        <v>42</v>
      </c>
      <c r="I1440" t="s">
        <v>45</v>
      </c>
      <c r="J1440" t="s">
        <v>78</v>
      </c>
      <c r="K1440" t="s">
        <v>107</v>
      </c>
      <c r="L1440" t="s">
        <v>26</v>
      </c>
      <c r="M1440" t="s">
        <v>124</v>
      </c>
      <c r="N1440" t="s">
        <v>28</v>
      </c>
      <c r="O1440">
        <v>0</v>
      </c>
      <c r="P1440">
        <v>60704</v>
      </c>
      <c r="Q1440">
        <f t="shared" si="25"/>
        <v>6.0704000000000001E-2</v>
      </c>
      <c r="R1440">
        <v>43252</v>
      </c>
      <c r="S1440" t="s">
        <v>122</v>
      </c>
    </row>
    <row r="1441" spans="1:19">
      <c r="A1441">
        <v>60000172</v>
      </c>
      <c r="B1441">
        <v>55</v>
      </c>
      <c r="C1441" t="s">
        <v>33</v>
      </c>
      <c r="D1441" t="s">
        <v>19</v>
      </c>
      <c r="E1441" t="s">
        <v>85</v>
      </c>
      <c r="F1441" t="s">
        <v>21</v>
      </c>
      <c r="G1441" s="23">
        <v>0.25</v>
      </c>
      <c r="H1441" t="s">
        <v>53</v>
      </c>
      <c r="I1441" t="s">
        <v>62</v>
      </c>
      <c r="J1441" t="s">
        <v>24</v>
      </c>
      <c r="K1441" t="s">
        <v>108</v>
      </c>
      <c r="L1441" t="s">
        <v>26</v>
      </c>
      <c r="M1441" t="s">
        <v>124</v>
      </c>
      <c r="N1441" t="s">
        <v>28</v>
      </c>
      <c r="O1441">
        <v>0</v>
      </c>
      <c r="P1441">
        <v>50080</v>
      </c>
      <c r="Q1441">
        <f t="shared" si="25"/>
        <v>5.008E-2</v>
      </c>
      <c r="R1441">
        <v>43252</v>
      </c>
      <c r="S1441" t="s">
        <v>122</v>
      </c>
    </row>
    <row r="1442" spans="1:19">
      <c r="A1442">
        <v>60000173</v>
      </c>
      <c r="B1442">
        <v>50</v>
      </c>
      <c r="C1442" t="s">
        <v>33</v>
      </c>
      <c r="D1442" t="s">
        <v>19</v>
      </c>
      <c r="E1442" t="s">
        <v>34</v>
      </c>
      <c r="F1442" t="s">
        <v>21</v>
      </c>
      <c r="G1442" s="23">
        <v>0.21</v>
      </c>
      <c r="H1442" t="s">
        <v>29</v>
      </c>
      <c r="I1442" t="s">
        <v>80</v>
      </c>
      <c r="J1442" t="s">
        <v>31</v>
      </c>
      <c r="K1442" t="s">
        <v>84</v>
      </c>
      <c r="L1442" t="s">
        <v>26</v>
      </c>
      <c r="M1442" t="s">
        <v>124</v>
      </c>
      <c r="N1442" t="s">
        <v>28</v>
      </c>
      <c r="O1442">
        <v>0</v>
      </c>
      <c r="P1442">
        <v>26389</v>
      </c>
      <c r="Q1442">
        <f t="shared" si="25"/>
        <v>2.6388999999999999E-2</v>
      </c>
      <c r="R1442">
        <v>43252</v>
      </c>
      <c r="S1442" t="s">
        <v>122</v>
      </c>
    </row>
    <row r="1443" spans="1:19">
      <c r="A1443">
        <v>60000174</v>
      </c>
      <c r="B1443">
        <v>23</v>
      </c>
      <c r="C1443" t="s">
        <v>33</v>
      </c>
      <c r="D1443" t="s">
        <v>19</v>
      </c>
      <c r="E1443" t="s">
        <v>85</v>
      </c>
      <c r="F1443" t="s">
        <v>21</v>
      </c>
      <c r="G1443" s="23">
        <v>0.25</v>
      </c>
      <c r="H1443" t="s">
        <v>53</v>
      </c>
      <c r="I1443" t="s">
        <v>57</v>
      </c>
      <c r="J1443" t="s">
        <v>38</v>
      </c>
      <c r="K1443" t="s">
        <v>98</v>
      </c>
      <c r="L1443" t="s">
        <v>26</v>
      </c>
      <c r="M1443" t="s">
        <v>124</v>
      </c>
      <c r="N1443" t="s">
        <v>28</v>
      </c>
      <c r="O1443">
        <v>0</v>
      </c>
      <c r="P1443">
        <v>29057</v>
      </c>
      <c r="Q1443">
        <f t="shared" si="25"/>
        <v>2.9056999999999999E-2</v>
      </c>
      <c r="R1443">
        <v>43252</v>
      </c>
      <c r="S1443" t="s">
        <v>122</v>
      </c>
    </row>
    <row r="1444" spans="1:19">
      <c r="A1444">
        <v>60000175</v>
      </c>
      <c r="B1444">
        <v>45</v>
      </c>
      <c r="C1444" t="s">
        <v>33</v>
      </c>
      <c r="D1444" t="s">
        <v>40</v>
      </c>
      <c r="E1444" t="s">
        <v>75</v>
      </c>
      <c r="F1444" t="s">
        <v>21</v>
      </c>
      <c r="G1444" s="23">
        <v>0.14000000000000001</v>
      </c>
      <c r="H1444" t="s">
        <v>22</v>
      </c>
      <c r="I1444" t="s">
        <v>37</v>
      </c>
      <c r="J1444" t="s">
        <v>31</v>
      </c>
      <c r="K1444" t="s">
        <v>114</v>
      </c>
      <c r="L1444" t="s">
        <v>26</v>
      </c>
      <c r="M1444" t="s">
        <v>124</v>
      </c>
      <c r="N1444" t="s">
        <v>28</v>
      </c>
      <c r="O1444">
        <v>6</v>
      </c>
      <c r="P1444">
        <v>33747</v>
      </c>
      <c r="Q1444">
        <f t="shared" si="25"/>
        <v>3.3746999999999999E-2</v>
      </c>
      <c r="R1444">
        <v>43252</v>
      </c>
      <c r="S1444" t="s">
        <v>122</v>
      </c>
    </row>
    <row r="1445" spans="1:19">
      <c r="A1445">
        <v>60000176</v>
      </c>
      <c r="B1445">
        <v>32</v>
      </c>
      <c r="C1445" t="s">
        <v>33</v>
      </c>
      <c r="D1445" t="s">
        <v>40</v>
      </c>
      <c r="E1445" t="s">
        <v>64</v>
      </c>
      <c r="F1445" t="s">
        <v>21</v>
      </c>
      <c r="G1445" s="23">
        <v>0.27</v>
      </c>
      <c r="H1445" t="s">
        <v>53</v>
      </c>
      <c r="I1445" t="s">
        <v>68</v>
      </c>
      <c r="J1445" t="s">
        <v>88</v>
      </c>
      <c r="K1445" t="s">
        <v>63</v>
      </c>
      <c r="L1445" t="s">
        <v>26</v>
      </c>
      <c r="M1445" t="s">
        <v>124</v>
      </c>
      <c r="N1445" t="s">
        <v>28</v>
      </c>
      <c r="O1445">
        <v>2</v>
      </c>
      <c r="P1445">
        <v>39675</v>
      </c>
      <c r="Q1445">
        <f t="shared" si="25"/>
        <v>3.9675000000000002E-2</v>
      </c>
      <c r="R1445">
        <v>43252</v>
      </c>
      <c r="S1445" t="s">
        <v>122</v>
      </c>
    </row>
    <row r="1446" spans="1:19">
      <c r="A1446">
        <v>60000177</v>
      </c>
      <c r="B1446">
        <v>49</v>
      </c>
      <c r="C1446" t="s">
        <v>18</v>
      </c>
      <c r="D1446" t="s">
        <v>19</v>
      </c>
      <c r="E1446" t="s">
        <v>67</v>
      </c>
      <c r="F1446" t="s">
        <v>21</v>
      </c>
      <c r="G1446" s="23">
        <v>0.34</v>
      </c>
      <c r="H1446" t="s">
        <v>42</v>
      </c>
      <c r="I1446" t="s">
        <v>80</v>
      </c>
      <c r="J1446" t="s">
        <v>54</v>
      </c>
      <c r="K1446" t="s">
        <v>96</v>
      </c>
      <c r="L1446" t="s">
        <v>26</v>
      </c>
      <c r="M1446" t="s">
        <v>124</v>
      </c>
      <c r="N1446" t="s">
        <v>28</v>
      </c>
      <c r="O1446">
        <v>3</v>
      </c>
      <c r="P1446">
        <v>32052</v>
      </c>
      <c r="Q1446">
        <f t="shared" si="25"/>
        <v>3.2051999999999997E-2</v>
      </c>
      <c r="R1446">
        <v>43252</v>
      </c>
      <c r="S1446" t="s">
        <v>122</v>
      </c>
    </row>
    <row r="1447" spans="1:19">
      <c r="A1447">
        <v>60000178</v>
      </c>
      <c r="B1447">
        <v>49</v>
      </c>
      <c r="C1447" t="s">
        <v>33</v>
      </c>
      <c r="D1447" t="s">
        <v>40</v>
      </c>
      <c r="E1447" t="s">
        <v>72</v>
      </c>
      <c r="F1447" t="s">
        <v>21</v>
      </c>
      <c r="G1447" s="23">
        <v>0.31</v>
      </c>
      <c r="H1447" t="s">
        <v>53</v>
      </c>
      <c r="I1447" t="s">
        <v>57</v>
      </c>
      <c r="J1447" t="s">
        <v>78</v>
      </c>
      <c r="K1447" t="s">
        <v>118</v>
      </c>
      <c r="L1447" t="s">
        <v>26</v>
      </c>
      <c r="M1447" t="s">
        <v>124</v>
      </c>
      <c r="N1447" t="s">
        <v>28</v>
      </c>
      <c r="O1447">
        <v>6</v>
      </c>
      <c r="P1447">
        <v>84649</v>
      </c>
      <c r="Q1447">
        <f t="shared" si="25"/>
        <v>8.4649000000000002E-2</v>
      </c>
      <c r="R1447">
        <v>43252</v>
      </c>
      <c r="S1447" t="s">
        <v>122</v>
      </c>
    </row>
    <row r="1448" spans="1:19">
      <c r="A1448">
        <v>60000179</v>
      </c>
      <c r="B1448">
        <v>32</v>
      </c>
      <c r="C1448" t="s">
        <v>18</v>
      </c>
      <c r="D1448" t="s">
        <v>40</v>
      </c>
      <c r="E1448" t="s">
        <v>48</v>
      </c>
      <c r="F1448" t="s">
        <v>21</v>
      </c>
      <c r="G1448" s="23">
        <v>0.27</v>
      </c>
      <c r="H1448" t="s">
        <v>53</v>
      </c>
      <c r="I1448" t="s">
        <v>65</v>
      </c>
      <c r="J1448" t="s">
        <v>58</v>
      </c>
      <c r="K1448" t="s">
        <v>83</v>
      </c>
      <c r="L1448" t="s">
        <v>26</v>
      </c>
      <c r="M1448" t="s">
        <v>124</v>
      </c>
      <c r="N1448" t="s">
        <v>28</v>
      </c>
      <c r="O1448">
        <v>0</v>
      </c>
      <c r="P1448">
        <v>54095</v>
      </c>
      <c r="Q1448">
        <f t="shared" si="25"/>
        <v>5.4094999999999997E-2</v>
      </c>
      <c r="R1448">
        <v>43252</v>
      </c>
      <c r="S1448" t="s">
        <v>122</v>
      </c>
    </row>
    <row r="1449" spans="1:19">
      <c r="A1449">
        <v>60000180</v>
      </c>
      <c r="B1449">
        <v>33</v>
      </c>
      <c r="C1449" t="s">
        <v>18</v>
      </c>
      <c r="D1449" t="s">
        <v>40</v>
      </c>
      <c r="E1449" t="s">
        <v>48</v>
      </c>
      <c r="F1449" t="s">
        <v>21</v>
      </c>
      <c r="G1449" s="23">
        <v>0.33</v>
      </c>
      <c r="H1449" t="s">
        <v>42</v>
      </c>
      <c r="I1449" t="s">
        <v>57</v>
      </c>
      <c r="J1449" t="s">
        <v>38</v>
      </c>
      <c r="K1449" t="s">
        <v>104</v>
      </c>
      <c r="L1449" t="s">
        <v>26</v>
      </c>
      <c r="M1449" t="s">
        <v>124</v>
      </c>
      <c r="N1449" t="s">
        <v>28</v>
      </c>
      <c r="O1449">
        <v>1</v>
      </c>
      <c r="P1449">
        <v>77038</v>
      </c>
      <c r="Q1449">
        <f t="shared" si="25"/>
        <v>7.7037999999999995E-2</v>
      </c>
      <c r="R1449">
        <v>43252</v>
      </c>
      <c r="S1449" t="s">
        <v>122</v>
      </c>
    </row>
    <row r="1450" spans="1:19">
      <c r="A1450">
        <v>60000181</v>
      </c>
      <c r="B1450">
        <v>59</v>
      </c>
      <c r="C1450" t="s">
        <v>33</v>
      </c>
      <c r="D1450" t="s">
        <v>19</v>
      </c>
      <c r="E1450" t="s">
        <v>41</v>
      </c>
      <c r="F1450" t="s">
        <v>21</v>
      </c>
      <c r="G1450" s="23">
        <v>0.12</v>
      </c>
      <c r="H1450" t="s">
        <v>22</v>
      </c>
      <c r="I1450" t="s">
        <v>57</v>
      </c>
      <c r="J1450" t="s">
        <v>24</v>
      </c>
      <c r="K1450" t="s">
        <v>105</v>
      </c>
      <c r="L1450" t="s">
        <v>26</v>
      </c>
      <c r="M1450" t="s">
        <v>124</v>
      </c>
      <c r="N1450" t="s">
        <v>28</v>
      </c>
      <c r="O1450">
        <v>0</v>
      </c>
      <c r="P1450">
        <v>51058</v>
      </c>
      <c r="Q1450">
        <f t="shared" si="25"/>
        <v>5.1057999999999999E-2</v>
      </c>
      <c r="R1450">
        <v>43252</v>
      </c>
      <c r="S1450" t="s">
        <v>122</v>
      </c>
    </row>
    <row r="1451" spans="1:19">
      <c r="A1451">
        <v>60000182</v>
      </c>
      <c r="B1451">
        <v>57</v>
      </c>
      <c r="C1451" t="s">
        <v>18</v>
      </c>
      <c r="D1451" t="s">
        <v>40</v>
      </c>
      <c r="E1451" t="s">
        <v>48</v>
      </c>
      <c r="F1451" t="s">
        <v>21</v>
      </c>
      <c r="G1451" s="23">
        <v>0.11</v>
      </c>
      <c r="H1451" t="s">
        <v>36</v>
      </c>
      <c r="I1451" t="s">
        <v>30</v>
      </c>
      <c r="J1451" t="s">
        <v>24</v>
      </c>
      <c r="K1451" t="s">
        <v>104</v>
      </c>
      <c r="L1451" t="s">
        <v>26</v>
      </c>
      <c r="M1451" t="s">
        <v>124</v>
      </c>
      <c r="N1451" t="s">
        <v>28</v>
      </c>
      <c r="O1451">
        <v>0</v>
      </c>
      <c r="P1451">
        <v>84183</v>
      </c>
      <c r="Q1451">
        <f t="shared" si="25"/>
        <v>8.4182999999999994E-2</v>
      </c>
      <c r="R1451">
        <v>43252</v>
      </c>
      <c r="S1451" t="s">
        <v>122</v>
      </c>
    </row>
    <row r="1452" spans="1:19">
      <c r="A1452">
        <v>60000183</v>
      </c>
      <c r="B1452">
        <v>61</v>
      </c>
      <c r="C1452" t="s">
        <v>18</v>
      </c>
      <c r="D1452" t="s">
        <v>19</v>
      </c>
      <c r="E1452" t="s">
        <v>85</v>
      </c>
      <c r="F1452" t="s">
        <v>21</v>
      </c>
      <c r="G1452" s="23">
        <v>0.33</v>
      </c>
      <c r="H1452" t="s">
        <v>42</v>
      </c>
      <c r="I1452" t="s">
        <v>62</v>
      </c>
      <c r="J1452" t="s">
        <v>58</v>
      </c>
      <c r="K1452" t="s">
        <v>105</v>
      </c>
      <c r="L1452" t="s">
        <v>26</v>
      </c>
      <c r="M1452" t="s">
        <v>124</v>
      </c>
      <c r="N1452" t="s">
        <v>28</v>
      </c>
      <c r="O1452">
        <v>0</v>
      </c>
      <c r="P1452">
        <v>48307</v>
      </c>
      <c r="Q1452">
        <f t="shared" si="25"/>
        <v>4.8307000000000003E-2</v>
      </c>
      <c r="R1452">
        <v>43252</v>
      </c>
      <c r="S1452" t="s">
        <v>122</v>
      </c>
    </row>
    <row r="1453" spans="1:19">
      <c r="A1453">
        <v>60000184</v>
      </c>
      <c r="B1453">
        <v>41</v>
      </c>
      <c r="C1453" t="s">
        <v>33</v>
      </c>
      <c r="D1453" t="s">
        <v>19</v>
      </c>
      <c r="E1453" t="s">
        <v>64</v>
      </c>
      <c r="F1453" t="s">
        <v>21</v>
      </c>
      <c r="G1453" s="23">
        <v>0.25</v>
      </c>
      <c r="H1453" t="s">
        <v>53</v>
      </c>
      <c r="I1453" t="s">
        <v>73</v>
      </c>
      <c r="J1453" t="s">
        <v>46</v>
      </c>
      <c r="K1453" t="s">
        <v>62</v>
      </c>
      <c r="L1453" t="s">
        <v>26</v>
      </c>
      <c r="M1453" t="s">
        <v>124</v>
      </c>
      <c r="N1453" t="s">
        <v>28</v>
      </c>
      <c r="O1453">
        <v>1</v>
      </c>
      <c r="P1453">
        <v>26567</v>
      </c>
      <c r="Q1453">
        <f t="shared" si="25"/>
        <v>2.6567E-2</v>
      </c>
      <c r="R1453">
        <v>43252</v>
      </c>
      <c r="S1453" t="s">
        <v>122</v>
      </c>
    </row>
    <row r="1454" spans="1:19">
      <c r="A1454">
        <v>60000185</v>
      </c>
      <c r="B1454">
        <v>46</v>
      </c>
      <c r="C1454" t="s">
        <v>33</v>
      </c>
      <c r="D1454" t="s">
        <v>40</v>
      </c>
      <c r="E1454" t="s">
        <v>34</v>
      </c>
      <c r="F1454" t="s">
        <v>21</v>
      </c>
      <c r="G1454" s="23">
        <v>0.37</v>
      </c>
      <c r="H1454" t="s">
        <v>42</v>
      </c>
      <c r="I1454" t="s">
        <v>73</v>
      </c>
      <c r="J1454" t="s">
        <v>58</v>
      </c>
      <c r="K1454" t="s">
        <v>117</v>
      </c>
      <c r="L1454" t="s">
        <v>26</v>
      </c>
      <c r="M1454" t="s">
        <v>124</v>
      </c>
      <c r="N1454" t="s">
        <v>28</v>
      </c>
      <c r="O1454">
        <v>0</v>
      </c>
      <c r="P1454">
        <v>60974</v>
      </c>
      <c r="Q1454">
        <f t="shared" si="25"/>
        <v>6.0974E-2</v>
      </c>
      <c r="R1454">
        <v>43252</v>
      </c>
      <c r="S1454" t="s">
        <v>122</v>
      </c>
    </row>
    <row r="1455" spans="1:19">
      <c r="A1455">
        <v>60000186</v>
      </c>
      <c r="B1455">
        <v>43</v>
      </c>
      <c r="C1455" t="s">
        <v>33</v>
      </c>
      <c r="D1455" t="s">
        <v>19</v>
      </c>
      <c r="E1455" t="s">
        <v>75</v>
      </c>
      <c r="F1455" t="s">
        <v>21</v>
      </c>
      <c r="G1455" s="23">
        <v>0.16</v>
      </c>
      <c r="H1455" t="s">
        <v>22</v>
      </c>
      <c r="I1455" t="s">
        <v>65</v>
      </c>
      <c r="J1455" t="s">
        <v>46</v>
      </c>
      <c r="K1455" t="s">
        <v>55</v>
      </c>
      <c r="L1455" t="s">
        <v>26</v>
      </c>
      <c r="M1455" t="s">
        <v>124</v>
      </c>
      <c r="N1455" t="s">
        <v>28</v>
      </c>
      <c r="O1455">
        <v>2</v>
      </c>
      <c r="P1455">
        <v>42439</v>
      </c>
      <c r="Q1455">
        <f t="shared" si="25"/>
        <v>4.2438999999999998E-2</v>
      </c>
      <c r="R1455">
        <v>43252</v>
      </c>
      <c r="S1455" t="s">
        <v>122</v>
      </c>
    </row>
    <row r="1456" spans="1:19">
      <c r="A1456">
        <v>60000187</v>
      </c>
      <c r="B1456">
        <v>23</v>
      </c>
      <c r="C1456" t="s">
        <v>33</v>
      </c>
      <c r="D1456" t="s">
        <v>19</v>
      </c>
      <c r="E1456" t="s">
        <v>72</v>
      </c>
      <c r="F1456" t="s">
        <v>21</v>
      </c>
      <c r="G1456" s="23">
        <v>0.38</v>
      </c>
      <c r="H1456" t="s">
        <v>42</v>
      </c>
      <c r="I1456" t="s">
        <v>49</v>
      </c>
      <c r="J1456" t="s">
        <v>54</v>
      </c>
      <c r="K1456" t="s">
        <v>32</v>
      </c>
      <c r="L1456" t="s">
        <v>26</v>
      </c>
      <c r="M1456" t="s">
        <v>124</v>
      </c>
      <c r="N1456" t="s">
        <v>28</v>
      </c>
      <c r="O1456">
        <v>0</v>
      </c>
      <c r="P1456">
        <v>55285</v>
      </c>
      <c r="Q1456">
        <f t="shared" si="25"/>
        <v>5.5285000000000001E-2</v>
      </c>
      <c r="R1456">
        <v>43252</v>
      </c>
      <c r="S1456" t="s">
        <v>122</v>
      </c>
    </row>
    <row r="1457" spans="1:19">
      <c r="A1457">
        <v>60000188</v>
      </c>
      <c r="B1457">
        <v>31</v>
      </c>
      <c r="C1457" t="s">
        <v>33</v>
      </c>
      <c r="D1457" t="s">
        <v>40</v>
      </c>
      <c r="E1457" t="s">
        <v>72</v>
      </c>
      <c r="F1457" t="s">
        <v>21</v>
      </c>
      <c r="G1457" s="23">
        <v>0.17</v>
      </c>
      <c r="H1457" t="s">
        <v>22</v>
      </c>
      <c r="I1457" t="s">
        <v>68</v>
      </c>
      <c r="J1457" t="s">
        <v>46</v>
      </c>
      <c r="K1457" t="s">
        <v>102</v>
      </c>
      <c r="L1457" t="s">
        <v>26</v>
      </c>
      <c r="M1457" t="s">
        <v>124</v>
      </c>
      <c r="N1457" t="s">
        <v>28</v>
      </c>
      <c r="O1457">
        <v>4</v>
      </c>
      <c r="P1457">
        <v>53544</v>
      </c>
      <c r="Q1457">
        <f t="shared" si="25"/>
        <v>5.3544000000000001E-2</v>
      </c>
      <c r="R1457">
        <v>43252</v>
      </c>
      <c r="S1457" t="s">
        <v>122</v>
      </c>
    </row>
    <row r="1458" spans="1:19">
      <c r="A1458">
        <v>60000189</v>
      </c>
      <c r="B1458">
        <v>20</v>
      </c>
      <c r="C1458" t="s">
        <v>33</v>
      </c>
      <c r="D1458" t="s">
        <v>19</v>
      </c>
      <c r="E1458" t="s">
        <v>41</v>
      </c>
      <c r="F1458" t="s">
        <v>21</v>
      </c>
      <c r="G1458" s="23">
        <v>0.26</v>
      </c>
      <c r="H1458" t="s">
        <v>53</v>
      </c>
      <c r="I1458" t="s">
        <v>83</v>
      </c>
      <c r="J1458" t="s">
        <v>38</v>
      </c>
      <c r="K1458" t="s">
        <v>115</v>
      </c>
      <c r="L1458" t="s">
        <v>26</v>
      </c>
      <c r="M1458" t="s">
        <v>124</v>
      </c>
      <c r="N1458" t="s">
        <v>28</v>
      </c>
      <c r="O1458">
        <v>7</v>
      </c>
      <c r="P1458">
        <v>73705</v>
      </c>
      <c r="Q1458">
        <f t="shared" si="25"/>
        <v>7.3705000000000007E-2</v>
      </c>
      <c r="R1458">
        <v>43252</v>
      </c>
      <c r="S1458" t="s">
        <v>122</v>
      </c>
    </row>
    <row r="1459" spans="1:19">
      <c r="A1459">
        <v>60000190</v>
      </c>
      <c r="B1459">
        <v>64</v>
      </c>
      <c r="C1459" t="s">
        <v>18</v>
      </c>
      <c r="D1459" t="s">
        <v>40</v>
      </c>
      <c r="E1459" t="s">
        <v>44</v>
      </c>
      <c r="F1459" t="s">
        <v>21</v>
      </c>
      <c r="G1459" s="23">
        <v>0.19</v>
      </c>
      <c r="H1459" t="s">
        <v>29</v>
      </c>
      <c r="I1459" t="s">
        <v>68</v>
      </c>
      <c r="J1459" t="s">
        <v>24</v>
      </c>
      <c r="K1459" t="s">
        <v>71</v>
      </c>
      <c r="L1459" t="s">
        <v>26</v>
      </c>
      <c r="M1459" t="s">
        <v>124</v>
      </c>
      <c r="N1459" t="s">
        <v>28</v>
      </c>
      <c r="O1459">
        <v>0</v>
      </c>
      <c r="P1459">
        <v>45558</v>
      </c>
      <c r="Q1459">
        <f t="shared" si="25"/>
        <v>4.5558000000000001E-2</v>
      </c>
      <c r="R1459">
        <v>43252</v>
      </c>
      <c r="S1459" t="s">
        <v>122</v>
      </c>
    </row>
    <row r="1460" spans="1:19">
      <c r="A1460">
        <v>60000191</v>
      </c>
      <c r="B1460">
        <v>26</v>
      </c>
      <c r="C1460" t="s">
        <v>33</v>
      </c>
      <c r="D1460" t="s">
        <v>19</v>
      </c>
      <c r="E1460" t="s">
        <v>44</v>
      </c>
      <c r="F1460" t="s">
        <v>21</v>
      </c>
      <c r="G1460" s="23">
        <v>0.22</v>
      </c>
      <c r="H1460" t="s">
        <v>29</v>
      </c>
      <c r="I1460" t="s">
        <v>73</v>
      </c>
      <c r="J1460" t="s">
        <v>31</v>
      </c>
      <c r="K1460" t="s">
        <v>102</v>
      </c>
      <c r="L1460" t="s">
        <v>26</v>
      </c>
      <c r="M1460" t="s">
        <v>124</v>
      </c>
      <c r="N1460" t="s">
        <v>28</v>
      </c>
      <c r="O1460">
        <v>0</v>
      </c>
      <c r="P1460">
        <v>52826</v>
      </c>
      <c r="Q1460">
        <f t="shared" si="25"/>
        <v>5.2825999999999998E-2</v>
      </c>
      <c r="R1460">
        <v>43252</v>
      </c>
      <c r="S1460" t="s">
        <v>122</v>
      </c>
    </row>
    <row r="1461" spans="1:19">
      <c r="A1461">
        <v>60000192</v>
      </c>
      <c r="B1461">
        <v>46</v>
      </c>
      <c r="C1461" t="s">
        <v>18</v>
      </c>
      <c r="D1461" t="s">
        <v>19</v>
      </c>
      <c r="E1461" t="s">
        <v>20</v>
      </c>
      <c r="F1461" t="s">
        <v>21</v>
      </c>
      <c r="G1461" s="23">
        <v>0.23</v>
      </c>
      <c r="H1461" t="s">
        <v>29</v>
      </c>
      <c r="I1461" t="s">
        <v>86</v>
      </c>
      <c r="J1461" t="s">
        <v>31</v>
      </c>
      <c r="K1461" t="s">
        <v>110</v>
      </c>
      <c r="L1461" t="s">
        <v>26</v>
      </c>
      <c r="M1461" t="s">
        <v>124</v>
      </c>
      <c r="N1461" t="s">
        <v>28</v>
      </c>
      <c r="O1461">
        <v>1</v>
      </c>
      <c r="P1461">
        <v>82293</v>
      </c>
      <c r="Q1461">
        <f t="shared" si="25"/>
        <v>8.2293000000000005E-2</v>
      </c>
      <c r="R1461">
        <v>43252</v>
      </c>
      <c r="S1461" t="s">
        <v>122</v>
      </c>
    </row>
    <row r="1462" spans="1:19">
      <c r="A1462">
        <v>60000193</v>
      </c>
      <c r="B1462">
        <v>45</v>
      </c>
      <c r="C1462" t="s">
        <v>33</v>
      </c>
      <c r="D1462" t="s">
        <v>40</v>
      </c>
      <c r="E1462" t="s">
        <v>85</v>
      </c>
      <c r="F1462" t="s">
        <v>21</v>
      </c>
      <c r="G1462" s="23">
        <v>0.21</v>
      </c>
      <c r="H1462" t="s">
        <v>29</v>
      </c>
      <c r="I1462" t="s">
        <v>23</v>
      </c>
      <c r="J1462" t="s">
        <v>24</v>
      </c>
      <c r="K1462" t="s">
        <v>87</v>
      </c>
      <c r="L1462" t="s">
        <v>26</v>
      </c>
      <c r="M1462" t="s">
        <v>124</v>
      </c>
      <c r="N1462" t="s">
        <v>28</v>
      </c>
      <c r="O1462">
        <v>0</v>
      </c>
      <c r="P1462">
        <v>40443</v>
      </c>
      <c r="Q1462">
        <f t="shared" si="25"/>
        <v>4.0443E-2</v>
      </c>
      <c r="R1462">
        <v>43252</v>
      </c>
      <c r="S1462" t="s">
        <v>122</v>
      </c>
    </row>
    <row r="1463" spans="1:19">
      <c r="A1463">
        <v>60000194</v>
      </c>
      <c r="B1463">
        <v>45</v>
      </c>
      <c r="C1463" t="s">
        <v>18</v>
      </c>
      <c r="D1463" t="s">
        <v>19</v>
      </c>
      <c r="E1463" t="s">
        <v>85</v>
      </c>
      <c r="F1463" t="s">
        <v>21</v>
      </c>
      <c r="G1463" s="23">
        <v>0.18</v>
      </c>
      <c r="H1463" t="s">
        <v>22</v>
      </c>
      <c r="I1463" t="s">
        <v>57</v>
      </c>
      <c r="J1463" t="s">
        <v>78</v>
      </c>
      <c r="K1463" t="s">
        <v>115</v>
      </c>
      <c r="L1463" t="s">
        <v>26</v>
      </c>
      <c r="M1463" t="s">
        <v>124</v>
      </c>
      <c r="N1463" t="s">
        <v>28</v>
      </c>
      <c r="O1463">
        <v>0</v>
      </c>
      <c r="P1463">
        <v>43835</v>
      </c>
      <c r="Q1463">
        <f t="shared" si="25"/>
        <v>4.3834999999999999E-2</v>
      </c>
      <c r="R1463">
        <v>43252</v>
      </c>
      <c r="S1463" t="s">
        <v>122</v>
      </c>
    </row>
    <row r="1464" spans="1:19">
      <c r="A1464">
        <v>60000195</v>
      </c>
      <c r="B1464">
        <v>56</v>
      </c>
      <c r="C1464" t="s">
        <v>33</v>
      </c>
      <c r="D1464" t="s">
        <v>19</v>
      </c>
      <c r="E1464" t="s">
        <v>85</v>
      </c>
      <c r="F1464" t="s">
        <v>21</v>
      </c>
      <c r="G1464" s="23">
        <v>0.3</v>
      </c>
      <c r="H1464" t="s">
        <v>53</v>
      </c>
      <c r="I1464" t="s">
        <v>30</v>
      </c>
      <c r="J1464" t="s">
        <v>31</v>
      </c>
      <c r="K1464" t="s">
        <v>102</v>
      </c>
      <c r="L1464" t="s">
        <v>26</v>
      </c>
      <c r="M1464" t="s">
        <v>124</v>
      </c>
      <c r="N1464" t="s">
        <v>28</v>
      </c>
      <c r="O1464">
        <v>3</v>
      </c>
      <c r="P1464">
        <v>49676</v>
      </c>
      <c r="Q1464">
        <f t="shared" si="25"/>
        <v>4.9675999999999998E-2</v>
      </c>
      <c r="R1464">
        <v>43252</v>
      </c>
      <c r="S1464" t="s">
        <v>122</v>
      </c>
    </row>
    <row r="1465" spans="1:19">
      <c r="A1465">
        <v>60000196</v>
      </c>
      <c r="B1465">
        <v>25</v>
      </c>
      <c r="C1465" t="s">
        <v>33</v>
      </c>
      <c r="D1465" t="s">
        <v>19</v>
      </c>
      <c r="E1465" t="s">
        <v>67</v>
      </c>
      <c r="F1465" t="s">
        <v>21</v>
      </c>
      <c r="G1465" s="23">
        <v>0.16</v>
      </c>
      <c r="H1465" t="s">
        <v>22</v>
      </c>
      <c r="I1465" t="s">
        <v>62</v>
      </c>
      <c r="J1465" t="s">
        <v>69</v>
      </c>
      <c r="K1465" t="s">
        <v>113</v>
      </c>
      <c r="L1465" t="s">
        <v>26</v>
      </c>
      <c r="M1465" t="s">
        <v>124</v>
      </c>
      <c r="N1465" t="s">
        <v>28</v>
      </c>
      <c r="O1465">
        <v>0</v>
      </c>
      <c r="P1465">
        <v>58756</v>
      </c>
      <c r="Q1465">
        <f t="shared" si="25"/>
        <v>5.8756000000000003E-2</v>
      </c>
      <c r="R1465">
        <v>43252</v>
      </c>
      <c r="S1465" t="s">
        <v>122</v>
      </c>
    </row>
    <row r="1466" spans="1:19">
      <c r="A1466">
        <v>60000197</v>
      </c>
      <c r="B1466">
        <v>50</v>
      </c>
      <c r="C1466" t="s">
        <v>33</v>
      </c>
      <c r="D1466" t="s">
        <v>19</v>
      </c>
      <c r="E1466" t="s">
        <v>41</v>
      </c>
      <c r="F1466" t="s">
        <v>21</v>
      </c>
      <c r="G1466" s="23">
        <v>0.22</v>
      </c>
      <c r="H1466" t="s">
        <v>29</v>
      </c>
      <c r="I1466" t="s">
        <v>65</v>
      </c>
      <c r="J1466" t="s">
        <v>24</v>
      </c>
      <c r="K1466" t="s">
        <v>106</v>
      </c>
      <c r="L1466" t="s">
        <v>26</v>
      </c>
      <c r="M1466" t="s">
        <v>124</v>
      </c>
      <c r="N1466" t="s">
        <v>28</v>
      </c>
      <c r="O1466">
        <v>0</v>
      </c>
      <c r="P1466">
        <v>44749</v>
      </c>
      <c r="Q1466">
        <f t="shared" si="25"/>
        <v>4.4748999999999997E-2</v>
      </c>
      <c r="R1466">
        <v>43252</v>
      </c>
      <c r="S1466" t="s">
        <v>122</v>
      </c>
    </row>
    <row r="1467" spans="1:19">
      <c r="A1467">
        <v>60000198</v>
      </c>
      <c r="B1467">
        <v>21</v>
      </c>
      <c r="C1467" t="s">
        <v>18</v>
      </c>
      <c r="D1467" t="s">
        <v>19</v>
      </c>
      <c r="E1467" t="s">
        <v>64</v>
      </c>
      <c r="F1467" t="s">
        <v>21</v>
      </c>
      <c r="G1467" s="23">
        <v>0.3</v>
      </c>
      <c r="H1467" t="s">
        <v>53</v>
      </c>
      <c r="I1467" t="s">
        <v>68</v>
      </c>
      <c r="J1467" t="s">
        <v>66</v>
      </c>
      <c r="K1467" t="s">
        <v>43</v>
      </c>
      <c r="L1467" t="s">
        <v>26</v>
      </c>
      <c r="M1467" t="s">
        <v>124</v>
      </c>
      <c r="N1467" t="s">
        <v>28</v>
      </c>
      <c r="O1467">
        <v>0</v>
      </c>
      <c r="P1467">
        <v>51884</v>
      </c>
      <c r="Q1467">
        <f t="shared" si="25"/>
        <v>5.1884E-2</v>
      </c>
      <c r="R1467">
        <v>43252</v>
      </c>
      <c r="S1467" t="s">
        <v>122</v>
      </c>
    </row>
    <row r="1468" spans="1:19">
      <c r="A1468">
        <v>60000199</v>
      </c>
      <c r="B1468">
        <v>64</v>
      </c>
      <c r="C1468" t="s">
        <v>18</v>
      </c>
      <c r="D1468" t="s">
        <v>19</v>
      </c>
      <c r="E1468" t="s">
        <v>67</v>
      </c>
      <c r="F1468" t="s">
        <v>21</v>
      </c>
      <c r="G1468" s="23">
        <v>0.33</v>
      </c>
      <c r="H1468" t="s">
        <v>42</v>
      </c>
      <c r="I1468" t="s">
        <v>76</v>
      </c>
      <c r="J1468" t="s">
        <v>74</v>
      </c>
      <c r="K1468" t="s">
        <v>116</v>
      </c>
      <c r="L1468" t="s">
        <v>26</v>
      </c>
      <c r="M1468" t="s">
        <v>124</v>
      </c>
      <c r="N1468" t="s">
        <v>28</v>
      </c>
      <c r="O1468">
        <v>0</v>
      </c>
      <c r="P1468">
        <v>50267</v>
      </c>
      <c r="Q1468">
        <f t="shared" si="25"/>
        <v>5.0266999999999999E-2</v>
      </c>
      <c r="R1468">
        <v>43252</v>
      </c>
      <c r="S1468" t="s">
        <v>122</v>
      </c>
    </row>
    <row r="1469" spans="1:19">
      <c r="A1469">
        <v>60000200</v>
      </c>
      <c r="B1469">
        <v>35</v>
      </c>
      <c r="C1469" t="s">
        <v>33</v>
      </c>
      <c r="D1469" t="s">
        <v>40</v>
      </c>
      <c r="E1469" t="s">
        <v>34</v>
      </c>
      <c r="F1469" t="s">
        <v>21</v>
      </c>
      <c r="G1469" s="23">
        <v>0.25</v>
      </c>
      <c r="H1469" t="s">
        <v>53</v>
      </c>
      <c r="I1469" t="s">
        <v>37</v>
      </c>
      <c r="J1469" t="s">
        <v>31</v>
      </c>
      <c r="K1469" t="s">
        <v>117</v>
      </c>
      <c r="L1469" t="s">
        <v>26</v>
      </c>
      <c r="M1469" t="s">
        <v>124</v>
      </c>
      <c r="N1469" t="s">
        <v>28</v>
      </c>
      <c r="O1469">
        <v>0</v>
      </c>
      <c r="P1469">
        <v>31636</v>
      </c>
      <c r="Q1469">
        <f t="shared" si="25"/>
        <v>3.1635999999999997E-2</v>
      </c>
      <c r="R1469">
        <v>43252</v>
      </c>
      <c r="S1469" t="s">
        <v>122</v>
      </c>
    </row>
    <row r="1470" spans="1:19">
      <c r="A1470">
        <v>60000201</v>
      </c>
      <c r="B1470">
        <v>31</v>
      </c>
      <c r="C1470" t="s">
        <v>33</v>
      </c>
      <c r="D1470" t="s">
        <v>19</v>
      </c>
      <c r="E1470" t="s">
        <v>20</v>
      </c>
      <c r="F1470" t="s">
        <v>21</v>
      </c>
      <c r="G1470" s="23">
        <v>0.25</v>
      </c>
      <c r="H1470" t="s">
        <v>53</v>
      </c>
      <c r="I1470" t="s">
        <v>23</v>
      </c>
      <c r="J1470" t="s">
        <v>88</v>
      </c>
      <c r="K1470" t="s">
        <v>55</v>
      </c>
      <c r="L1470" t="s">
        <v>26</v>
      </c>
      <c r="M1470" t="s">
        <v>124</v>
      </c>
      <c r="N1470" t="s">
        <v>28</v>
      </c>
      <c r="O1470">
        <v>3</v>
      </c>
      <c r="P1470">
        <v>77924</v>
      </c>
      <c r="Q1470">
        <f t="shared" si="25"/>
        <v>7.7923999999999993E-2</v>
      </c>
      <c r="R1470">
        <v>43252</v>
      </c>
      <c r="S1470" t="s">
        <v>122</v>
      </c>
    </row>
    <row r="1471" spans="1:19">
      <c r="A1471">
        <v>60000202</v>
      </c>
      <c r="B1471">
        <v>26</v>
      </c>
      <c r="C1471" t="s">
        <v>33</v>
      </c>
      <c r="D1471" t="s">
        <v>19</v>
      </c>
      <c r="E1471" t="s">
        <v>44</v>
      </c>
      <c r="F1471" t="s">
        <v>21</v>
      </c>
      <c r="G1471" s="23">
        <v>0.12</v>
      </c>
      <c r="H1471" t="s">
        <v>22</v>
      </c>
      <c r="I1471" t="s">
        <v>65</v>
      </c>
      <c r="J1471" t="s">
        <v>66</v>
      </c>
      <c r="K1471" t="s">
        <v>117</v>
      </c>
      <c r="L1471" t="s">
        <v>26</v>
      </c>
      <c r="M1471" t="s">
        <v>124</v>
      </c>
      <c r="N1471" t="s">
        <v>28</v>
      </c>
      <c r="O1471">
        <v>0</v>
      </c>
      <c r="P1471">
        <v>35126</v>
      </c>
      <c r="Q1471">
        <f t="shared" si="25"/>
        <v>3.5125999999999998E-2</v>
      </c>
      <c r="R1471">
        <v>43252</v>
      </c>
      <c r="S1471" t="s">
        <v>122</v>
      </c>
    </row>
    <row r="1472" spans="1:19">
      <c r="A1472">
        <v>60000203</v>
      </c>
      <c r="B1472">
        <v>61</v>
      </c>
      <c r="C1472" t="s">
        <v>33</v>
      </c>
      <c r="D1472" t="s">
        <v>19</v>
      </c>
      <c r="E1472" t="s">
        <v>85</v>
      </c>
      <c r="F1472" t="s">
        <v>21</v>
      </c>
      <c r="G1472" s="23">
        <v>0.1</v>
      </c>
      <c r="H1472" t="s">
        <v>36</v>
      </c>
      <c r="I1472" t="s">
        <v>68</v>
      </c>
      <c r="J1472" t="s">
        <v>46</v>
      </c>
      <c r="K1472" t="s">
        <v>103</v>
      </c>
      <c r="L1472" t="s">
        <v>26</v>
      </c>
      <c r="M1472" t="s">
        <v>124</v>
      </c>
      <c r="N1472" t="s">
        <v>28</v>
      </c>
      <c r="O1472">
        <v>2</v>
      </c>
      <c r="P1472">
        <v>74576</v>
      </c>
      <c r="Q1472">
        <f t="shared" si="25"/>
        <v>7.4576000000000003E-2</v>
      </c>
      <c r="R1472">
        <v>43252</v>
      </c>
      <c r="S1472" t="s">
        <v>122</v>
      </c>
    </row>
    <row r="1473" spans="1:19">
      <c r="A1473">
        <v>60000204</v>
      </c>
      <c r="B1473">
        <v>27</v>
      </c>
      <c r="C1473" t="s">
        <v>18</v>
      </c>
      <c r="D1473" t="s">
        <v>40</v>
      </c>
      <c r="E1473" t="s">
        <v>67</v>
      </c>
      <c r="F1473" t="s">
        <v>21</v>
      </c>
      <c r="G1473" s="23">
        <v>0.31</v>
      </c>
      <c r="H1473" t="s">
        <v>53</v>
      </c>
      <c r="I1473" t="s">
        <v>57</v>
      </c>
      <c r="J1473" t="s">
        <v>38</v>
      </c>
      <c r="K1473" t="s">
        <v>109</v>
      </c>
      <c r="L1473" t="s">
        <v>26</v>
      </c>
      <c r="M1473" t="s">
        <v>124</v>
      </c>
      <c r="N1473" t="s">
        <v>28</v>
      </c>
      <c r="O1473">
        <v>0</v>
      </c>
      <c r="P1473">
        <v>42426</v>
      </c>
      <c r="Q1473">
        <f t="shared" si="25"/>
        <v>4.2425999999999998E-2</v>
      </c>
      <c r="R1473">
        <v>43252</v>
      </c>
      <c r="S1473" t="s">
        <v>122</v>
      </c>
    </row>
    <row r="1474" spans="1:19">
      <c r="A1474">
        <v>60000205</v>
      </c>
      <c r="B1474">
        <v>36</v>
      </c>
      <c r="C1474" t="s">
        <v>33</v>
      </c>
      <c r="D1474" t="s">
        <v>40</v>
      </c>
      <c r="E1474" t="s">
        <v>75</v>
      </c>
      <c r="F1474" t="s">
        <v>21</v>
      </c>
      <c r="G1474" s="23">
        <v>0.2</v>
      </c>
      <c r="H1474" t="s">
        <v>29</v>
      </c>
      <c r="I1474" t="s">
        <v>60</v>
      </c>
      <c r="J1474" t="s">
        <v>31</v>
      </c>
      <c r="K1474" t="s">
        <v>113</v>
      </c>
      <c r="L1474" t="s">
        <v>26</v>
      </c>
      <c r="M1474" t="s">
        <v>124</v>
      </c>
      <c r="N1474" t="s">
        <v>28</v>
      </c>
      <c r="O1474">
        <v>0</v>
      </c>
      <c r="P1474">
        <v>41369</v>
      </c>
      <c r="Q1474">
        <f t="shared" si="25"/>
        <v>4.1369000000000003E-2</v>
      </c>
      <c r="R1474">
        <v>43252</v>
      </c>
      <c r="S1474" t="s">
        <v>122</v>
      </c>
    </row>
    <row r="1475" spans="1:19">
      <c r="A1475">
        <v>60000206</v>
      </c>
      <c r="B1475">
        <v>41</v>
      </c>
      <c r="C1475" t="s">
        <v>18</v>
      </c>
      <c r="D1475" t="s">
        <v>19</v>
      </c>
      <c r="E1475" t="s">
        <v>85</v>
      </c>
      <c r="F1475" t="s">
        <v>21</v>
      </c>
      <c r="G1475" s="23">
        <v>0.28999999999999998</v>
      </c>
      <c r="H1475" t="s">
        <v>53</v>
      </c>
      <c r="I1475" t="s">
        <v>76</v>
      </c>
      <c r="J1475" t="s">
        <v>24</v>
      </c>
      <c r="K1475" t="s">
        <v>107</v>
      </c>
      <c r="L1475" t="s">
        <v>26</v>
      </c>
      <c r="M1475" t="s">
        <v>124</v>
      </c>
      <c r="N1475" t="s">
        <v>28</v>
      </c>
      <c r="O1475">
        <v>2</v>
      </c>
      <c r="P1475">
        <v>80132</v>
      </c>
      <c r="Q1475">
        <f t="shared" si="25"/>
        <v>8.0131999999999995E-2</v>
      </c>
      <c r="R1475">
        <v>43252</v>
      </c>
      <c r="S1475" t="s">
        <v>122</v>
      </c>
    </row>
    <row r="1476" spans="1:19">
      <c r="A1476">
        <v>60000207</v>
      </c>
      <c r="B1476">
        <v>20</v>
      </c>
      <c r="C1476" t="s">
        <v>33</v>
      </c>
      <c r="D1476" t="s">
        <v>19</v>
      </c>
      <c r="E1476" t="s">
        <v>44</v>
      </c>
      <c r="F1476" t="s">
        <v>21</v>
      </c>
      <c r="G1476" s="23">
        <v>0.17</v>
      </c>
      <c r="H1476" t="s">
        <v>22</v>
      </c>
      <c r="I1476" t="s">
        <v>70</v>
      </c>
      <c r="J1476" t="s">
        <v>88</v>
      </c>
      <c r="K1476" t="s">
        <v>98</v>
      </c>
      <c r="L1476" t="s">
        <v>26</v>
      </c>
      <c r="M1476" t="s">
        <v>124</v>
      </c>
      <c r="N1476" t="s">
        <v>28</v>
      </c>
      <c r="O1476">
        <v>0</v>
      </c>
      <c r="P1476">
        <v>54339</v>
      </c>
      <c r="Q1476">
        <f t="shared" ref="Q1476:Q1539" si="26">+P1476/1000000</f>
        <v>5.4338999999999998E-2</v>
      </c>
      <c r="R1476">
        <v>43252</v>
      </c>
      <c r="S1476" t="s">
        <v>122</v>
      </c>
    </row>
    <row r="1477" spans="1:19">
      <c r="A1477">
        <v>60000208</v>
      </c>
      <c r="B1477">
        <v>44</v>
      </c>
      <c r="C1477" t="s">
        <v>18</v>
      </c>
      <c r="D1477" t="s">
        <v>40</v>
      </c>
      <c r="E1477" t="s">
        <v>75</v>
      </c>
      <c r="F1477" t="s">
        <v>21</v>
      </c>
      <c r="G1477" s="23">
        <v>0.34</v>
      </c>
      <c r="H1477" t="s">
        <v>42</v>
      </c>
      <c r="I1477" t="s">
        <v>62</v>
      </c>
      <c r="J1477" t="s">
        <v>38</v>
      </c>
      <c r="K1477" t="s">
        <v>108</v>
      </c>
      <c r="L1477" t="s">
        <v>26</v>
      </c>
      <c r="M1477" t="s">
        <v>124</v>
      </c>
      <c r="N1477" t="s">
        <v>28</v>
      </c>
      <c r="O1477">
        <v>2</v>
      </c>
      <c r="P1477">
        <v>29293</v>
      </c>
      <c r="Q1477">
        <f t="shared" si="26"/>
        <v>2.9293E-2</v>
      </c>
      <c r="R1477">
        <v>43252</v>
      </c>
      <c r="S1477" t="s">
        <v>122</v>
      </c>
    </row>
    <row r="1478" spans="1:19">
      <c r="A1478">
        <v>60000209</v>
      </c>
      <c r="B1478">
        <v>35</v>
      </c>
      <c r="C1478" t="s">
        <v>18</v>
      </c>
      <c r="D1478" t="s">
        <v>19</v>
      </c>
      <c r="E1478" t="s">
        <v>64</v>
      </c>
      <c r="F1478" t="s">
        <v>21</v>
      </c>
      <c r="G1478" s="23">
        <v>0.35</v>
      </c>
      <c r="H1478" t="s">
        <v>42</v>
      </c>
      <c r="I1478" t="s">
        <v>49</v>
      </c>
      <c r="J1478" t="s">
        <v>38</v>
      </c>
      <c r="K1478" t="s">
        <v>102</v>
      </c>
      <c r="L1478" t="s">
        <v>26</v>
      </c>
      <c r="M1478" t="s">
        <v>124</v>
      </c>
      <c r="N1478" t="s">
        <v>28</v>
      </c>
      <c r="O1478">
        <v>2</v>
      </c>
      <c r="P1478">
        <v>49172</v>
      </c>
      <c r="Q1478">
        <f t="shared" si="26"/>
        <v>4.9172E-2</v>
      </c>
      <c r="R1478">
        <v>43252</v>
      </c>
      <c r="S1478" t="s">
        <v>122</v>
      </c>
    </row>
    <row r="1479" spans="1:19">
      <c r="A1479">
        <v>60000210</v>
      </c>
      <c r="B1479">
        <v>55</v>
      </c>
      <c r="C1479" t="s">
        <v>33</v>
      </c>
      <c r="D1479" t="s">
        <v>19</v>
      </c>
      <c r="E1479" t="s">
        <v>75</v>
      </c>
      <c r="F1479" t="s">
        <v>21</v>
      </c>
      <c r="G1479" s="23">
        <v>0.25</v>
      </c>
      <c r="H1479" t="s">
        <v>53</v>
      </c>
      <c r="I1479" t="s">
        <v>60</v>
      </c>
      <c r="J1479" t="s">
        <v>46</v>
      </c>
      <c r="K1479" t="s">
        <v>50</v>
      </c>
      <c r="L1479" t="s">
        <v>26</v>
      </c>
      <c r="M1479" t="s">
        <v>124</v>
      </c>
      <c r="N1479" t="s">
        <v>28</v>
      </c>
      <c r="O1479">
        <v>1</v>
      </c>
      <c r="P1479">
        <v>56939</v>
      </c>
      <c r="Q1479">
        <f t="shared" si="26"/>
        <v>5.6938999999999997E-2</v>
      </c>
      <c r="R1479">
        <v>43252</v>
      </c>
      <c r="S1479" t="s">
        <v>122</v>
      </c>
    </row>
    <row r="1480" spans="1:19">
      <c r="A1480">
        <v>60000211</v>
      </c>
      <c r="B1480">
        <v>62</v>
      </c>
      <c r="C1480" t="s">
        <v>33</v>
      </c>
      <c r="D1480" t="s">
        <v>40</v>
      </c>
      <c r="E1480" t="s">
        <v>41</v>
      </c>
      <c r="F1480" t="s">
        <v>21</v>
      </c>
      <c r="G1480" s="23">
        <v>0.13</v>
      </c>
      <c r="H1480" t="s">
        <v>22</v>
      </c>
      <c r="I1480" t="s">
        <v>30</v>
      </c>
      <c r="J1480" t="s">
        <v>38</v>
      </c>
      <c r="K1480" t="s">
        <v>59</v>
      </c>
      <c r="L1480" t="s">
        <v>26</v>
      </c>
      <c r="M1480" t="s">
        <v>124</v>
      </c>
      <c r="N1480" t="s">
        <v>28</v>
      </c>
      <c r="O1480">
        <v>6</v>
      </c>
      <c r="P1480">
        <v>68211</v>
      </c>
      <c r="Q1480">
        <f t="shared" si="26"/>
        <v>6.8210999999999994E-2</v>
      </c>
      <c r="R1480">
        <v>43252</v>
      </c>
      <c r="S1480" t="s">
        <v>122</v>
      </c>
    </row>
    <row r="1481" spans="1:19">
      <c r="A1481">
        <v>60000212</v>
      </c>
      <c r="B1481">
        <v>32</v>
      </c>
      <c r="C1481" t="s">
        <v>33</v>
      </c>
      <c r="D1481" t="s">
        <v>19</v>
      </c>
      <c r="E1481" t="s">
        <v>20</v>
      </c>
      <c r="F1481" t="s">
        <v>21</v>
      </c>
      <c r="G1481" s="23">
        <v>0.3</v>
      </c>
      <c r="H1481" t="s">
        <v>53</v>
      </c>
      <c r="I1481" t="s">
        <v>68</v>
      </c>
      <c r="J1481" t="s">
        <v>88</v>
      </c>
      <c r="K1481" t="s">
        <v>59</v>
      </c>
      <c r="L1481" t="s">
        <v>26</v>
      </c>
      <c r="M1481" t="s">
        <v>124</v>
      </c>
      <c r="N1481" t="s">
        <v>28</v>
      </c>
      <c r="O1481">
        <v>3</v>
      </c>
      <c r="P1481">
        <v>28402</v>
      </c>
      <c r="Q1481">
        <f t="shared" si="26"/>
        <v>2.8402E-2</v>
      </c>
      <c r="R1481">
        <v>43252</v>
      </c>
      <c r="S1481" t="s">
        <v>122</v>
      </c>
    </row>
    <row r="1482" spans="1:19">
      <c r="A1482">
        <v>60000213</v>
      </c>
      <c r="B1482">
        <v>56</v>
      </c>
      <c r="C1482" t="s">
        <v>18</v>
      </c>
      <c r="D1482" t="s">
        <v>19</v>
      </c>
      <c r="E1482" t="s">
        <v>41</v>
      </c>
      <c r="F1482" t="s">
        <v>21</v>
      </c>
      <c r="G1482" s="23">
        <v>0.31</v>
      </c>
      <c r="H1482" t="s">
        <v>53</v>
      </c>
      <c r="I1482" t="s">
        <v>83</v>
      </c>
      <c r="J1482" t="s">
        <v>46</v>
      </c>
      <c r="K1482" t="s">
        <v>87</v>
      </c>
      <c r="L1482" t="s">
        <v>26</v>
      </c>
      <c r="M1482" t="s">
        <v>124</v>
      </c>
      <c r="N1482" t="s">
        <v>28</v>
      </c>
      <c r="O1482">
        <v>7</v>
      </c>
      <c r="P1482">
        <v>55637</v>
      </c>
      <c r="Q1482">
        <f t="shared" si="26"/>
        <v>5.5636999999999999E-2</v>
      </c>
      <c r="R1482">
        <v>43252</v>
      </c>
      <c r="S1482" t="s">
        <v>122</v>
      </c>
    </row>
    <row r="1483" spans="1:19">
      <c r="A1483">
        <v>60000214</v>
      </c>
      <c r="B1483">
        <v>31</v>
      </c>
      <c r="C1483" t="s">
        <v>33</v>
      </c>
      <c r="D1483" t="s">
        <v>19</v>
      </c>
      <c r="E1483" t="s">
        <v>41</v>
      </c>
      <c r="F1483" t="s">
        <v>21</v>
      </c>
      <c r="G1483" s="23">
        <v>0.28999999999999998</v>
      </c>
      <c r="H1483" t="s">
        <v>53</v>
      </c>
      <c r="I1483" t="s">
        <v>83</v>
      </c>
      <c r="J1483" t="s">
        <v>24</v>
      </c>
      <c r="K1483" t="s">
        <v>47</v>
      </c>
      <c r="L1483" t="s">
        <v>26</v>
      </c>
      <c r="M1483" t="s">
        <v>124</v>
      </c>
      <c r="N1483" t="s">
        <v>28</v>
      </c>
      <c r="O1483">
        <v>7</v>
      </c>
      <c r="P1483">
        <v>60695</v>
      </c>
      <c r="Q1483">
        <f t="shared" si="26"/>
        <v>6.0694999999999999E-2</v>
      </c>
      <c r="R1483">
        <v>43252</v>
      </c>
      <c r="S1483" t="s">
        <v>122</v>
      </c>
    </row>
    <row r="1484" spans="1:19">
      <c r="A1484">
        <v>60000215</v>
      </c>
      <c r="B1484">
        <v>49</v>
      </c>
      <c r="C1484" t="s">
        <v>18</v>
      </c>
      <c r="D1484" t="s">
        <v>40</v>
      </c>
      <c r="E1484" t="s">
        <v>64</v>
      </c>
      <c r="F1484" t="s">
        <v>21</v>
      </c>
      <c r="G1484" s="23">
        <v>0.35</v>
      </c>
      <c r="H1484" t="s">
        <v>42</v>
      </c>
      <c r="I1484" t="s">
        <v>73</v>
      </c>
      <c r="J1484" t="s">
        <v>66</v>
      </c>
      <c r="K1484" t="s">
        <v>105</v>
      </c>
      <c r="L1484" t="s">
        <v>26</v>
      </c>
      <c r="M1484" t="s">
        <v>124</v>
      </c>
      <c r="N1484" t="s">
        <v>28</v>
      </c>
      <c r="O1484">
        <v>0</v>
      </c>
      <c r="P1484">
        <v>48064</v>
      </c>
      <c r="Q1484">
        <f t="shared" si="26"/>
        <v>4.8064000000000003E-2</v>
      </c>
      <c r="R1484">
        <v>43252</v>
      </c>
      <c r="S1484" t="s">
        <v>122</v>
      </c>
    </row>
    <row r="1485" spans="1:19">
      <c r="A1485">
        <v>60000216</v>
      </c>
      <c r="B1485">
        <v>21</v>
      </c>
      <c r="C1485" t="s">
        <v>18</v>
      </c>
      <c r="D1485" t="s">
        <v>40</v>
      </c>
      <c r="E1485" t="s">
        <v>67</v>
      </c>
      <c r="F1485" t="s">
        <v>21</v>
      </c>
      <c r="G1485" s="23">
        <v>0.37</v>
      </c>
      <c r="H1485" t="s">
        <v>42</v>
      </c>
      <c r="I1485" t="s">
        <v>65</v>
      </c>
      <c r="J1485" t="s">
        <v>66</v>
      </c>
      <c r="K1485" t="s">
        <v>114</v>
      </c>
      <c r="L1485" t="s">
        <v>26</v>
      </c>
      <c r="M1485" t="s">
        <v>124</v>
      </c>
      <c r="N1485" t="s">
        <v>28</v>
      </c>
      <c r="O1485">
        <v>0</v>
      </c>
      <c r="P1485">
        <v>65535</v>
      </c>
      <c r="Q1485">
        <f t="shared" si="26"/>
        <v>6.5534999999999996E-2</v>
      </c>
      <c r="R1485">
        <v>43252</v>
      </c>
      <c r="S1485" t="s">
        <v>122</v>
      </c>
    </row>
    <row r="1486" spans="1:19">
      <c r="A1486">
        <v>60000217</v>
      </c>
      <c r="B1486">
        <v>32</v>
      </c>
      <c r="C1486" t="s">
        <v>18</v>
      </c>
      <c r="D1486" t="s">
        <v>40</v>
      </c>
      <c r="E1486" t="s">
        <v>34</v>
      </c>
      <c r="F1486" t="s">
        <v>21</v>
      </c>
      <c r="G1486" s="23">
        <v>0.21</v>
      </c>
      <c r="H1486" t="s">
        <v>29</v>
      </c>
      <c r="I1486" t="s">
        <v>62</v>
      </c>
      <c r="J1486" t="s">
        <v>61</v>
      </c>
      <c r="K1486" t="s">
        <v>117</v>
      </c>
      <c r="L1486" t="s">
        <v>26</v>
      </c>
      <c r="M1486" t="s">
        <v>124</v>
      </c>
      <c r="N1486" t="s">
        <v>28</v>
      </c>
      <c r="O1486">
        <v>5</v>
      </c>
      <c r="P1486">
        <v>29266</v>
      </c>
      <c r="Q1486">
        <f t="shared" si="26"/>
        <v>2.9266E-2</v>
      </c>
      <c r="R1486">
        <v>43252</v>
      </c>
      <c r="S1486" t="s">
        <v>122</v>
      </c>
    </row>
    <row r="1487" spans="1:19">
      <c r="A1487">
        <v>60000218</v>
      </c>
      <c r="B1487">
        <v>43</v>
      </c>
      <c r="C1487" t="s">
        <v>33</v>
      </c>
      <c r="D1487" t="s">
        <v>19</v>
      </c>
      <c r="E1487" t="s">
        <v>67</v>
      </c>
      <c r="F1487" t="s">
        <v>21</v>
      </c>
      <c r="G1487" s="23">
        <v>0.32</v>
      </c>
      <c r="H1487" t="s">
        <v>42</v>
      </c>
      <c r="I1487" t="s">
        <v>57</v>
      </c>
      <c r="J1487" t="s">
        <v>74</v>
      </c>
      <c r="K1487" t="s">
        <v>25</v>
      </c>
      <c r="L1487" t="s">
        <v>26</v>
      </c>
      <c r="M1487" t="s">
        <v>124</v>
      </c>
      <c r="N1487" t="s">
        <v>28</v>
      </c>
      <c r="O1487">
        <v>2</v>
      </c>
      <c r="P1487">
        <v>45406</v>
      </c>
      <c r="Q1487">
        <f t="shared" si="26"/>
        <v>4.5406000000000002E-2</v>
      </c>
      <c r="R1487">
        <v>43252</v>
      </c>
      <c r="S1487" t="s">
        <v>122</v>
      </c>
    </row>
    <row r="1488" spans="1:19">
      <c r="A1488">
        <v>60000219</v>
      </c>
      <c r="B1488">
        <v>22</v>
      </c>
      <c r="C1488" t="s">
        <v>18</v>
      </c>
      <c r="D1488" t="s">
        <v>40</v>
      </c>
      <c r="E1488" t="s">
        <v>67</v>
      </c>
      <c r="F1488" t="s">
        <v>21</v>
      </c>
      <c r="G1488" s="23">
        <v>0.19</v>
      </c>
      <c r="H1488" t="s">
        <v>29</v>
      </c>
      <c r="I1488" t="s">
        <v>65</v>
      </c>
      <c r="J1488" t="s">
        <v>31</v>
      </c>
      <c r="K1488" t="s">
        <v>109</v>
      </c>
      <c r="L1488" t="s">
        <v>26</v>
      </c>
      <c r="M1488" t="s">
        <v>124</v>
      </c>
      <c r="N1488" t="s">
        <v>28</v>
      </c>
      <c r="O1488">
        <v>0</v>
      </c>
      <c r="P1488">
        <v>41428</v>
      </c>
      <c r="Q1488">
        <f t="shared" si="26"/>
        <v>4.1428E-2</v>
      </c>
      <c r="R1488">
        <v>43252</v>
      </c>
      <c r="S1488" t="s">
        <v>122</v>
      </c>
    </row>
    <row r="1489" spans="1:19">
      <c r="A1489">
        <v>60000220</v>
      </c>
      <c r="B1489">
        <v>31</v>
      </c>
      <c r="C1489" t="s">
        <v>18</v>
      </c>
      <c r="D1489" t="s">
        <v>19</v>
      </c>
      <c r="E1489" t="s">
        <v>72</v>
      </c>
      <c r="F1489" t="s">
        <v>21</v>
      </c>
      <c r="G1489" s="23">
        <v>0.27</v>
      </c>
      <c r="H1489" t="s">
        <v>53</v>
      </c>
      <c r="I1489" t="s">
        <v>37</v>
      </c>
      <c r="J1489" t="s">
        <v>58</v>
      </c>
      <c r="K1489" t="s">
        <v>99</v>
      </c>
      <c r="L1489" t="s">
        <v>26</v>
      </c>
      <c r="M1489" t="s">
        <v>124</v>
      </c>
      <c r="N1489" t="s">
        <v>28</v>
      </c>
      <c r="O1489">
        <v>0</v>
      </c>
      <c r="P1489">
        <v>73750</v>
      </c>
      <c r="Q1489">
        <f t="shared" si="26"/>
        <v>7.3749999999999996E-2</v>
      </c>
      <c r="R1489">
        <v>43252</v>
      </c>
      <c r="S1489" t="s">
        <v>122</v>
      </c>
    </row>
    <row r="1490" spans="1:19">
      <c r="A1490">
        <v>60000221</v>
      </c>
      <c r="B1490">
        <v>29</v>
      </c>
      <c r="C1490" t="s">
        <v>18</v>
      </c>
      <c r="D1490" t="s">
        <v>40</v>
      </c>
      <c r="E1490" t="s">
        <v>52</v>
      </c>
      <c r="F1490" t="s">
        <v>21</v>
      </c>
      <c r="G1490" s="23">
        <v>0.14000000000000001</v>
      </c>
      <c r="H1490" t="s">
        <v>22</v>
      </c>
      <c r="I1490" t="s">
        <v>49</v>
      </c>
      <c r="J1490" t="s">
        <v>61</v>
      </c>
      <c r="K1490" t="s">
        <v>111</v>
      </c>
      <c r="L1490" t="s">
        <v>26</v>
      </c>
      <c r="M1490" t="s">
        <v>124</v>
      </c>
      <c r="N1490" t="s">
        <v>28</v>
      </c>
      <c r="O1490">
        <v>2</v>
      </c>
      <c r="P1490">
        <v>72331</v>
      </c>
      <c r="Q1490">
        <f t="shared" si="26"/>
        <v>7.2331000000000006E-2</v>
      </c>
      <c r="R1490">
        <v>43252</v>
      </c>
      <c r="S1490" t="s">
        <v>122</v>
      </c>
    </row>
    <row r="1491" spans="1:19">
      <c r="A1491">
        <v>60000222</v>
      </c>
      <c r="B1491">
        <v>31</v>
      </c>
      <c r="C1491" t="s">
        <v>33</v>
      </c>
      <c r="D1491" t="s">
        <v>19</v>
      </c>
      <c r="E1491" t="s">
        <v>64</v>
      </c>
      <c r="F1491" t="s">
        <v>21</v>
      </c>
      <c r="G1491" s="23">
        <v>0.2</v>
      </c>
      <c r="H1491" t="s">
        <v>29</v>
      </c>
      <c r="I1491" t="s">
        <v>30</v>
      </c>
      <c r="J1491" t="s">
        <v>58</v>
      </c>
      <c r="K1491" t="s">
        <v>55</v>
      </c>
      <c r="L1491" t="s">
        <v>26</v>
      </c>
      <c r="M1491" t="s">
        <v>124</v>
      </c>
      <c r="N1491" t="s">
        <v>28</v>
      </c>
      <c r="O1491">
        <v>0</v>
      </c>
      <c r="P1491">
        <v>35213</v>
      </c>
      <c r="Q1491">
        <f t="shared" si="26"/>
        <v>3.5213000000000001E-2</v>
      </c>
      <c r="R1491">
        <v>43252</v>
      </c>
      <c r="S1491" t="s">
        <v>122</v>
      </c>
    </row>
    <row r="1492" spans="1:19">
      <c r="A1492">
        <v>60000223</v>
      </c>
      <c r="B1492">
        <v>60</v>
      </c>
      <c r="C1492" t="s">
        <v>18</v>
      </c>
      <c r="D1492" t="s">
        <v>40</v>
      </c>
      <c r="E1492" t="s">
        <v>85</v>
      </c>
      <c r="F1492" t="s">
        <v>21</v>
      </c>
      <c r="G1492" s="23">
        <v>0.13</v>
      </c>
      <c r="H1492" t="s">
        <v>22</v>
      </c>
      <c r="I1492" t="s">
        <v>60</v>
      </c>
      <c r="J1492" t="s">
        <v>58</v>
      </c>
      <c r="K1492" t="s">
        <v>50</v>
      </c>
      <c r="L1492" t="s">
        <v>26</v>
      </c>
      <c r="M1492" t="s">
        <v>124</v>
      </c>
      <c r="N1492" t="s">
        <v>28</v>
      </c>
      <c r="O1492">
        <v>4</v>
      </c>
      <c r="P1492">
        <v>82583</v>
      </c>
      <c r="Q1492">
        <f t="shared" si="26"/>
        <v>8.2583000000000004E-2</v>
      </c>
      <c r="R1492">
        <v>43252</v>
      </c>
      <c r="S1492" t="s">
        <v>122</v>
      </c>
    </row>
    <row r="1493" spans="1:19">
      <c r="A1493">
        <v>60000224</v>
      </c>
      <c r="B1493">
        <v>58</v>
      </c>
      <c r="C1493" t="s">
        <v>18</v>
      </c>
      <c r="D1493" t="s">
        <v>19</v>
      </c>
      <c r="E1493" t="s">
        <v>41</v>
      </c>
      <c r="F1493" t="s">
        <v>21</v>
      </c>
      <c r="G1493" s="23">
        <v>0.28999999999999998</v>
      </c>
      <c r="H1493" t="s">
        <v>53</v>
      </c>
      <c r="I1493" t="s">
        <v>68</v>
      </c>
      <c r="J1493" t="s">
        <v>46</v>
      </c>
      <c r="K1493" t="s">
        <v>95</v>
      </c>
      <c r="L1493" t="s">
        <v>26</v>
      </c>
      <c r="M1493" t="s">
        <v>124</v>
      </c>
      <c r="N1493" t="s">
        <v>28</v>
      </c>
      <c r="O1493">
        <v>2</v>
      </c>
      <c r="P1493">
        <v>80511</v>
      </c>
      <c r="Q1493">
        <f t="shared" si="26"/>
        <v>8.0510999999999999E-2</v>
      </c>
      <c r="R1493">
        <v>43252</v>
      </c>
      <c r="S1493" t="s">
        <v>122</v>
      </c>
    </row>
    <row r="1494" spans="1:19">
      <c r="A1494">
        <v>60000225</v>
      </c>
      <c r="B1494">
        <v>26</v>
      </c>
      <c r="C1494" t="s">
        <v>33</v>
      </c>
      <c r="D1494" t="s">
        <v>19</v>
      </c>
      <c r="E1494" t="s">
        <v>20</v>
      </c>
      <c r="F1494" t="s">
        <v>21</v>
      </c>
      <c r="G1494" s="23">
        <v>0.35</v>
      </c>
      <c r="H1494" t="s">
        <v>42</v>
      </c>
      <c r="I1494" t="s">
        <v>83</v>
      </c>
      <c r="J1494" t="s">
        <v>24</v>
      </c>
      <c r="K1494" t="s">
        <v>103</v>
      </c>
      <c r="L1494" t="s">
        <v>26</v>
      </c>
      <c r="M1494" t="s">
        <v>124</v>
      </c>
      <c r="N1494" t="s">
        <v>28</v>
      </c>
      <c r="O1494">
        <v>0</v>
      </c>
      <c r="P1494">
        <v>62373</v>
      </c>
      <c r="Q1494">
        <f t="shared" si="26"/>
        <v>6.2372999999999998E-2</v>
      </c>
      <c r="R1494">
        <v>43252</v>
      </c>
      <c r="S1494" t="s">
        <v>122</v>
      </c>
    </row>
    <row r="1495" spans="1:19">
      <c r="A1495">
        <v>60000226</v>
      </c>
      <c r="B1495">
        <v>62</v>
      </c>
      <c r="C1495" t="s">
        <v>18</v>
      </c>
      <c r="D1495" t="s">
        <v>40</v>
      </c>
      <c r="E1495" t="s">
        <v>20</v>
      </c>
      <c r="F1495" t="s">
        <v>21</v>
      </c>
      <c r="G1495" s="23">
        <v>0.38</v>
      </c>
      <c r="H1495" t="s">
        <v>42</v>
      </c>
      <c r="I1495" t="s">
        <v>68</v>
      </c>
      <c r="J1495" t="s">
        <v>54</v>
      </c>
      <c r="K1495" t="s">
        <v>83</v>
      </c>
      <c r="L1495" t="s">
        <v>26</v>
      </c>
      <c r="M1495" t="s">
        <v>124</v>
      </c>
      <c r="N1495" t="s">
        <v>28</v>
      </c>
      <c r="O1495">
        <v>3</v>
      </c>
      <c r="P1495">
        <v>67931</v>
      </c>
      <c r="Q1495">
        <f t="shared" si="26"/>
        <v>6.7931000000000005E-2</v>
      </c>
      <c r="R1495">
        <v>43252</v>
      </c>
      <c r="S1495" t="s">
        <v>122</v>
      </c>
    </row>
    <row r="1496" spans="1:19">
      <c r="A1496">
        <v>60000227</v>
      </c>
      <c r="B1496">
        <v>26</v>
      </c>
      <c r="C1496" t="s">
        <v>33</v>
      </c>
      <c r="D1496" t="s">
        <v>19</v>
      </c>
      <c r="E1496" t="s">
        <v>20</v>
      </c>
      <c r="F1496" t="s">
        <v>21</v>
      </c>
      <c r="G1496" s="23">
        <v>0.32</v>
      </c>
      <c r="H1496" t="s">
        <v>42</v>
      </c>
      <c r="I1496" t="s">
        <v>45</v>
      </c>
      <c r="J1496" t="s">
        <v>91</v>
      </c>
      <c r="K1496" t="s">
        <v>71</v>
      </c>
      <c r="L1496" t="s">
        <v>26</v>
      </c>
      <c r="M1496" t="s">
        <v>124</v>
      </c>
      <c r="N1496" t="s">
        <v>28</v>
      </c>
      <c r="O1496">
        <v>0</v>
      </c>
      <c r="P1496">
        <v>64359</v>
      </c>
      <c r="Q1496">
        <f t="shared" si="26"/>
        <v>6.4359E-2</v>
      </c>
      <c r="R1496">
        <v>43252</v>
      </c>
      <c r="S1496" t="s">
        <v>122</v>
      </c>
    </row>
    <row r="1497" spans="1:19">
      <c r="A1497">
        <v>60000228</v>
      </c>
      <c r="B1497">
        <v>59</v>
      </c>
      <c r="C1497" t="s">
        <v>33</v>
      </c>
      <c r="D1497" t="s">
        <v>19</v>
      </c>
      <c r="E1497" t="s">
        <v>20</v>
      </c>
      <c r="F1497" t="s">
        <v>21</v>
      </c>
      <c r="G1497" s="23">
        <v>0.11</v>
      </c>
      <c r="H1497" t="s">
        <v>36</v>
      </c>
      <c r="I1497" t="s">
        <v>68</v>
      </c>
      <c r="J1497" t="s">
        <v>58</v>
      </c>
      <c r="K1497" t="s">
        <v>32</v>
      </c>
      <c r="L1497" t="s">
        <v>26</v>
      </c>
      <c r="M1497" t="s">
        <v>124</v>
      </c>
      <c r="N1497" t="s">
        <v>28</v>
      </c>
      <c r="O1497">
        <v>7</v>
      </c>
      <c r="P1497">
        <v>63840</v>
      </c>
      <c r="Q1497">
        <f t="shared" si="26"/>
        <v>6.3839999999999994E-2</v>
      </c>
      <c r="R1497">
        <v>43252</v>
      </c>
      <c r="S1497" t="s">
        <v>122</v>
      </c>
    </row>
    <row r="1498" spans="1:19">
      <c r="A1498">
        <v>60000229</v>
      </c>
      <c r="B1498">
        <v>49</v>
      </c>
      <c r="C1498" t="s">
        <v>18</v>
      </c>
      <c r="D1498" t="s">
        <v>19</v>
      </c>
      <c r="E1498" t="s">
        <v>41</v>
      </c>
      <c r="F1498" t="s">
        <v>21</v>
      </c>
      <c r="G1498" s="23">
        <v>0.16</v>
      </c>
      <c r="H1498" t="s">
        <v>22</v>
      </c>
      <c r="I1498" t="s">
        <v>70</v>
      </c>
      <c r="J1498" t="s">
        <v>69</v>
      </c>
      <c r="K1498" t="s">
        <v>59</v>
      </c>
      <c r="L1498" t="s">
        <v>26</v>
      </c>
      <c r="M1498" t="s">
        <v>124</v>
      </c>
      <c r="N1498" t="s">
        <v>28</v>
      </c>
      <c r="O1498">
        <v>4</v>
      </c>
      <c r="P1498">
        <v>72038</v>
      </c>
      <c r="Q1498">
        <f t="shared" si="26"/>
        <v>7.2038000000000005E-2</v>
      </c>
      <c r="R1498">
        <v>43252</v>
      </c>
      <c r="S1498" t="s">
        <v>122</v>
      </c>
    </row>
    <row r="1499" spans="1:19">
      <c r="A1499">
        <v>60000230</v>
      </c>
      <c r="B1499">
        <v>26</v>
      </c>
      <c r="C1499" t="s">
        <v>18</v>
      </c>
      <c r="D1499" t="s">
        <v>19</v>
      </c>
      <c r="E1499" t="s">
        <v>52</v>
      </c>
      <c r="F1499" t="s">
        <v>21</v>
      </c>
      <c r="G1499" s="23">
        <v>0.28999999999999998</v>
      </c>
      <c r="H1499" t="s">
        <v>53</v>
      </c>
      <c r="I1499" t="s">
        <v>37</v>
      </c>
      <c r="J1499" t="s">
        <v>74</v>
      </c>
      <c r="K1499" t="s">
        <v>108</v>
      </c>
      <c r="L1499" t="s">
        <v>26</v>
      </c>
      <c r="M1499" t="s">
        <v>124</v>
      </c>
      <c r="N1499" t="s">
        <v>28</v>
      </c>
      <c r="O1499">
        <v>4</v>
      </c>
      <c r="P1499">
        <v>26811</v>
      </c>
      <c r="Q1499">
        <f t="shared" si="26"/>
        <v>2.6811000000000001E-2</v>
      </c>
      <c r="R1499">
        <v>43252</v>
      </c>
      <c r="S1499" t="s">
        <v>122</v>
      </c>
    </row>
    <row r="1500" spans="1:19">
      <c r="A1500">
        <v>60000231</v>
      </c>
      <c r="B1500">
        <v>27</v>
      </c>
      <c r="C1500" t="s">
        <v>18</v>
      </c>
      <c r="D1500" t="s">
        <v>19</v>
      </c>
      <c r="E1500" t="s">
        <v>41</v>
      </c>
      <c r="F1500" t="s">
        <v>21</v>
      </c>
      <c r="G1500" s="23">
        <v>0.24</v>
      </c>
      <c r="H1500" t="s">
        <v>29</v>
      </c>
      <c r="I1500" t="s">
        <v>30</v>
      </c>
      <c r="J1500" t="s">
        <v>46</v>
      </c>
      <c r="K1500" t="s">
        <v>117</v>
      </c>
      <c r="L1500" t="s">
        <v>26</v>
      </c>
      <c r="M1500" t="s">
        <v>124</v>
      </c>
      <c r="N1500" t="s">
        <v>28</v>
      </c>
      <c r="O1500">
        <v>0</v>
      </c>
      <c r="P1500">
        <v>23963</v>
      </c>
      <c r="Q1500">
        <f t="shared" si="26"/>
        <v>2.3963000000000002E-2</v>
      </c>
      <c r="R1500">
        <v>43252</v>
      </c>
      <c r="S1500" t="s">
        <v>122</v>
      </c>
    </row>
    <row r="1501" spans="1:19">
      <c r="A1501">
        <v>60000232</v>
      </c>
      <c r="B1501">
        <v>45</v>
      </c>
      <c r="C1501" t="s">
        <v>33</v>
      </c>
      <c r="D1501" t="s">
        <v>40</v>
      </c>
      <c r="E1501" t="s">
        <v>52</v>
      </c>
      <c r="F1501" t="s">
        <v>21</v>
      </c>
      <c r="G1501" s="23">
        <v>0.31</v>
      </c>
      <c r="H1501" t="s">
        <v>53</v>
      </c>
      <c r="I1501" t="s">
        <v>68</v>
      </c>
      <c r="J1501" t="s">
        <v>24</v>
      </c>
      <c r="K1501" t="s">
        <v>87</v>
      </c>
      <c r="L1501" t="s">
        <v>26</v>
      </c>
      <c r="M1501" t="s">
        <v>124</v>
      </c>
      <c r="N1501" t="s">
        <v>28</v>
      </c>
      <c r="O1501">
        <v>0</v>
      </c>
      <c r="P1501">
        <v>32293</v>
      </c>
      <c r="Q1501">
        <f t="shared" si="26"/>
        <v>3.2293000000000002E-2</v>
      </c>
      <c r="R1501">
        <v>43252</v>
      </c>
      <c r="S1501" t="s">
        <v>122</v>
      </c>
    </row>
    <row r="1502" spans="1:19">
      <c r="A1502">
        <v>60000233</v>
      </c>
      <c r="B1502">
        <v>47</v>
      </c>
      <c r="C1502" t="s">
        <v>18</v>
      </c>
      <c r="D1502" t="s">
        <v>19</v>
      </c>
      <c r="E1502" t="s">
        <v>75</v>
      </c>
      <c r="F1502" t="s">
        <v>21</v>
      </c>
      <c r="G1502" s="23">
        <v>0.19</v>
      </c>
      <c r="H1502" t="s">
        <v>29</v>
      </c>
      <c r="I1502" t="s">
        <v>65</v>
      </c>
      <c r="J1502" t="s">
        <v>54</v>
      </c>
      <c r="K1502" t="s">
        <v>102</v>
      </c>
      <c r="L1502" t="s">
        <v>26</v>
      </c>
      <c r="M1502" t="s">
        <v>124</v>
      </c>
      <c r="N1502" t="s">
        <v>28</v>
      </c>
      <c r="O1502">
        <v>1</v>
      </c>
      <c r="P1502">
        <v>69178</v>
      </c>
      <c r="Q1502">
        <f t="shared" si="26"/>
        <v>6.9178000000000003E-2</v>
      </c>
      <c r="R1502">
        <v>43252</v>
      </c>
      <c r="S1502" t="s">
        <v>122</v>
      </c>
    </row>
    <row r="1503" spans="1:19">
      <c r="A1503">
        <v>60000234</v>
      </c>
      <c r="B1503">
        <v>65</v>
      </c>
      <c r="C1503" t="s">
        <v>18</v>
      </c>
      <c r="D1503" t="s">
        <v>40</v>
      </c>
      <c r="E1503" t="s">
        <v>72</v>
      </c>
      <c r="F1503" t="s">
        <v>21</v>
      </c>
      <c r="G1503" s="23">
        <v>0.25</v>
      </c>
      <c r="H1503" t="s">
        <v>53</v>
      </c>
      <c r="I1503" t="s">
        <v>49</v>
      </c>
      <c r="J1503" t="s">
        <v>58</v>
      </c>
      <c r="K1503" t="s">
        <v>77</v>
      </c>
      <c r="L1503" t="s">
        <v>26</v>
      </c>
      <c r="M1503" t="s">
        <v>124</v>
      </c>
      <c r="N1503" t="s">
        <v>28</v>
      </c>
      <c r="O1503">
        <v>1</v>
      </c>
      <c r="P1503">
        <v>52660</v>
      </c>
      <c r="Q1503">
        <f t="shared" si="26"/>
        <v>5.2659999999999998E-2</v>
      </c>
      <c r="R1503">
        <v>43252</v>
      </c>
      <c r="S1503" t="s">
        <v>122</v>
      </c>
    </row>
    <row r="1504" spans="1:19">
      <c r="A1504">
        <v>60000235</v>
      </c>
      <c r="B1504">
        <v>28</v>
      </c>
      <c r="C1504" t="s">
        <v>33</v>
      </c>
      <c r="D1504" t="s">
        <v>40</v>
      </c>
      <c r="E1504" t="s">
        <v>85</v>
      </c>
      <c r="F1504" t="s">
        <v>21</v>
      </c>
      <c r="G1504" s="23">
        <v>0.27</v>
      </c>
      <c r="H1504" t="s">
        <v>53</v>
      </c>
      <c r="I1504" t="s">
        <v>86</v>
      </c>
      <c r="J1504" t="s">
        <v>38</v>
      </c>
      <c r="K1504" t="s">
        <v>103</v>
      </c>
      <c r="L1504" t="s">
        <v>26</v>
      </c>
      <c r="M1504" t="s">
        <v>124</v>
      </c>
      <c r="N1504" t="s">
        <v>28</v>
      </c>
      <c r="O1504">
        <v>0</v>
      </c>
      <c r="P1504">
        <v>40589</v>
      </c>
      <c r="Q1504">
        <f t="shared" si="26"/>
        <v>4.0589E-2</v>
      </c>
      <c r="R1504">
        <v>43252</v>
      </c>
      <c r="S1504" t="s">
        <v>122</v>
      </c>
    </row>
    <row r="1505" spans="1:19">
      <c r="A1505">
        <v>60000236</v>
      </c>
      <c r="B1505">
        <v>52</v>
      </c>
      <c r="C1505" t="s">
        <v>33</v>
      </c>
      <c r="D1505" t="s">
        <v>40</v>
      </c>
      <c r="E1505" t="s">
        <v>64</v>
      </c>
      <c r="F1505" t="s">
        <v>21</v>
      </c>
      <c r="G1505" s="23">
        <v>0.1</v>
      </c>
      <c r="H1505" t="s">
        <v>36</v>
      </c>
      <c r="I1505" t="s">
        <v>23</v>
      </c>
      <c r="J1505" t="s">
        <v>46</v>
      </c>
      <c r="K1505" t="s">
        <v>49</v>
      </c>
      <c r="L1505" t="s">
        <v>26</v>
      </c>
      <c r="M1505" t="s">
        <v>124</v>
      </c>
      <c r="N1505" t="s">
        <v>28</v>
      </c>
      <c r="O1505">
        <v>5</v>
      </c>
      <c r="P1505">
        <v>35339</v>
      </c>
      <c r="Q1505">
        <f t="shared" si="26"/>
        <v>3.5339000000000002E-2</v>
      </c>
      <c r="R1505">
        <v>43252</v>
      </c>
      <c r="S1505" t="s">
        <v>122</v>
      </c>
    </row>
    <row r="1506" spans="1:19">
      <c r="A1506">
        <v>60000237</v>
      </c>
      <c r="B1506">
        <v>22</v>
      </c>
      <c r="C1506" t="s">
        <v>33</v>
      </c>
      <c r="D1506" t="s">
        <v>40</v>
      </c>
      <c r="E1506" t="s">
        <v>75</v>
      </c>
      <c r="F1506" t="s">
        <v>21</v>
      </c>
      <c r="G1506" s="23">
        <v>0.15</v>
      </c>
      <c r="H1506" t="s">
        <v>22</v>
      </c>
      <c r="I1506" t="s">
        <v>76</v>
      </c>
      <c r="J1506" t="s">
        <v>74</v>
      </c>
      <c r="K1506" t="s">
        <v>110</v>
      </c>
      <c r="L1506" t="s">
        <v>26</v>
      </c>
      <c r="M1506" t="s">
        <v>124</v>
      </c>
      <c r="N1506" t="s">
        <v>28</v>
      </c>
      <c r="O1506">
        <v>0</v>
      </c>
      <c r="P1506">
        <v>31305</v>
      </c>
      <c r="Q1506">
        <f t="shared" si="26"/>
        <v>3.1304999999999999E-2</v>
      </c>
      <c r="R1506">
        <v>43252</v>
      </c>
      <c r="S1506" t="s">
        <v>122</v>
      </c>
    </row>
    <row r="1507" spans="1:19">
      <c r="A1507">
        <v>60000238</v>
      </c>
      <c r="B1507">
        <v>39</v>
      </c>
      <c r="C1507" t="s">
        <v>18</v>
      </c>
      <c r="D1507" t="s">
        <v>40</v>
      </c>
      <c r="E1507" t="s">
        <v>48</v>
      </c>
      <c r="F1507" t="s">
        <v>21</v>
      </c>
      <c r="G1507" s="23">
        <v>0.38</v>
      </c>
      <c r="H1507" t="s">
        <v>42</v>
      </c>
      <c r="I1507" t="s">
        <v>76</v>
      </c>
      <c r="J1507" t="s">
        <v>74</v>
      </c>
      <c r="K1507" t="s">
        <v>55</v>
      </c>
      <c r="L1507" t="s">
        <v>26</v>
      </c>
      <c r="M1507" t="s">
        <v>124</v>
      </c>
      <c r="N1507" t="s">
        <v>28</v>
      </c>
      <c r="O1507">
        <v>0</v>
      </c>
      <c r="P1507">
        <v>42758</v>
      </c>
      <c r="Q1507">
        <f t="shared" si="26"/>
        <v>4.2757999999999997E-2</v>
      </c>
      <c r="R1507">
        <v>43252</v>
      </c>
      <c r="S1507" t="s">
        <v>122</v>
      </c>
    </row>
    <row r="1508" spans="1:19">
      <c r="A1508">
        <v>60000239</v>
      </c>
      <c r="B1508">
        <v>47</v>
      </c>
      <c r="C1508" t="s">
        <v>18</v>
      </c>
      <c r="D1508" t="s">
        <v>40</v>
      </c>
      <c r="E1508" t="s">
        <v>75</v>
      </c>
      <c r="F1508" t="s">
        <v>21</v>
      </c>
      <c r="G1508" s="23">
        <v>0.12</v>
      </c>
      <c r="H1508" t="s">
        <v>22</v>
      </c>
      <c r="I1508" t="s">
        <v>68</v>
      </c>
      <c r="J1508" t="s">
        <v>74</v>
      </c>
      <c r="K1508" t="s">
        <v>105</v>
      </c>
      <c r="L1508" t="s">
        <v>119</v>
      </c>
      <c r="M1508" t="s">
        <v>124</v>
      </c>
      <c r="N1508" t="s">
        <v>28</v>
      </c>
      <c r="O1508">
        <v>0</v>
      </c>
      <c r="P1508">
        <v>52307</v>
      </c>
      <c r="Q1508">
        <f t="shared" si="26"/>
        <v>5.2306999999999999E-2</v>
      </c>
      <c r="R1508">
        <v>43252</v>
      </c>
      <c r="S1508" t="s">
        <v>122</v>
      </c>
    </row>
    <row r="1509" spans="1:19">
      <c r="A1509">
        <v>60000240</v>
      </c>
      <c r="B1509">
        <v>65</v>
      </c>
      <c r="C1509" t="s">
        <v>18</v>
      </c>
      <c r="D1509" t="s">
        <v>40</v>
      </c>
      <c r="E1509" t="s">
        <v>34</v>
      </c>
      <c r="F1509" t="s">
        <v>21</v>
      </c>
      <c r="G1509" s="23">
        <v>0.36</v>
      </c>
      <c r="H1509" t="s">
        <v>42</v>
      </c>
      <c r="I1509" t="s">
        <v>60</v>
      </c>
      <c r="J1509" t="s">
        <v>66</v>
      </c>
      <c r="K1509" t="s">
        <v>107</v>
      </c>
      <c r="L1509" t="s">
        <v>121</v>
      </c>
      <c r="M1509" t="s">
        <v>124</v>
      </c>
      <c r="N1509" t="s">
        <v>28</v>
      </c>
      <c r="O1509">
        <v>0</v>
      </c>
      <c r="P1509">
        <v>27291</v>
      </c>
      <c r="Q1509">
        <f t="shared" si="26"/>
        <v>2.7290999999999999E-2</v>
      </c>
      <c r="R1509">
        <v>43252</v>
      </c>
      <c r="S1509" t="s">
        <v>122</v>
      </c>
    </row>
    <row r="1510" spans="1:19">
      <c r="A1510">
        <v>60000241</v>
      </c>
      <c r="B1510">
        <v>57</v>
      </c>
      <c r="C1510" t="s">
        <v>18</v>
      </c>
      <c r="D1510" t="s">
        <v>19</v>
      </c>
      <c r="E1510" t="s">
        <v>64</v>
      </c>
      <c r="F1510" t="s">
        <v>21</v>
      </c>
      <c r="G1510" s="23">
        <v>0.14000000000000001</v>
      </c>
      <c r="H1510" t="s">
        <v>22</v>
      </c>
      <c r="I1510" t="s">
        <v>37</v>
      </c>
      <c r="J1510" t="s">
        <v>91</v>
      </c>
      <c r="K1510" t="s">
        <v>89</v>
      </c>
      <c r="L1510" t="s">
        <v>26</v>
      </c>
      <c r="M1510" t="s">
        <v>124</v>
      </c>
      <c r="N1510" t="s">
        <v>28</v>
      </c>
      <c r="O1510">
        <v>3</v>
      </c>
      <c r="P1510">
        <v>33519</v>
      </c>
      <c r="Q1510">
        <f t="shared" si="26"/>
        <v>3.3519E-2</v>
      </c>
      <c r="R1510">
        <v>43252</v>
      </c>
      <c r="S1510" t="s">
        <v>122</v>
      </c>
    </row>
    <row r="1511" spans="1:19">
      <c r="A1511">
        <v>60000242</v>
      </c>
      <c r="B1511">
        <v>60</v>
      </c>
      <c r="C1511" t="s">
        <v>18</v>
      </c>
      <c r="D1511" t="s">
        <v>19</v>
      </c>
      <c r="E1511" t="s">
        <v>20</v>
      </c>
      <c r="F1511" t="s">
        <v>21</v>
      </c>
      <c r="G1511" s="23">
        <v>0.11</v>
      </c>
      <c r="H1511" t="s">
        <v>36</v>
      </c>
      <c r="I1511" t="s">
        <v>45</v>
      </c>
      <c r="J1511" t="s">
        <v>58</v>
      </c>
      <c r="K1511" t="s">
        <v>97</v>
      </c>
      <c r="L1511" t="s">
        <v>121</v>
      </c>
      <c r="M1511" t="s">
        <v>124</v>
      </c>
      <c r="N1511" t="s">
        <v>28</v>
      </c>
      <c r="O1511">
        <v>0</v>
      </c>
      <c r="P1511">
        <v>36838</v>
      </c>
      <c r="Q1511">
        <f t="shared" si="26"/>
        <v>3.6838000000000003E-2</v>
      </c>
      <c r="R1511">
        <v>43252</v>
      </c>
      <c r="S1511" t="s">
        <v>122</v>
      </c>
    </row>
    <row r="1512" spans="1:19">
      <c r="A1512">
        <v>60000243</v>
      </c>
      <c r="B1512">
        <v>37</v>
      </c>
      <c r="C1512" t="s">
        <v>33</v>
      </c>
      <c r="D1512" t="s">
        <v>19</v>
      </c>
      <c r="E1512" t="s">
        <v>20</v>
      </c>
      <c r="F1512" t="s">
        <v>21</v>
      </c>
      <c r="G1512" s="23">
        <v>0.14000000000000001</v>
      </c>
      <c r="H1512" t="s">
        <v>22</v>
      </c>
      <c r="I1512" t="s">
        <v>76</v>
      </c>
      <c r="J1512" t="s">
        <v>46</v>
      </c>
      <c r="K1512" t="s">
        <v>103</v>
      </c>
      <c r="L1512" t="s">
        <v>119</v>
      </c>
      <c r="M1512" t="s">
        <v>124</v>
      </c>
      <c r="N1512" t="s">
        <v>51</v>
      </c>
      <c r="O1512">
        <v>7</v>
      </c>
      <c r="P1512">
        <v>71082</v>
      </c>
      <c r="Q1512">
        <f t="shared" si="26"/>
        <v>7.1082000000000006E-2</v>
      </c>
      <c r="R1512">
        <v>43252</v>
      </c>
      <c r="S1512" t="s">
        <v>122</v>
      </c>
    </row>
    <row r="1513" spans="1:19">
      <c r="A1513">
        <v>60000244</v>
      </c>
      <c r="B1513">
        <v>33</v>
      </c>
      <c r="C1513" t="s">
        <v>18</v>
      </c>
      <c r="D1513" t="s">
        <v>19</v>
      </c>
      <c r="E1513" t="s">
        <v>85</v>
      </c>
      <c r="F1513" t="s">
        <v>21</v>
      </c>
      <c r="G1513" s="23">
        <v>0.27</v>
      </c>
      <c r="H1513" t="s">
        <v>53</v>
      </c>
      <c r="I1513" t="s">
        <v>37</v>
      </c>
      <c r="J1513" t="s">
        <v>69</v>
      </c>
      <c r="K1513" t="s">
        <v>92</v>
      </c>
      <c r="L1513" t="s">
        <v>119</v>
      </c>
      <c r="M1513" t="s">
        <v>124</v>
      </c>
      <c r="N1513" t="s">
        <v>51</v>
      </c>
      <c r="O1513">
        <v>0</v>
      </c>
      <c r="P1513">
        <v>50431</v>
      </c>
      <c r="Q1513">
        <f t="shared" si="26"/>
        <v>5.0430999999999997E-2</v>
      </c>
      <c r="R1513">
        <v>43252</v>
      </c>
      <c r="S1513" t="s">
        <v>122</v>
      </c>
    </row>
    <row r="1514" spans="1:19">
      <c r="A1514">
        <v>60000245</v>
      </c>
      <c r="B1514">
        <v>27</v>
      </c>
      <c r="C1514" t="s">
        <v>33</v>
      </c>
      <c r="D1514" t="s">
        <v>19</v>
      </c>
      <c r="E1514" t="s">
        <v>72</v>
      </c>
      <c r="F1514" t="s">
        <v>21</v>
      </c>
      <c r="G1514" s="23">
        <v>0.1</v>
      </c>
      <c r="H1514" t="s">
        <v>36</v>
      </c>
      <c r="I1514" t="s">
        <v>30</v>
      </c>
      <c r="J1514" t="s">
        <v>74</v>
      </c>
      <c r="K1514" t="s">
        <v>110</v>
      </c>
      <c r="L1514" t="s">
        <v>121</v>
      </c>
      <c r="M1514" t="s">
        <v>124</v>
      </c>
      <c r="N1514" t="s">
        <v>28</v>
      </c>
      <c r="O1514">
        <v>5</v>
      </c>
      <c r="P1514">
        <v>27793</v>
      </c>
      <c r="Q1514">
        <f t="shared" si="26"/>
        <v>2.7793000000000002E-2</v>
      </c>
      <c r="R1514">
        <v>43252</v>
      </c>
      <c r="S1514" t="s">
        <v>122</v>
      </c>
    </row>
    <row r="1515" spans="1:19">
      <c r="A1515">
        <v>60000246</v>
      </c>
      <c r="B1515">
        <v>26</v>
      </c>
      <c r="C1515" t="s">
        <v>18</v>
      </c>
      <c r="D1515" t="s">
        <v>19</v>
      </c>
      <c r="E1515" t="s">
        <v>85</v>
      </c>
      <c r="F1515" t="s">
        <v>21</v>
      </c>
      <c r="G1515" s="23">
        <v>0.11</v>
      </c>
      <c r="H1515" t="s">
        <v>36</v>
      </c>
      <c r="I1515" t="s">
        <v>65</v>
      </c>
      <c r="J1515" t="s">
        <v>46</v>
      </c>
      <c r="K1515" t="s">
        <v>82</v>
      </c>
      <c r="L1515" t="s">
        <v>119</v>
      </c>
      <c r="M1515" t="s">
        <v>124</v>
      </c>
      <c r="N1515" t="s">
        <v>51</v>
      </c>
      <c r="O1515">
        <v>6</v>
      </c>
      <c r="P1515">
        <v>53157</v>
      </c>
      <c r="Q1515">
        <f t="shared" si="26"/>
        <v>5.3157000000000003E-2</v>
      </c>
      <c r="R1515">
        <v>43252</v>
      </c>
      <c r="S1515" t="s">
        <v>122</v>
      </c>
    </row>
    <row r="1516" spans="1:19">
      <c r="A1516">
        <v>60000247</v>
      </c>
      <c r="B1516">
        <v>54</v>
      </c>
      <c r="C1516" t="s">
        <v>33</v>
      </c>
      <c r="D1516" t="s">
        <v>19</v>
      </c>
      <c r="E1516" t="s">
        <v>64</v>
      </c>
      <c r="F1516" t="s">
        <v>21</v>
      </c>
      <c r="G1516" s="23">
        <v>0.35</v>
      </c>
      <c r="H1516" t="s">
        <v>42</v>
      </c>
      <c r="I1516" t="s">
        <v>73</v>
      </c>
      <c r="J1516" t="s">
        <v>78</v>
      </c>
      <c r="K1516" t="s">
        <v>32</v>
      </c>
      <c r="L1516" t="s">
        <v>26</v>
      </c>
      <c r="M1516" t="s">
        <v>124</v>
      </c>
      <c r="N1516" t="s">
        <v>28</v>
      </c>
      <c r="O1516">
        <v>0</v>
      </c>
      <c r="P1516">
        <v>62433</v>
      </c>
      <c r="Q1516">
        <f t="shared" si="26"/>
        <v>6.2433000000000002E-2</v>
      </c>
      <c r="R1516">
        <v>43252</v>
      </c>
      <c r="S1516" t="s">
        <v>122</v>
      </c>
    </row>
    <row r="1517" spans="1:19">
      <c r="A1517">
        <v>60000248</v>
      </c>
      <c r="B1517">
        <v>28</v>
      </c>
      <c r="C1517" t="s">
        <v>18</v>
      </c>
      <c r="D1517" t="s">
        <v>19</v>
      </c>
      <c r="E1517" t="s">
        <v>67</v>
      </c>
      <c r="F1517" t="s">
        <v>21</v>
      </c>
      <c r="G1517" s="23">
        <v>0.3</v>
      </c>
      <c r="H1517" t="s">
        <v>53</v>
      </c>
      <c r="I1517" t="s">
        <v>57</v>
      </c>
      <c r="J1517" t="s">
        <v>46</v>
      </c>
      <c r="K1517" t="s">
        <v>118</v>
      </c>
      <c r="L1517" t="s">
        <v>121</v>
      </c>
      <c r="M1517" t="s">
        <v>124</v>
      </c>
      <c r="N1517" t="s">
        <v>28</v>
      </c>
      <c r="O1517">
        <v>0</v>
      </c>
      <c r="P1517">
        <v>25103</v>
      </c>
      <c r="Q1517">
        <f t="shared" si="26"/>
        <v>2.5103E-2</v>
      </c>
      <c r="R1517">
        <v>43252</v>
      </c>
      <c r="S1517" t="s">
        <v>122</v>
      </c>
    </row>
    <row r="1518" spans="1:19">
      <c r="A1518">
        <v>60000249</v>
      </c>
      <c r="B1518">
        <v>24</v>
      </c>
      <c r="C1518" t="s">
        <v>18</v>
      </c>
      <c r="D1518" t="s">
        <v>19</v>
      </c>
      <c r="E1518" t="s">
        <v>48</v>
      </c>
      <c r="F1518" t="s">
        <v>21</v>
      </c>
      <c r="G1518" s="23">
        <v>0.34</v>
      </c>
      <c r="H1518" t="s">
        <v>42</v>
      </c>
      <c r="I1518" t="s">
        <v>57</v>
      </c>
      <c r="J1518" t="s">
        <v>46</v>
      </c>
      <c r="K1518" t="s">
        <v>117</v>
      </c>
      <c r="L1518" t="s">
        <v>119</v>
      </c>
      <c r="M1518" t="s">
        <v>124</v>
      </c>
      <c r="N1518" t="s">
        <v>51</v>
      </c>
      <c r="O1518">
        <v>0</v>
      </c>
      <c r="P1518">
        <v>36428</v>
      </c>
      <c r="Q1518">
        <f t="shared" si="26"/>
        <v>3.6428000000000002E-2</v>
      </c>
      <c r="R1518">
        <v>43252</v>
      </c>
      <c r="S1518" t="s">
        <v>122</v>
      </c>
    </row>
    <row r="1519" spans="1:19">
      <c r="A1519">
        <v>60000250</v>
      </c>
      <c r="B1519">
        <v>48</v>
      </c>
      <c r="C1519" t="s">
        <v>33</v>
      </c>
      <c r="D1519" t="s">
        <v>19</v>
      </c>
      <c r="E1519" t="s">
        <v>64</v>
      </c>
      <c r="F1519" t="s">
        <v>21</v>
      </c>
      <c r="G1519" s="23">
        <v>0.19</v>
      </c>
      <c r="H1519" t="s">
        <v>29</v>
      </c>
      <c r="I1519" t="s">
        <v>68</v>
      </c>
      <c r="J1519" t="s">
        <v>31</v>
      </c>
      <c r="K1519" t="s">
        <v>96</v>
      </c>
      <c r="L1519" t="s">
        <v>119</v>
      </c>
      <c r="M1519" t="s">
        <v>124</v>
      </c>
      <c r="N1519" t="s">
        <v>28</v>
      </c>
      <c r="O1519">
        <v>2</v>
      </c>
      <c r="P1519">
        <v>44679</v>
      </c>
      <c r="Q1519">
        <f t="shared" si="26"/>
        <v>4.4679000000000003E-2</v>
      </c>
      <c r="R1519">
        <v>43252</v>
      </c>
      <c r="S1519" t="s">
        <v>122</v>
      </c>
    </row>
    <row r="1520" spans="1:19">
      <c r="A1520">
        <v>60000251</v>
      </c>
      <c r="B1520">
        <v>26</v>
      </c>
      <c r="C1520" t="s">
        <v>18</v>
      </c>
      <c r="D1520" t="s">
        <v>40</v>
      </c>
      <c r="E1520" t="s">
        <v>41</v>
      </c>
      <c r="F1520" t="s">
        <v>21</v>
      </c>
      <c r="G1520" s="23">
        <v>0.21</v>
      </c>
      <c r="H1520" t="s">
        <v>29</v>
      </c>
      <c r="I1520" t="s">
        <v>60</v>
      </c>
      <c r="J1520" t="s">
        <v>38</v>
      </c>
      <c r="K1520" t="s">
        <v>101</v>
      </c>
      <c r="L1520" t="s">
        <v>121</v>
      </c>
      <c r="M1520" t="s">
        <v>124</v>
      </c>
      <c r="N1520" t="s">
        <v>28</v>
      </c>
      <c r="O1520">
        <v>0</v>
      </c>
      <c r="P1520">
        <v>60136</v>
      </c>
      <c r="Q1520">
        <f t="shared" si="26"/>
        <v>6.0136000000000002E-2</v>
      </c>
      <c r="R1520">
        <v>43252</v>
      </c>
      <c r="S1520" t="s">
        <v>122</v>
      </c>
    </row>
    <row r="1521" spans="1:19">
      <c r="A1521">
        <v>60000252</v>
      </c>
      <c r="B1521">
        <v>30</v>
      </c>
      <c r="C1521" t="s">
        <v>18</v>
      </c>
      <c r="D1521" t="s">
        <v>40</v>
      </c>
      <c r="E1521" t="s">
        <v>41</v>
      </c>
      <c r="F1521" t="s">
        <v>21</v>
      </c>
      <c r="G1521" s="23">
        <v>0.2</v>
      </c>
      <c r="H1521" t="s">
        <v>29</v>
      </c>
      <c r="I1521" t="s">
        <v>30</v>
      </c>
      <c r="J1521" t="s">
        <v>91</v>
      </c>
      <c r="K1521" t="s">
        <v>117</v>
      </c>
      <c r="L1521" t="s">
        <v>26</v>
      </c>
      <c r="M1521" t="s">
        <v>124</v>
      </c>
      <c r="N1521" t="s">
        <v>51</v>
      </c>
      <c r="O1521">
        <v>0</v>
      </c>
      <c r="P1521">
        <v>45590</v>
      </c>
      <c r="Q1521">
        <f t="shared" si="26"/>
        <v>4.5589999999999999E-2</v>
      </c>
      <c r="R1521">
        <v>43252</v>
      </c>
      <c r="S1521" t="s">
        <v>122</v>
      </c>
    </row>
    <row r="1522" spans="1:19">
      <c r="A1522">
        <v>60000253</v>
      </c>
      <c r="B1522">
        <v>31</v>
      </c>
      <c r="C1522" t="s">
        <v>18</v>
      </c>
      <c r="D1522" t="s">
        <v>19</v>
      </c>
      <c r="E1522" t="s">
        <v>85</v>
      </c>
      <c r="F1522" t="s">
        <v>21</v>
      </c>
      <c r="G1522" s="23">
        <v>0.19</v>
      </c>
      <c r="H1522" t="s">
        <v>29</v>
      </c>
      <c r="I1522" t="s">
        <v>45</v>
      </c>
      <c r="J1522" t="s">
        <v>61</v>
      </c>
      <c r="K1522" t="s">
        <v>110</v>
      </c>
      <c r="L1522" t="s">
        <v>121</v>
      </c>
      <c r="M1522" t="s">
        <v>124</v>
      </c>
      <c r="N1522" t="s">
        <v>51</v>
      </c>
      <c r="O1522">
        <v>3</v>
      </c>
      <c r="P1522">
        <v>38361</v>
      </c>
      <c r="Q1522">
        <f t="shared" si="26"/>
        <v>3.8360999999999999E-2</v>
      </c>
      <c r="R1522">
        <v>43252</v>
      </c>
      <c r="S1522" t="s">
        <v>122</v>
      </c>
    </row>
    <row r="1523" spans="1:19">
      <c r="A1523">
        <v>60000254</v>
      </c>
      <c r="B1523">
        <v>51</v>
      </c>
      <c r="C1523" t="s">
        <v>33</v>
      </c>
      <c r="D1523" t="s">
        <v>19</v>
      </c>
      <c r="E1523" t="s">
        <v>56</v>
      </c>
      <c r="F1523" t="s">
        <v>21</v>
      </c>
      <c r="G1523" s="23">
        <v>0.35</v>
      </c>
      <c r="H1523" t="s">
        <v>42</v>
      </c>
      <c r="I1523" t="s">
        <v>83</v>
      </c>
      <c r="J1523" t="s">
        <v>58</v>
      </c>
      <c r="K1523" t="s">
        <v>103</v>
      </c>
      <c r="L1523" t="s">
        <v>121</v>
      </c>
      <c r="M1523" t="s">
        <v>124</v>
      </c>
      <c r="N1523" t="s">
        <v>28</v>
      </c>
      <c r="O1523">
        <v>0</v>
      </c>
      <c r="P1523">
        <v>42979</v>
      </c>
      <c r="Q1523">
        <f t="shared" si="26"/>
        <v>4.2979000000000003E-2</v>
      </c>
      <c r="R1523">
        <v>43252</v>
      </c>
      <c r="S1523" t="s">
        <v>122</v>
      </c>
    </row>
    <row r="1524" spans="1:19">
      <c r="A1524">
        <v>60000255</v>
      </c>
      <c r="B1524">
        <v>56</v>
      </c>
      <c r="C1524" t="s">
        <v>18</v>
      </c>
      <c r="D1524" t="s">
        <v>40</v>
      </c>
      <c r="E1524" t="s">
        <v>72</v>
      </c>
      <c r="F1524" t="s">
        <v>21</v>
      </c>
      <c r="G1524" s="23">
        <v>0.36</v>
      </c>
      <c r="H1524" t="s">
        <v>42</v>
      </c>
      <c r="I1524" t="s">
        <v>70</v>
      </c>
      <c r="J1524" t="s">
        <v>58</v>
      </c>
      <c r="K1524" t="s">
        <v>87</v>
      </c>
      <c r="L1524" t="s">
        <v>119</v>
      </c>
      <c r="M1524" t="s">
        <v>124</v>
      </c>
      <c r="N1524" t="s">
        <v>51</v>
      </c>
      <c r="O1524">
        <v>0</v>
      </c>
      <c r="P1524">
        <v>55189</v>
      </c>
      <c r="Q1524">
        <f t="shared" si="26"/>
        <v>5.5189000000000002E-2</v>
      </c>
      <c r="R1524">
        <v>43252</v>
      </c>
      <c r="S1524" t="s">
        <v>122</v>
      </c>
    </row>
    <row r="1525" spans="1:19">
      <c r="A1525">
        <v>60000256</v>
      </c>
      <c r="B1525">
        <v>21</v>
      </c>
      <c r="C1525" t="s">
        <v>18</v>
      </c>
      <c r="D1525" t="s">
        <v>19</v>
      </c>
      <c r="E1525" t="s">
        <v>52</v>
      </c>
      <c r="F1525" t="s">
        <v>21</v>
      </c>
      <c r="G1525" s="23">
        <v>0.15</v>
      </c>
      <c r="H1525" t="s">
        <v>22</v>
      </c>
      <c r="I1525" t="s">
        <v>57</v>
      </c>
      <c r="J1525" t="s">
        <v>31</v>
      </c>
      <c r="K1525" t="s">
        <v>117</v>
      </c>
      <c r="L1525" t="s">
        <v>26</v>
      </c>
      <c r="M1525" t="s">
        <v>124</v>
      </c>
      <c r="N1525" t="s">
        <v>28</v>
      </c>
      <c r="O1525">
        <v>0</v>
      </c>
      <c r="P1525">
        <v>44547</v>
      </c>
      <c r="Q1525">
        <f t="shared" si="26"/>
        <v>4.4547000000000003E-2</v>
      </c>
      <c r="R1525">
        <v>43252</v>
      </c>
      <c r="S1525" t="s">
        <v>122</v>
      </c>
    </row>
    <row r="1526" spans="1:19">
      <c r="A1526">
        <v>60000257</v>
      </c>
      <c r="B1526">
        <v>60</v>
      </c>
      <c r="C1526" t="s">
        <v>33</v>
      </c>
      <c r="D1526" t="s">
        <v>40</v>
      </c>
      <c r="E1526" t="s">
        <v>41</v>
      </c>
      <c r="F1526" t="s">
        <v>21</v>
      </c>
      <c r="G1526" s="23">
        <v>0.21</v>
      </c>
      <c r="H1526" t="s">
        <v>29</v>
      </c>
      <c r="I1526" t="s">
        <v>86</v>
      </c>
      <c r="J1526" t="s">
        <v>88</v>
      </c>
      <c r="K1526" t="s">
        <v>98</v>
      </c>
      <c r="L1526" t="s">
        <v>119</v>
      </c>
      <c r="M1526" t="s">
        <v>124</v>
      </c>
      <c r="N1526" t="s">
        <v>28</v>
      </c>
      <c r="O1526">
        <v>0</v>
      </c>
      <c r="P1526">
        <v>36625</v>
      </c>
      <c r="Q1526">
        <f t="shared" si="26"/>
        <v>3.6624999999999998E-2</v>
      </c>
      <c r="R1526">
        <v>43252</v>
      </c>
      <c r="S1526" t="s">
        <v>122</v>
      </c>
    </row>
    <row r="1527" spans="1:19">
      <c r="A1527">
        <v>60000258</v>
      </c>
      <c r="B1527">
        <v>47</v>
      </c>
      <c r="C1527" t="s">
        <v>18</v>
      </c>
      <c r="D1527" t="s">
        <v>19</v>
      </c>
      <c r="E1527" t="s">
        <v>48</v>
      </c>
      <c r="F1527" t="s">
        <v>21</v>
      </c>
      <c r="G1527" s="23">
        <v>0.33</v>
      </c>
      <c r="H1527" t="s">
        <v>42</v>
      </c>
      <c r="I1527" t="s">
        <v>65</v>
      </c>
      <c r="J1527" t="s">
        <v>38</v>
      </c>
      <c r="K1527" t="s">
        <v>98</v>
      </c>
      <c r="L1527" t="s">
        <v>26</v>
      </c>
      <c r="M1527" t="s">
        <v>124</v>
      </c>
      <c r="N1527" t="s">
        <v>28</v>
      </c>
      <c r="O1527">
        <v>4</v>
      </c>
      <c r="P1527">
        <v>51401</v>
      </c>
      <c r="Q1527">
        <f t="shared" si="26"/>
        <v>5.1401000000000002E-2</v>
      </c>
      <c r="R1527">
        <v>43252</v>
      </c>
      <c r="S1527" t="s">
        <v>122</v>
      </c>
    </row>
    <row r="1528" spans="1:19">
      <c r="A1528">
        <v>60000259</v>
      </c>
      <c r="B1528">
        <v>63</v>
      </c>
      <c r="C1528" t="s">
        <v>33</v>
      </c>
      <c r="D1528" t="s">
        <v>19</v>
      </c>
      <c r="E1528" t="s">
        <v>44</v>
      </c>
      <c r="F1528" t="s">
        <v>21</v>
      </c>
      <c r="G1528" s="23">
        <v>0.12</v>
      </c>
      <c r="H1528" t="s">
        <v>22</v>
      </c>
      <c r="I1528" t="s">
        <v>23</v>
      </c>
      <c r="J1528" t="s">
        <v>66</v>
      </c>
      <c r="K1528" t="s">
        <v>118</v>
      </c>
      <c r="L1528" t="s">
        <v>26</v>
      </c>
      <c r="M1528" t="s">
        <v>124</v>
      </c>
      <c r="N1528" t="s">
        <v>51</v>
      </c>
      <c r="O1528">
        <v>4</v>
      </c>
      <c r="P1528">
        <v>43733</v>
      </c>
      <c r="Q1528">
        <f t="shared" si="26"/>
        <v>4.3733000000000001E-2</v>
      </c>
      <c r="R1528">
        <v>43252</v>
      </c>
      <c r="S1528" t="s">
        <v>122</v>
      </c>
    </row>
    <row r="1529" spans="1:19">
      <c r="A1529">
        <v>60000260</v>
      </c>
      <c r="B1529">
        <v>53</v>
      </c>
      <c r="C1529" t="s">
        <v>18</v>
      </c>
      <c r="D1529" t="s">
        <v>19</v>
      </c>
      <c r="E1529" t="s">
        <v>67</v>
      </c>
      <c r="F1529" t="s">
        <v>21</v>
      </c>
      <c r="G1529" s="23">
        <v>0.19</v>
      </c>
      <c r="H1529" t="s">
        <v>29</v>
      </c>
      <c r="I1529" t="s">
        <v>45</v>
      </c>
      <c r="J1529" t="s">
        <v>54</v>
      </c>
      <c r="K1529" t="s">
        <v>92</v>
      </c>
      <c r="L1529" t="s">
        <v>119</v>
      </c>
      <c r="M1529" t="s">
        <v>124</v>
      </c>
      <c r="N1529" t="s">
        <v>28</v>
      </c>
      <c r="O1529">
        <v>0</v>
      </c>
      <c r="P1529">
        <v>52142</v>
      </c>
      <c r="Q1529">
        <f t="shared" si="26"/>
        <v>5.2142000000000001E-2</v>
      </c>
      <c r="R1529">
        <v>43252</v>
      </c>
      <c r="S1529" t="s">
        <v>122</v>
      </c>
    </row>
    <row r="1530" spans="1:19">
      <c r="A1530">
        <v>60000261</v>
      </c>
      <c r="B1530">
        <v>64</v>
      </c>
      <c r="C1530" t="s">
        <v>33</v>
      </c>
      <c r="D1530" t="s">
        <v>19</v>
      </c>
      <c r="E1530" t="s">
        <v>44</v>
      </c>
      <c r="F1530" t="s">
        <v>21</v>
      </c>
      <c r="G1530" s="23">
        <v>0.25</v>
      </c>
      <c r="H1530" t="s">
        <v>53</v>
      </c>
      <c r="I1530" t="s">
        <v>76</v>
      </c>
      <c r="J1530" t="s">
        <v>46</v>
      </c>
      <c r="K1530" t="s">
        <v>107</v>
      </c>
      <c r="L1530" t="s">
        <v>121</v>
      </c>
      <c r="M1530" t="s">
        <v>124</v>
      </c>
      <c r="N1530" t="s">
        <v>28</v>
      </c>
      <c r="O1530">
        <v>0</v>
      </c>
      <c r="P1530">
        <v>68355</v>
      </c>
      <c r="Q1530">
        <f t="shared" si="26"/>
        <v>6.8354999999999999E-2</v>
      </c>
      <c r="R1530">
        <v>43252</v>
      </c>
      <c r="S1530" t="s">
        <v>122</v>
      </c>
    </row>
    <row r="1531" spans="1:19">
      <c r="A1531">
        <v>60000262</v>
      </c>
      <c r="B1531">
        <v>63</v>
      </c>
      <c r="C1531" t="s">
        <v>18</v>
      </c>
      <c r="D1531" t="s">
        <v>19</v>
      </c>
      <c r="E1531" t="s">
        <v>67</v>
      </c>
      <c r="F1531" t="s">
        <v>21</v>
      </c>
      <c r="G1531" s="23">
        <v>0.35</v>
      </c>
      <c r="H1531" t="s">
        <v>42</v>
      </c>
      <c r="I1531" t="s">
        <v>73</v>
      </c>
      <c r="J1531" t="s">
        <v>78</v>
      </c>
      <c r="K1531" t="s">
        <v>77</v>
      </c>
      <c r="L1531" t="s">
        <v>121</v>
      </c>
      <c r="M1531" t="s">
        <v>124</v>
      </c>
      <c r="N1531" t="s">
        <v>51</v>
      </c>
      <c r="O1531">
        <v>6</v>
      </c>
      <c r="P1531">
        <v>64273</v>
      </c>
      <c r="Q1531">
        <f t="shared" si="26"/>
        <v>6.4272999999999997E-2</v>
      </c>
      <c r="R1531">
        <v>43252</v>
      </c>
      <c r="S1531" t="s">
        <v>122</v>
      </c>
    </row>
    <row r="1532" spans="1:19">
      <c r="A1532">
        <v>60000263</v>
      </c>
      <c r="B1532">
        <v>47</v>
      </c>
      <c r="C1532" t="s">
        <v>33</v>
      </c>
      <c r="D1532" t="s">
        <v>19</v>
      </c>
      <c r="E1532" t="s">
        <v>20</v>
      </c>
      <c r="F1532" t="s">
        <v>21</v>
      </c>
      <c r="G1532" s="23">
        <v>0.23</v>
      </c>
      <c r="H1532" t="s">
        <v>29</v>
      </c>
      <c r="I1532" t="s">
        <v>68</v>
      </c>
      <c r="J1532" t="s">
        <v>61</v>
      </c>
      <c r="K1532" t="s">
        <v>115</v>
      </c>
      <c r="L1532" t="s">
        <v>26</v>
      </c>
      <c r="M1532" t="s">
        <v>124</v>
      </c>
      <c r="N1532" t="s">
        <v>51</v>
      </c>
      <c r="O1532">
        <v>0</v>
      </c>
      <c r="P1532">
        <v>73415</v>
      </c>
      <c r="Q1532">
        <f t="shared" si="26"/>
        <v>7.3414999999999994E-2</v>
      </c>
      <c r="R1532">
        <v>43252</v>
      </c>
      <c r="S1532" t="s">
        <v>122</v>
      </c>
    </row>
    <row r="1533" spans="1:19">
      <c r="A1533">
        <v>60000264</v>
      </c>
      <c r="B1533">
        <v>62</v>
      </c>
      <c r="C1533" t="s">
        <v>18</v>
      </c>
      <c r="D1533" t="s">
        <v>40</v>
      </c>
      <c r="E1533" t="s">
        <v>67</v>
      </c>
      <c r="F1533" t="s">
        <v>21</v>
      </c>
      <c r="G1533" s="23">
        <v>0.32</v>
      </c>
      <c r="H1533" t="s">
        <v>42</v>
      </c>
      <c r="I1533" t="s">
        <v>23</v>
      </c>
      <c r="J1533" t="s">
        <v>38</v>
      </c>
      <c r="K1533" t="s">
        <v>112</v>
      </c>
      <c r="L1533" t="s">
        <v>119</v>
      </c>
      <c r="M1533" t="s">
        <v>124</v>
      </c>
      <c r="N1533" t="s">
        <v>28</v>
      </c>
      <c r="O1533">
        <v>7</v>
      </c>
      <c r="P1533">
        <v>28009</v>
      </c>
      <c r="Q1533">
        <f t="shared" si="26"/>
        <v>2.8008999999999999E-2</v>
      </c>
      <c r="R1533">
        <v>43252</v>
      </c>
      <c r="S1533" t="s">
        <v>122</v>
      </c>
    </row>
    <row r="1534" spans="1:19">
      <c r="A1534">
        <v>60000265</v>
      </c>
      <c r="B1534">
        <v>22</v>
      </c>
      <c r="C1534" t="s">
        <v>18</v>
      </c>
      <c r="D1534" t="s">
        <v>19</v>
      </c>
      <c r="E1534" t="s">
        <v>52</v>
      </c>
      <c r="F1534" t="s">
        <v>21</v>
      </c>
      <c r="G1534" s="23">
        <v>0.32</v>
      </c>
      <c r="H1534" t="s">
        <v>42</v>
      </c>
      <c r="I1534" t="s">
        <v>68</v>
      </c>
      <c r="J1534" t="s">
        <v>54</v>
      </c>
      <c r="K1534" t="s">
        <v>101</v>
      </c>
      <c r="L1534" t="s">
        <v>26</v>
      </c>
      <c r="M1534" t="s">
        <v>124</v>
      </c>
      <c r="N1534" t="s">
        <v>28</v>
      </c>
      <c r="O1534">
        <v>0</v>
      </c>
      <c r="P1534">
        <v>50117</v>
      </c>
      <c r="Q1534">
        <f t="shared" si="26"/>
        <v>5.0117000000000002E-2</v>
      </c>
      <c r="R1534">
        <v>43252</v>
      </c>
      <c r="S1534" t="s">
        <v>122</v>
      </c>
    </row>
    <row r="1535" spans="1:19">
      <c r="A1535">
        <v>60000266</v>
      </c>
      <c r="B1535">
        <v>55</v>
      </c>
      <c r="C1535" t="s">
        <v>33</v>
      </c>
      <c r="D1535" t="s">
        <v>40</v>
      </c>
      <c r="E1535" t="s">
        <v>56</v>
      </c>
      <c r="F1535" t="s">
        <v>21</v>
      </c>
      <c r="G1535" s="23">
        <v>0.24</v>
      </c>
      <c r="H1535" t="s">
        <v>29</v>
      </c>
      <c r="I1535" t="s">
        <v>62</v>
      </c>
      <c r="J1535" t="s">
        <v>69</v>
      </c>
      <c r="K1535" t="s">
        <v>59</v>
      </c>
      <c r="L1535" t="s">
        <v>119</v>
      </c>
      <c r="M1535" t="s">
        <v>124</v>
      </c>
      <c r="N1535" t="s">
        <v>51</v>
      </c>
      <c r="O1535">
        <v>5</v>
      </c>
      <c r="P1535">
        <v>73685</v>
      </c>
      <c r="Q1535">
        <f t="shared" si="26"/>
        <v>7.3685E-2</v>
      </c>
      <c r="R1535">
        <v>43252</v>
      </c>
      <c r="S1535" t="s">
        <v>122</v>
      </c>
    </row>
    <row r="1536" spans="1:19">
      <c r="A1536">
        <v>60000267</v>
      </c>
      <c r="B1536">
        <v>23</v>
      </c>
      <c r="C1536" t="s">
        <v>18</v>
      </c>
      <c r="D1536" t="s">
        <v>40</v>
      </c>
      <c r="E1536" t="s">
        <v>56</v>
      </c>
      <c r="F1536" t="s">
        <v>21</v>
      </c>
      <c r="G1536" s="23">
        <v>0.19</v>
      </c>
      <c r="H1536" t="s">
        <v>29</v>
      </c>
      <c r="I1536" t="s">
        <v>62</v>
      </c>
      <c r="J1536" t="s">
        <v>24</v>
      </c>
      <c r="K1536" t="s">
        <v>94</v>
      </c>
      <c r="L1536" t="s">
        <v>119</v>
      </c>
      <c r="M1536" t="s">
        <v>124</v>
      </c>
      <c r="N1536" t="s">
        <v>51</v>
      </c>
      <c r="O1536">
        <v>3</v>
      </c>
      <c r="P1536">
        <v>75872</v>
      </c>
      <c r="Q1536">
        <f t="shared" si="26"/>
        <v>7.5871999999999995E-2</v>
      </c>
      <c r="R1536">
        <v>43252</v>
      </c>
      <c r="S1536" t="s">
        <v>122</v>
      </c>
    </row>
    <row r="1537" spans="1:19">
      <c r="A1537">
        <v>60000268</v>
      </c>
      <c r="B1537">
        <v>20</v>
      </c>
      <c r="C1537" t="s">
        <v>33</v>
      </c>
      <c r="D1537" t="s">
        <v>19</v>
      </c>
      <c r="E1537" t="s">
        <v>34</v>
      </c>
      <c r="F1537" t="s">
        <v>21</v>
      </c>
      <c r="G1537" s="23">
        <v>0.35</v>
      </c>
      <c r="H1537" t="s">
        <v>42</v>
      </c>
      <c r="I1537" t="s">
        <v>62</v>
      </c>
      <c r="J1537" t="s">
        <v>58</v>
      </c>
      <c r="K1537" t="s">
        <v>84</v>
      </c>
      <c r="L1537" t="s">
        <v>26</v>
      </c>
      <c r="M1537" t="s">
        <v>124</v>
      </c>
      <c r="N1537" t="s">
        <v>28</v>
      </c>
      <c r="O1537">
        <v>0</v>
      </c>
      <c r="P1537">
        <v>81531</v>
      </c>
      <c r="Q1537">
        <f t="shared" si="26"/>
        <v>8.1531000000000006E-2</v>
      </c>
      <c r="R1537">
        <v>43252</v>
      </c>
      <c r="S1537" t="s">
        <v>122</v>
      </c>
    </row>
    <row r="1538" spans="1:19">
      <c r="A1538">
        <v>60000269</v>
      </c>
      <c r="B1538">
        <v>64</v>
      </c>
      <c r="C1538" t="s">
        <v>33</v>
      </c>
      <c r="D1538" t="s">
        <v>40</v>
      </c>
      <c r="E1538" t="s">
        <v>75</v>
      </c>
      <c r="F1538" t="s">
        <v>21</v>
      </c>
      <c r="G1538" s="23">
        <v>0.34</v>
      </c>
      <c r="H1538" t="s">
        <v>42</v>
      </c>
      <c r="I1538" t="s">
        <v>45</v>
      </c>
      <c r="J1538" t="s">
        <v>74</v>
      </c>
      <c r="K1538" t="s">
        <v>118</v>
      </c>
      <c r="L1538" t="s">
        <v>121</v>
      </c>
      <c r="M1538" t="s">
        <v>124</v>
      </c>
      <c r="N1538" t="s">
        <v>28</v>
      </c>
      <c r="O1538">
        <v>5</v>
      </c>
      <c r="P1538">
        <v>74132</v>
      </c>
      <c r="Q1538">
        <f t="shared" si="26"/>
        <v>7.4132000000000003E-2</v>
      </c>
      <c r="R1538">
        <v>43252</v>
      </c>
      <c r="S1538" t="s">
        <v>122</v>
      </c>
    </row>
    <row r="1539" spans="1:19">
      <c r="A1539">
        <v>60000270</v>
      </c>
      <c r="B1539">
        <v>27</v>
      </c>
      <c r="C1539" t="s">
        <v>33</v>
      </c>
      <c r="D1539" t="s">
        <v>19</v>
      </c>
      <c r="E1539" t="s">
        <v>85</v>
      </c>
      <c r="F1539" t="s">
        <v>21</v>
      </c>
      <c r="G1539" s="23">
        <v>0.33</v>
      </c>
      <c r="H1539" t="s">
        <v>42</v>
      </c>
      <c r="I1539" t="s">
        <v>60</v>
      </c>
      <c r="J1539" t="s">
        <v>74</v>
      </c>
      <c r="K1539" t="s">
        <v>95</v>
      </c>
      <c r="L1539" t="s">
        <v>121</v>
      </c>
      <c r="M1539" t="s">
        <v>124</v>
      </c>
      <c r="N1539" t="s">
        <v>28</v>
      </c>
      <c r="O1539">
        <v>1</v>
      </c>
      <c r="P1539">
        <v>42932</v>
      </c>
      <c r="Q1539">
        <f t="shared" si="26"/>
        <v>4.2931999999999998E-2</v>
      </c>
      <c r="R1539">
        <v>43252</v>
      </c>
      <c r="S1539" t="s">
        <v>122</v>
      </c>
    </row>
    <row r="1540" spans="1:19">
      <c r="A1540">
        <v>60000271</v>
      </c>
      <c r="B1540">
        <v>48</v>
      </c>
      <c r="C1540" t="s">
        <v>33</v>
      </c>
      <c r="D1540" t="s">
        <v>40</v>
      </c>
      <c r="E1540" t="s">
        <v>34</v>
      </c>
      <c r="F1540" t="s">
        <v>21</v>
      </c>
      <c r="G1540" s="23">
        <v>0.16</v>
      </c>
      <c r="H1540" t="s">
        <v>22</v>
      </c>
      <c r="I1540" t="s">
        <v>30</v>
      </c>
      <c r="J1540" t="s">
        <v>91</v>
      </c>
      <c r="K1540" t="s">
        <v>112</v>
      </c>
      <c r="L1540" t="s">
        <v>119</v>
      </c>
      <c r="M1540" t="s">
        <v>124</v>
      </c>
      <c r="N1540" t="s">
        <v>51</v>
      </c>
      <c r="O1540">
        <v>0</v>
      </c>
      <c r="P1540">
        <v>62947</v>
      </c>
      <c r="Q1540">
        <f t="shared" ref="Q1540:Q1603" si="27">+P1540/1000000</f>
        <v>6.2947000000000003E-2</v>
      </c>
      <c r="R1540">
        <v>43252</v>
      </c>
      <c r="S1540" t="s">
        <v>122</v>
      </c>
    </row>
    <row r="1541" spans="1:19">
      <c r="A1541">
        <v>60000272</v>
      </c>
      <c r="B1541">
        <v>41</v>
      </c>
      <c r="C1541" t="s">
        <v>33</v>
      </c>
      <c r="D1541" t="s">
        <v>19</v>
      </c>
      <c r="E1541" t="s">
        <v>85</v>
      </c>
      <c r="F1541" t="s">
        <v>21</v>
      </c>
      <c r="G1541" s="23">
        <v>0.17</v>
      </c>
      <c r="H1541" t="s">
        <v>22</v>
      </c>
      <c r="I1541" t="s">
        <v>68</v>
      </c>
      <c r="J1541" t="s">
        <v>88</v>
      </c>
      <c r="K1541" t="s">
        <v>90</v>
      </c>
      <c r="L1541" t="s">
        <v>26</v>
      </c>
      <c r="M1541" t="s">
        <v>124</v>
      </c>
      <c r="N1541" t="s">
        <v>51</v>
      </c>
      <c r="O1541">
        <v>0</v>
      </c>
      <c r="P1541">
        <v>56032</v>
      </c>
      <c r="Q1541">
        <f t="shared" si="27"/>
        <v>5.6031999999999998E-2</v>
      </c>
      <c r="R1541">
        <v>43252</v>
      </c>
      <c r="S1541" t="s">
        <v>122</v>
      </c>
    </row>
    <row r="1542" spans="1:19">
      <c r="A1542">
        <v>60000273</v>
      </c>
      <c r="B1542">
        <v>39</v>
      </c>
      <c r="C1542" t="s">
        <v>33</v>
      </c>
      <c r="D1542" t="s">
        <v>40</v>
      </c>
      <c r="E1542" t="s">
        <v>85</v>
      </c>
      <c r="F1542" t="s">
        <v>21</v>
      </c>
      <c r="G1542" s="23">
        <v>0.21</v>
      </c>
      <c r="H1542" t="s">
        <v>29</v>
      </c>
      <c r="I1542" t="s">
        <v>73</v>
      </c>
      <c r="J1542" t="s">
        <v>24</v>
      </c>
      <c r="K1542" t="s">
        <v>81</v>
      </c>
      <c r="L1542" t="s">
        <v>119</v>
      </c>
      <c r="M1542" t="s">
        <v>124</v>
      </c>
      <c r="N1542" t="s">
        <v>51</v>
      </c>
      <c r="O1542">
        <v>0</v>
      </c>
      <c r="P1542">
        <v>67233</v>
      </c>
      <c r="Q1542">
        <f t="shared" si="27"/>
        <v>6.7233000000000001E-2</v>
      </c>
      <c r="R1542">
        <v>43252</v>
      </c>
      <c r="S1542" t="s">
        <v>122</v>
      </c>
    </row>
    <row r="1543" spans="1:19">
      <c r="A1543">
        <v>60000274</v>
      </c>
      <c r="B1543">
        <v>51</v>
      </c>
      <c r="C1543" t="s">
        <v>18</v>
      </c>
      <c r="D1543" t="s">
        <v>40</v>
      </c>
      <c r="E1543" t="s">
        <v>44</v>
      </c>
      <c r="F1543" t="s">
        <v>21</v>
      </c>
      <c r="G1543" s="23">
        <v>0.27</v>
      </c>
      <c r="H1543" t="s">
        <v>53</v>
      </c>
      <c r="I1543" t="s">
        <v>68</v>
      </c>
      <c r="J1543" t="s">
        <v>66</v>
      </c>
      <c r="K1543" t="s">
        <v>107</v>
      </c>
      <c r="L1543" t="s">
        <v>26</v>
      </c>
      <c r="M1543" t="s">
        <v>124</v>
      </c>
      <c r="N1543" t="s">
        <v>51</v>
      </c>
      <c r="O1543">
        <v>6</v>
      </c>
      <c r="P1543">
        <v>42157</v>
      </c>
      <c r="Q1543">
        <f t="shared" si="27"/>
        <v>4.2157E-2</v>
      </c>
      <c r="R1543">
        <v>43252</v>
      </c>
      <c r="S1543" t="s">
        <v>122</v>
      </c>
    </row>
    <row r="1544" spans="1:19">
      <c r="A1544">
        <v>60000275</v>
      </c>
      <c r="B1544">
        <v>64</v>
      </c>
      <c r="C1544" t="s">
        <v>33</v>
      </c>
      <c r="D1544" t="s">
        <v>19</v>
      </c>
      <c r="E1544" t="s">
        <v>48</v>
      </c>
      <c r="F1544" t="s">
        <v>21</v>
      </c>
      <c r="G1544" s="23">
        <v>0.35</v>
      </c>
      <c r="H1544" t="s">
        <v>42</v>
      </c>
      <c r="I1544" t="s">
        <v>65</v>
      </c>
      <c r="J1544" t="s">
        <v>38</v>
      </c>
      <c r="K1544" t="s">
        <v>32</v>
      </c>
      <c r="L1544" t="s">
        <v>119</v>
      </c>
      <c r="M1544" t="s">
        <v>124</v>
      </c>
      <c r="N1544" t="s">
        <v>28</v>
      </c>
      <c r="O1544">
        <v>2</v>
      </c>
      <c r="P1544">
        <v>80127</v>
      </c>
      <c r="Q1544">
        <f t="shared" si="27"/>
        <v>8.0127000000000004E-2</v>
      </c>
      <c r="R1544">
        <v>43252</v>
      </c>
      <c r="S1544" t="s">
        <v>122</v>
      </c>
    </row>
    <row r="1545" spans="1:19">
      <c r="A1545">
        <v>60000276</v>
      </c>
      <c r="B1545">
        <v>61</v>
      </c>
      <c r="C1545" t="s">
        <v>33</v>
      </c>
      <c r="D1545" t="s">
        <v>19</v>
      </c>
      <c r="E1545" t="s">
        <v>41</v>
      </c>
      <c r="F1545" t="s">
        <v>21</v>
      </c>
      <c r="G1545" s="23">
        <v>0.22</v>
      </c>
      <c r="H1545" t="s">
        <v>29</v>
      </c>
      <c r="I1545" t="s">
        <v>62</v>
      </c>
      <c r="J1545" t="s">
        <v>69</v>
      </c>
      <c r="K1545" t="s">
        <v>96</v>
      </c>
      <c r="L1545" t="s">
        <v>119</v>
      </c>
      <c r="M1545" t="s">
        <v>124</v>
      </c>
      <c r="N1545" t="s">
        <v>51</v>
      </c>
      <c r="O1545">
        <v>5</v>
      </c>
      <c r="P1545">
        <v>63859</v>
      </c>
      <c r="Q1545">
        <f t="shared" si="27"/>
        <v>6.3858999999999999E-2</v>
      </c>
      <c r="R1545">
        <v>43252</v>
      </c>
      <c r="S1545" t="s">
        <v>122</v>
      </c>
    </row>
    <row r="1546" spans="1:19">
      <c r="A1546">
        <v>60000277</v>
      </c>
      <c r="B1546">
        <v>21</v>
      </c>
      <c r="C1546" t="s">
        <v>33</v>
      </c>
      <c r="D1546" t="s">
        <v>19</v>
      </c>
      <c r="E1546" t="s">
        <v>67</v>
      </c>
      <c r="F1546" t="s">
        <v>21</v>
      </c>
      <c r="G1546" s="23">
        <v>0.19</v>
      </c>
      <c r="H1546" t="s">
        <v>29</v>
      </c>
      <c r="I1546" t="s">
        <v>62</v>
      </c>
      <c r="J1546" t="s">
        <v>78</v>
      </c>
      <c r="K1546" t="s">
        <v>92</v>
      </c>
      <c r="L1546" t="s">
        <v>119</v>
      </c>
      <c r="M1546" t="s">
        <v>124</v>
      </c>
      <c r="N1546" t="s">
        <v>51</v>
      </c>
      <c r="O1546">
        <v>4</v>
      </c>
      <c r="P1546">
        <v>56370</v>
      </c>
      <c r="Q1546">
        <f t="shared" si="27"/>
        <v>5.6370000000000003E-2</v>
      </c>
      <c r="R1546">
        <v>43252</v>
      </c>
      <c r="S1546" t="s">
        <v>122</v>
      </c>
    </row>
    <row r="1547" spans="1:19">
      <c r="A1547">
        <v>60000278</v>
      </c>
      <c r="B1547">
        <v>62</v>
      </c>
      <c r="C1547" t="s">
        <v>18</v>
      </c>
      <c r="D1547" t="s">
        <v>40</v>
      </c>
      <c r="E1547" t="s">
        <v>48</v>
      </c>
      <c r="F1547" t="s">
        <v>21</v>
      </c>
      <c r="G1547" s="23">
        <v>0.35</v>
      </c>
      <c r="H1547" t="s">
        <v>42</v>
      </c>
      <c r="I1547" t="s">
        <v>68</v>
      </c>
      <c r="J1547" t="s">
        <v>78</v>
      </c>
      <c r="K1547" t="s">
        <v>81</v>
      </c>
      <c r="L1547" t="s">
        <v>26</v>
      </c>
      <c r="M1547" t="s">
        <v>124</v>
      </c>
      <c r="N1547" t="s">
        <v>51</v>
      </c>
      <c r="O1547">
        <v>4</v>
      </c>
      <c r="P1547">
        <v>45869</v>
      </c>
      <c r="Q1547">
        <f t="shared" si="27"/>
        <v>4.5869E-2</v>
      </c>
      <c r="R1547">
        <v>43252</v>
      </c>
      <c r="S1547" t="s">
        <v>122</v>
      </c>
    </row>
    <row r="1548" spans="1:19">
      <c r="A1548">
        <v>60000279</v>
      </c>
      <c r="B1548">
        <v>35</v>
      </c>
      <c r="C1548" t="s">
        <v>33</v>
      </c>
      <c r="D1548" t="s">
        <v>19</v>
      </c>
      <c r="E1548" t="s">
        <v>34</v>
      </c>
      <c r="F1548" t="s">
        <v>21</v>
      </c>
      <c r="G1548" s="23">
        <v>0.28000000000000003</v>
      </c>
      <c r="H1548" t="s">
        <v>53</v>
      </c>
      <c r="I1548" t="s">
        <v>57</v>
      </c>
      <c r="J1548" t="s">
        <v>38</v>
      </c>
      <c r="K1548" t="s">
        <v>109</v>
      </c>
      <c r="L1548" t="s">
        <v>26</v>
      </c>
      <c r="M1548" t="s">
        <v>124</v>
      </c>
      <c r="N1548" t="s">
        <v>51</v>
      </c>
      <c r="O1548">
        <v>0</v>
      </c>
      <c r="P1548">
        <v>61650</v>
      </c>
      <c r="Q1548">
        <f t="shared" si="27"/>
        <v>6.1650000000000003E-2</v>
      </c>
      <c r="R1548">
        <v>43252</v>
      </c>
      <c r="S1548" t="s">
        <v>122</v>
      </c>
    </row>
    <row r="1549" spans="1:19">
      <c r="A1549">
        <v>60000280</v>
      </c>
      <c r="B1549">
        <v>33</v>
      </c>
      <c r="C1549" t="s">
        <v>18</v>
      </c>
      <c r="D1549" t="s">
        <v>40</v>
      </c>
      <c r="E1549" t="s">
        <v>64</v>
      </c>
      <c r="F1549" t="s">
        <v>21</v>
      </c>
      <c r="G1549" s="23">
        <v>0.19</v>
      </c>
      <c r="H1549" t="s">
        <v>29</v>
      </c>
      <c r="I1549" t="s">
        <v>86</v>
      </c>
      <c r="J1549" t="s">
        <v>66</v>
      </c>
      <c r="K1549" t="s">
        <v>83</v>
      </c>
      <c r="L1549" t="s">
        <v>26</v>
      </c>
      <c r="M1549" t="s">
        <v>124</v>
      </c>
      <c r="N1549" t="s">
        <v>51</v>
      </c>
      <c r="O1549">
        <v>0</v>
      </c>
      <c r="P1549">
        <v>54763</v>
      </c>
      <c r="Q1549">
        <f t="shared" si="27"/>
        <v>5.4762999999999999E-2</v>
      </c>
      <c r="R1549">
        <v>43252</v>
      </c>
      <c r="S1549" t="s">
        <v>122</v>
      </c>
    </row>
    <row r="1550" spans="1:19">
      <c r="A1550">
        <v>60000281</v>
      </c>
      <c r="B1550">
        <v>32</v>
      </c>
      <c r="C1550" t="s">
        <v>18</v>
      </c>
      <c r="D1550" t="s">
        <v>19</v>
      </c>
      <c r="E1550" t="s">
        <v>52</v>
      </c>
      <c r="F1550" t="s">
        <v>21</v>
      </c>
      <c r="G1550" s="23">
        <v>0.14000000000000001</v>
      </c>
      <c r="H1550" t="s">
        <v>22</v>
      </c>
      <c r="I1550" t="s">
        <v>60</v>
      </c>
      <c r="J1550" t="s">
        <v>24</v>
      </c>
      <c r="K1550" t="s">
        <v>93</v>
      </c>
      <c r="L1550" t="s">
        <v>119</v>
      </c>
      <c r="M1550" t="s">
        <v>124</v>
      </c>
      <c r="N1550" t="s">
        <v>28</v>
      </c>
      <c r="O1550">
        <v>0</v>
      </c>
      <c r="P1550">
        <v>84890</v>
      </c>
      <c r="Q1550">
        <f t="shared" si="27"/>
        <v>8.4889999999999993E-2</v>
      </c>
      <c r="R1550">
        <v>43252</v>
      </c>
      <c r="S1550" t="s">
        <v>122</v>
      </c>
    </row>
    <row r="1551" spans="1:19">
      <c r="A1551">
        <v>60000282</v>
      </c>
      <c r="B1551">
        <v>54</v>
      </c>
      <c r="C1551" t="s">
        <v>33</v>
      </c>
      <c r="D1551" t="s">
        <v>19</v>
      </c>
      <c r="E1551" t="s">
        <v>20</v>
      </c>
      <c r="F1551" t="s">
        <v>21</v>
      </c>
      <c r="G1551" s="23">
        <v>0.11</v>
      </c>
      <c r="H1551" t="s">
        <v>36</v>
      </c>
      <c r="I1551" t="s">
        <v>70</v>
      </c>
      <c r="J1551" t="s">
        <v>46</v>
      </c>
      <c r="K1551" t="s">
        <v>102</v>
      </c>
      <c r="L1551" t="s">
        <v>119</v>
      </c>
      <c r="M1551" t="s">
        <v>124</v>
      </c>
      <c r="N1551" t="s">
        <v>28</v>
      </c>
      <c r="O1551">
        <v>6</v>
      </c>
      <c r="P1551">
        <v>62574</v>
      </c>
      <c r="Q1551">
        <f t="shared" si="27"/>
        <v>6.2574000000000005E-2</v>
      </c>
      <c r="R1551">
        <v>43252</v>
      </c>
      <c r="S1551" t="s">
        <v>122</v>
      </c>
    </row>
    <row r="1552" spans="1:19">
      <c r="A1552">
        <v>60000283</v>
      </c>
      <c r="B1552">
        <v>45</v>
      </c>
      <c r="C1552" t="s">
        <v>18</v>
      </c>
      <c r="D1552" t="s">
        <v>40</v>
      </c>
      <c r="E1552" t="s">
        <v>85</v>
      </c>
      <c r="F1552" t="s">
        <v>21</v>
      </c>
      <c r="G1552" s="23">
        <v>0.37</v>
      </c>
      <c r="H1552" t="s">
        <v>42</v>
      </c>
      <c r="I1552" t="s">
        <v>86</v>
      </c>
      <c r="J1552" t="s">
        <v>46</v>
      </c>
      <c r="K1552" t="s">
        <v>82</v>
      </c>
      <c r="L1552" t="s">
        <v>26</v>
      </c>
      <c r="M1552" t="s">
        <v>124</v>
      </c>
      <c r="N1552" t="s">
        <v>51</v>
      </c>
      <c r="O1552">
        <v>0</v>
      </c>
      <c r="P1552">
        <v>25808</v>
      </c>
      <c r="Q1552">
        <f t="shared" si="27"/>
        <v>2.5808000000000001E-2</v>
      </c>
      <c r="R1552">
        <v>43252</v>
      </c>
      <c r="S1552" t="s">
        <v>122</v>
      </c>
    </row>
    <row r="1553" spans="1:19">
      <c r="A1553">
        <v>60000284</v>
      </c>
      <c r="B1553">
        <v>44</v>
      </c>
      <c r="C1553" t="s">
        <v>18</v>
      </c>
      <c r="D1553" t="s">
        <v>40</v>
      </c>
      <c r="E1553" t="s">
        <v>75</v>
      </c>
      <c r="F1553" t="s">
        <v>21</v>
      </c>
      <c r="G1553" s="23">
        <v>0.16</v>
      </c>
      <c r="H1553" t="s">
        <v>22</v>
      </c>
      <c r="I1553" t="s">
        <v>86</v>
      </c>
      <c r="J1553" t="s">
        <v>66</v>
      </c>
      <c r="K1553" t="s">
        <v>49</v>
      </c>
      <c r="L1553" t="s">
        <v>119</v>
      </c>
      <c r="M1553" t="s">
        <v>124</v>
      </c>
      <c r="N1553" t="s">
        <v>28</v>
      </c>
      <c r="O1553">
        <v>0</v>
      </c>
      <c r="P1553">
        <v>40642</v>
      </c>
      <c r="Q1553">
        <f t="shared" si="27"/>
        <v>4.0641999999999998E-2</v>
      </c>
      <c r="R1553">
        <v>43252</v>
      </c>
      <c r="S1553" t="s">
        <v>122</v>
      </c>
    </row>
    <row r="1554" spans="1:19">
      <c r="A1554">
        <v>60000285</v>
      </c>
      <c r="B1554">
        <v>37</v>
      </c>
      <c r="C1554" t="s">
        <v>33</v>
      </c>
      <c r="D1554" t="s">
        <v>19</v>
      </c>
      <c r="E1554" t="s">
        <v>64</v>
      </c>
      <c r="F1554" t="s">
        <v>21</v>
      </c>
      <c r="G1554" s="23">
        <v>0.19</v>
      </c>
      <c r="H1554" t="s">
        <v>29</v>
      </c>
      <c r="I1554" t="s">
        <v>45</v>
      </c>
      <c r="J1554" t="s">
        <v>69</v>
      </c>
      <c r="K1554" t="s">
        <v>99</v>
      </c>
      <c r="L1554" t="s">
        <v>26</v>
      </c>
      <c r="M1554" t="s">
        <v>124</v>
      </c>
      <c r="N1554" t="s">
        <v>28</v>
      </c>
      <c r="O1554">
        <v>0</v>
      </c>
      <c r="P1554">
        <v>79634</v>
      </c>
      <c r="Q1554">
        <f t="shared" si="27"/>
        <v>7.9633999999999996E-2</v>
      </c>
      <c r="R1554">
        <v>43252</v>
      </c>
      <c r="S1554" t="s">
        <v>122</v>
      </c>
    </row>
    <row r="1555" spans="1:19">
      <c r="A1555">
        <v>60000286</v>
      </c>
      <c r="B1555">
        <v>54</v>
      </c>
      <c r="C1555" t="s">
        <v>33</v>
      </c>
      <c r="D1555" t="s">
        <v>19</v>
      </c>
      <c r="E1555" t="s">
        <v>72</v>
      </c>
      <c r="F1555" t="s">
        <v>21</v>
      </c>
      <c r="G1555" s="23">
        <v>0.25</v>
      </c>
      <c r="H1555" t="s">
        <v>53</v>
      </c>
      <c r="I1555" t="s">
        <v>70</v>
      </c>
      <c r="J1555" t="s">
        <v>61</v>
      </c>
      <c r="K1555" t="s">
        <v>92</v>
      </c>
      <c r="L1555" t="s">
        <v>26</v>
      </c>
      <c r="M1555" t="s">
        <v>124</v>
      </c>
      <c r="N1555" t="s">
        <v>51</v>
      </c>
      <c r="O1555">
        <v>7</v>
      </c>
      <c r="P1555">
        <v>45068</v>
      </c>
      <c r="Q1555">
        <f t="shared" si="27"/>
        <v>4.5067999999999997E-2</v>
      </c>
      <c r="R1555">
        <v>43252</v>
      </c>
      <c r="S1555" t="s">
        <v>122</v>
      </c>
    </row>
    <row r="1556" spans="1:19">
      <c r="A1556">
        <v>60000287</v>
      </c>
      <c r="B1556">
        <v>60</v>
      </c>
      <c r="C1556" t="s">
        <v>33</v>
      </c>
      <c r="D1556" t="s">
        <v>19</v>
      </c>
      <c r="E1556" t="s">
        <v>64</v>
      </c>
      <c r="F1556" t="s">
        <v>21</v>
      </c>
      <c r="G1556" s="23">
        <v>0.21</v>
      </c>
      <c r="H1556" t="s">
        <v>29</v>
      </c>
      <c r="I1556" t="s">
        <v>49</v>
      </c>
      <c r="J1556" t="s">
        <v>24</v>
      </c>
      <c r="K1556" t="s">
        <v>65</v>
      </c>
      <c r="L1556" t="s">
        <v>26</v>
      </c>
      <c r="M1556" t="s">
        <v>124</v>
      </c>
      <c r="N1556" t="s">
        <v>51</v>
      </c>
      <c r="O1556">
        <v>0</v>
      </c>
      <c r="P1556">
        <v>71844</v>
      </c>
      <c r="Q1556">
        <f t="shared" si="27"/>
        <v>7.1844000000000005E-2</v>
      </c>
      <c r="R1556">
        <v>43252</v>
      </c>
      <c r="S1556" t="s">
        <v>122</v>
      </c>
    </row>
    <row r="1557" spans="1:19">
      <c r="A1557">
        <v>60000288</v>
      </c>
      <c r="B1557">
        <v>27</v>
      </c>
      <c r="C1557" t="s">
        <v>18</v>
      </c>
      <c r="D1557" t="s">
        <v>40</v>
      </c>
      <c r="E1557" t="s">
        <v>56</v>
      </c>
      <c r="F1557" t="s">
        <v>21</v>
      </c>
      <c r="G1557" s="23">
        <v>0.27</v>
      </c>
      <c r="H1557" t="s">
        <v>53</v>
      </c>
      <c r="I1557" t="s">
        <v>49</v>
      </c>
      <c r="J1557" t="s">
        <v>54</v>
      </c>
      <c r="K1557" t="s">
        <v>49</v>
      </c>
      <c r="L1557" t="s">
        <v>119</v>
      </c>
      <c r="M1557" t="s">
        <v>124</v>
      </c>
      <c r="N1557" t="s">
        <v>51</v>
      </c>
      <c r="O1557">
        <v>0</v>
      </c>
      <c r="P1557">
        <v>23846</v>
      </c>
      <c r="Q1557">
        <f t="shared" si="27"/>
        <v>2.3845999999999999E-2</v>
      </c>
      <c r="R1557">
        <v>43252</v>
      </c>
      <c r="S1557" t="s">
        <v>122</v>
      </c>
    </row>
    <row r="1558" spans="1:19">
      <c r="A1558">
        <v>60000289</v>
      </c>
      <c r="B1558">
        <v>58</v>
      </c>
      <c r="C1558" t="s">
        <v>18</v>
      </c>
      <c r="D1558" t="s">
        <v>19</v>
      </c>
      <c r="E1558" t="s">
        <v>56</v>
      </c>
      <c r="F1558" t="s">
        <v>21</v>
      </c>
      <c r="G1558" s="23">
        <v>0.28000000000000003</v>
      </c>
      <c r="H1558" t="s">
        <v>53</v>
      </c>
      <c r="I1558" t="s">
        <v>62</v>
      </c>
      <c r="J1558" t="s">
        <v>88</v>
      </c>
      <c r="K1558" t="s">
        <v>87</v>
      </c>
      <c r="L1558" t="s">
        <v>119</v>
      </c>
      <c r="M1558" t="s">
        <v>124</v>
      </c>
      <c r="N1558" t="s">
        <v>51</v>
      </c>
      <c r="O1558">
        <v>0</v>
      </c>
      <c r="P1558">
        <v>68805</v>
      </c>
      <c r="Q1558">
        <f t="shared" si="27"/>
        <v>6.8805000000000005E-2</v>
      </c>
      <c r="R1558">
        <v>43252</v>
      </c>
      <c r="S1558" t="s">
        <v>122</v>
      </c>
    </row>
    <row r="1559" spans="1:19">
      <c r="A1559">
        <v>60000290</v>
      </c>
      <c r="B1559">
        <v>45</v>
      </c>
      <c r="C1559" t="s">
        <v>33</v>
      </c>
      <c r="D1559" t="s">
        <v>40</v>
      </c>
      <c r="E1559" t="s">
        <v>20</v>
      </c>
      <c r="F1559" t="s">
        <v>21</v>
      </c>
      <c r="G1559" s="23">
        <v>0.3</v>
      </c>
      <c r="H1559" t="s">
        <v>53</v>
      </c>
      <c r="I1559" t="s">
        <v>37</v>
      </c>
      <c r="J1559" t="s">
        <v>91</v>
      </c>
      <c r="K1559" t="s">
        <v>82</v>
      </c>
      <c r="L1559" t="s">
        <v>121</v>
      </c>
      <c r="M1559" t="s">
        <v>124</v>
      </c>
      <c r="N1559" t="s">
        <v>51</v>
      </c>
      <c r="O1559">
        <v>6</v>
      </c>
      <c r="P1559">
        <v>79400</v>
      </c>
      <c r="Q1559">
        <f t="shared" si="27"/>
        <v>7.9399999999999998E-2</v>
      </c>
      <c r="R1559">
        <v>43252</v>
      </c>
      <c r="S1559" t="s">
        <v>122</v>
      </c>
    </row>
    <row r="1560" spans="1:19">
      <c r="A1560">
        <v>60000291</v>
      </c>
      <c r="B1560">
        <v>58</v>
      </c>
      <c r="C1560" t="s">
        <v>18</v>
      </c>
      <c r="D1560" t="s">
        <v>19</v>
      </c>
      <c r="E1560" t="s">
        <v>34</v>
      </c>
      <c r="F1560" t="s">
        <v>21</v>
      </c>
      <c r="G1560" s="23">
        <v>0.36</v>
      </c>
      <c r="H1560" t="s">
        <v>42</v>
      </c>
      <c r="I1560" t="s">
        <v>37</v>
      </c>
      <c r="J1560" t="s">
        <v>38</v>
      </c>
      <c r="K1560" t="s">
        <v>106</v>
      </c>
      <c r="L1560" t="s">
        <v>119</v>
      </c>
      <c r="M1560" t="s">
        <v>124</v>
      </c>
      <c r="N1560" t="s">
        <v>28</v>
      </c>
      <c r="O1560">
        <v>3</v>
      </c>
      <c r="P1560">
        <v>65258</v>
      </c>
      <c r="Q1560">
        <f t="shared" si="27"/>
        <v>6.5257999999999997E-2</v>
      </c>
      <c r="R1560">
        <v>43252</v>
      </c>
      <c r="S1560" t="s">
        <v>122</v>
      </c>
    </row>
    <row r="1561" spans="1:19">
      <c r="A1561">
        <v>60000292</v>
      </c>
      <c r="B1561">
        <v>35</v>
      </c>
      <c r="C1561" t="s">
        <v>18</v>
      </c>
      <c r="D1561" t="s">
        <v>19</v>
      </c>
      <c r="E1561" t="s">
        <v>44</v>
      </c>
      <c r="F1561" t="s">
        <v>21</v>
      </c>
      <c r="G1561" s="23">
        <v>0.13</v>
      </c>
      <c r="H1561" t="s">
        <v>22</v>
      </c>
      <c r="I1561" t="s">
        <v>70</v>
      </c>
      <c r="J1561" t="s">
        <v>61</v>
      </c>
      <c r="K1561" t="s">
        <v>92</v>
      </c>
      <c r="L1561" t="s">
        <v>121</v>
      </c>
      <c r="M1561" t="s">
        <v>124</v>
      </c>
      <c r="N1561" t="s">
        <v>28</v>
      </c>
      <c r="O1561">
        <v>7</v>
      </c>
      <c r="P1561">
        <v>79127</v>
      </c>
      <c r="Q1561">
        <f t="shared" si="27"/>
        <v>7.9127000000000003E-2</v>
      </c>
      <c r="R1561">
        <v>43252</v>
      </c>
      <c r="S1561" t="s">
        <v>122</v>
      </c>
    </row>
    <row r="1562" spans="1:19">
      <c r="A1562">
        <v>60000293</v>
      </c>
      <c r="B1562">
        <v>40</v>
      </c>
      <c r="C1562" t="s">
        <v>18</v>
      </c>
      <c r="D1562" t="s">
        <v>40</v>
      </c>
      <c r="E1562" t="s">
        <v>52</v>
      </c>
      <c r="F1562" t="s">
        <v>21</v>
      </c>
      <c r="G1562" s="23">
        <v>0.27</v>
      </c>
      <c r="H1562" t="s">
        <v>53</v>
      </c>
      <c r="I1562" t="s">
        <v>49</v>
      </c>
      <c r="J1562" t="s">
        <v>74</v>
      </c>
      <c r="K1562" t="s">
        <v>108</v>
      </c>
      <c r="L1562" t="s">
        <v>26</v>
      </c>
      <c r="M1562" t="s">
        <v>124</v>
      </c>
      <c r="N1562" t="s">
        <v>51</v>
      </c>
      <c r="O1562">
        <v>0</v>
      </c>
      <c r="P1562">
        <v>54971</v>
      </c>
      <c r="Q1562">
        <f t="shared" si="27"/>
        <v>5.4970999999999999E-2</v>
      </c>
      <c r="R1562">
        <v>43252</v>
      </c>
      <c r="S1562" t="s">
        <v>122</v>
      </c>
    </row>
    <row r="1563" spans="1:19">
      <c r="A1563">
        <v>60000294</v>
      </c>
      <c r="B1563">
        <v>48</v>
      </c>
      <c r="C1563" t="s">
        <v>33</v>
      </c>
      <c r="D1563" t="s">
        <v>19</v>
      </c>
      <c r="E1563" t="s">
        <v>44</v>
      </c>
      <c r="F1563" t="s">
        <v>21</v>
      </c>
      <c r="G1563" s="23">
        <v>0.27</v>
      </c>
      <c r="H1563" t="s">
        <v>53</v>
      </c>
      <c r="I1563" t="s">
        <v>83</v>
      </c>
      <c r="J1563" t="s">
        <v>74</v>
      </c>
      <c r="K1563" t="s">
        <v>90</v>
      </c>
      <c r="L1563" t="s">
        <v>121</v>
      </c>
      <c r="M1563" t="s">
        <v>124</v>
      </c>
      <c r="N1563" t="s">
        <v>51</v>
      </c>
      <c r="O1563">
        <v>0</v>
      </c>
      <c r="P1563">
        <v>35141</v>
      </c>
      <c r="Q1563">
        <f t="shared" si="27"/>
        <v>3.5140999999999999E-2</v>
      </c>
      <c r="R1563">
        <v>43252</v>
      </c>
      <c r="S1563" t="s">
        <v>122</v>
      </c>
    </row>
    <row r="1564" spans="1:19">
      <c r="A1564">
        <v>60000295</v>
      </c>
      <c r="B1564">
        <v>56</v>
      </c>
      <c r="C1564" t="s">
        <v>33</v>
      </c>
      <c r="D1564" t="s">
        <v>40</v>
      </c>
      <c r="E1564" t="s">
        <v>52</v>
      </c>
      <c r="F1564" t="s">
        <v>21</v>
      </c>
      <c r="G1564" s="23">
        <v>0.27</v>
      </c>
      <c r="H1564" t="s">
        <v>53</v>
      </c>
      <c r="I1564" t="s">
        <v>30</v>
      </c>
      <c r="J1564" t="s">
        <v>66</v>
      </c>
      <c r="K1564" t="s">
        <v>95</v>
      </c>
      <c r="L1564" t="s">
        <v>121</v>
      </c>
      <c r="M1564" t="s">
        <v>124</v>
      </c>
      <c r="N1564" t="s">
        <v>51</v>
      </c>
      <c r="O1564">
        <v>0</v>
      </c>
      <c r="P1564">
        <v>31060</v>
      </c>
      <c r="Q1564">
        <f t="shared" si="27"/>
        <v>3.1060000000000001E-2</v>
      </c>
      <c r="R1564">
        <v>43252</v>
      </c>
      <c r="S1564" t="s">
        <v>122</v>
      </c>
    </row>
    <row r="1565" spans="1:19">
      <c r="A1565">
        <v>60000296</v>
      </c>
      <c r="B1565">
        <v>36</v>
      </c>
      <c r="C1565" t="s">
        <v>18</v>
      </c>
      <c r="D1565" t="s">
        <v>40</v>
      </c>
      <c r="E1565" t="s">
        <v>56</v>
      </c>
      <c r="F1565" t="s">
        <v>21</v>
      </c>
      <c r="G1565" s="23">
        <v>0.13</v>
      </c>
      <c r="H1565" t="s">
        <v>22</v>
      </c>
      <c r="I1565" t="s">
        <v>83</v>
      </c>
      <c r="J1565" t="s">
        <v>38</v>
      </c>
      <c r="K1565" t="s">
        <v>84</v>
      </c>
      <c r="L1565" t="s">
        <v>119</v>
      </c>
      <c r="M1565" t="s">
        <v>124</v>
      </c>
      <c r="N1565" t="s">
        <v>51</v>
      </c>
      <c r="O1565">
        <v>0</v>
      </c>
      <c r="P1565">
        <v>66888</v>
      </c>
      <c r="Q1565">
        <f t="shared" si="27"/>
        <v>6.6888000000000003E-2</v>
      </c>
      <c r="R1565">
        <v>43252</v>
      </c>
      <c r="S1565" t="s">
        <v>122</v>
      </c>
    </row>
    <row r="1566" spans="1:19">
      <c r="A1566">
        <v>60000297</v>
      </c>
      <c r="B1566">
        <v>40</v>
      </c>
      <c r="C1566" t="s">
        <v>33</v>
      </c>
      <c r="D1566" t="s">
        <v>40</v>
      </c>
      <c r="E1566" t="s">
        <v>56</v>
      </c>
      <c r="F1566" t="s">
        <v>21</v>
      </c>
      <c r="G1566" s="23">
        <v>0.16</v>
      </c>
      <c r="H1566" t="s">
        <v>22</v>
      </c>
      <c r="I1566" t="s">
        <v>80</v>
      </c>
      <c r="J1566" t="s">
        <v>78</v>
      </c>
      <c r="K1566" t="s">
        <v>115</v>
      </c>
      <c r="L1566" t="s">
        <v>119</v>
      </c>
      <c r="M1566" t="s">
        <v>124</v>
      </c>
      <c r="N1566" t="s">
        <v>28</v>
      </c>
      <c r="O1566">
        <v>0</v>
      </c>
      <c r="P1566">
        <v>31251</v>
      </c>
      <c r="Q1566">
        <f t="shared" si="27"/>
        <v>3.1251000000000001E-2</v>
      </c>
      <c r="R1566">
        <v>43252</v>
      </c>
      <c r="S1566" t="s">
        <v>122</v>
      </c>
    </row>
    <row r="1567" spans="1:19">
      <c r="A1567">
        <v>60000298</v>
      </c>
      <c r="B1567">
        <v>49</v>
      </c>
      <c r="C1567" t="s">
        <v>18</v>
      </c>
      <c r="D1567" t="s">
        <v>19</v>
      </c>
      <c r="E1567" t="s">
        <v>48</v>
      </c>
      <c r="F1567" t="s">
        <v>21</v>
      </c>
      <c r="G1567" s="23">
        <v>0.32</v>
      </c>
      <c r="H1567" t="s">
        <v>42</v>
      </c>
      <c r="I1567" t="s">
        <v>30</v>
      </c>
      <c r="J1567" t="s">
        <v>69</v>
      </c>
      <c r="K1567" t="s">
        <v>47</v>
      </c>
      <c r="L1567" t="s">
        <v>119</v>
      </c>
      <c r="M1567" t="s">
        <v>124</v>
      </c>
      <c r="N1567" t="s">
        <v>28</v>
      </c>
      <c r="O1567">
        <v>5</v>
      </c>
      <c r="P1567">
        <v>71949</v>
      </c>
      <c r="Q1567">
        <f t="shared" si="27"/>
        <v>7.1948999999999999E-2</v>
      </c>
      <c r="R1567">
        <v>43252</v>
      </c>
      <c r="S1567" t="s">
        <v>122</v>
      </c>
    </row>
    <row r="1568" spans="1:19">
      <c r="A1568">
        <v>60000299</v>
      </c>
      <c r="B1568">
        <v>47</v>
      </c>
      <c r="C1568" t="s">
        <v>18</v>
      </c>
      <c r="D1568" t="s">
        <v>19</v>
      </c>
      <c r="E1568" t="s">
        <v>52</v>
      </c>
      <c r="F1568" t="s">
        <v>21</v>
      </c>
      <c r="G1568" s="23">
        <v>0.1</v>
      </c>
      <c r="H1568" t="s">
        <v>36</v>
      </c>
      <c r="I1568" t="s">
        <v>86</v>
      </c>
      <c r="J1568" t="s">
        <v>61</v>
      </c>
      <c r="K1568" t="s">
        <v>79</v>
      </c>
      <c r="L1568" t="s">
        <v>121</v>
      </c>
      <c r="M1568" t="s">
        <v>124</v>
      </c>
      <c r="N1568" t="s">
        <v>51</v>
      </c>
      <c r="O1568">
        <v>3</v>
      </c>
      <c r="P1568">
        <v>78768</v>
      </c>
      <c r="Q1568">
        <f t="shared" si="27"/>
        <v>7.8768000000000005E-2</v>
      </c>
      <c r="R1568">
        <v>43252</v>
      </c>
      <c r="S1568" t="s">
        <v>122</v>
      </c>
    </row>
    <row r="1569" spans="1:19">
      <c r="A1569">
        <v>60000300</v>
      </c>
      <c r="B1569">
        <v>27</v>
      </c>
      <c r="C1569" t="s">
        <v>33</v>
      </c>
      <c r="D1569" t="s">
        <v>40</v>
      </c>
      <c r="E1569" t="s">
        <v>85</v>
      </c>
      <c r="F1569" t="s">
        <v>21</v>
      </c>
      <c r="G1569" s="23">
        <v>0.28999999999999998</v>
      </c>
      <c r="H1569" t="s">
        <v>53</v>
      </c>
      <c r="I1569" t="s">
        <v>57</v>
      </c>
      <c r="J1569" t="s">
        <v>54</v>
      </c>
      <c r="K1569" t="s">
        <v>104</v>
      </c>
      <c r="L1569" t="s">
        <v>119</v>
      </c>
      <c r="M1569" t="s">
        <v>124</v>
      </c>
      <c r="N1569" t="s">
        <v>28</v>
      </c>
      <c r="O1569">
        <v>0</v>
      </c>
      <c r="P1569">
        <v>66516</v>
      </c>
      <c r="Q1569">
        <f t="shared" si="27"/>
        <v>6.6516000000000006E-2</v>
      </c>
      <c r="R1569">
        <v>43252</v>
      </c>
      <c r="S1569" t="s">
        <v>122</v>
      </c>
    </row>
    <row r="1570" spans="1:19">
      <c r="A1570">
        <v>60000301</v>
      </c>
      <c r="B1570">
        <v>64</v>
      </c>
      <c r="C1570" t="s">
        <v>18</v>
      </c>
      <c r="D1570" t="s">
        <v>19</v>
      </c>
      <c r="E1570" t="s">
        <v>52</v>
      </c>
      <c r="F1570" t="s">
        <v>21</v>
      </c>
      <c r="G1570" s="23">
        <v>0.25</v>
      </c>
      <c r="H1570" t="s">
        <v>53</v>
      </c>
      <c r="I1570" t="s">
        <v>45</v>
      </c>
      <c r="J1570" t="s">
        <v>61</v>
      </c>
      <c r="K1570" t="s">
        <v>96</v>
      </c>
      <c r="L1570" t="s">
        <v>26</v>
      </c>
      <c r="M1570" t="s">
        <v>124</v>
      </c>
      <c r="N1570" t="s">
        <v>28</v>
      </c>
      <c r="O1570">
        <v>0</v>
      </c>
      <c r="P1570">
        <v>80286</v>
      </c>
      <c r="Q1570">
        <f t="shared" si="27"/>
        <v>8.0285999999999996E-2</v>
      </c>
      <c r="R1570">
        <v>43252</v>
      </c>
      <c r="S1570" t="s">
        <v>122</v>
      </c>
    </row>
    <row r="1571" spans="1:19">
      <c r="A1571">
        <v>60000302</v>
      </c>
      <c r="B1571">
        <v>49</v>
      </c>
      <c r="C1571" t="s">
        <v>33</v>
      </c>
      <c r="D1571" t="s">
        <v>19</v>
      </c>
      <c r="E1571" t="s">
        <v>20</v>
      </c>
      <c r="F1571" t="s">
        <v>21</v>
      </c>
      <c r="G1571" s="23">
        <v>0.36</v>
      </c>
      <c r="H1571" t="s">
        <v>42</v>
      </c>
      <c r="I1571" t="s">
        <v>45</v>
      </c>
      <c r="J1571" t="s">
        <v>74</v>
      </c>
      <c r="K1571" t="s">
        <v>118</v>
      </c>
      <c r="L1571" t="s">
        <v>121</v>
      </c>
      <c r="M1571" t="s">
        <v>124</v>
      </c>
      <c r="N1571" t="s">
        <v>28</v>
      </c>
      <c r="O1571">
        <v>7</v>
      </c>
      <c r="P1571">
        <v>27132</v>
      </c>
      <c r="Q1571">
        <f t="shared" si="27"/>
        <v>2.7132E-2</v>
      </c>
      <c r="R1571">
        <v>43252</v>
      </c>
      <c r="S1571" t="s">
        <v>122</v>
      </c>
    </row>
    <row r="1572" spans="1:19">
      <c r="A1572">
        <v>60000303</v>
      </c>
      <c r="B1572">
        <v>45</v>
      </c>
      <c r="C1572" t="s">
        <v>18</v>
      </c>
      <c r="D1572" t="s">
        <v>40</v>
      </c>
      <c r="E1572" t="s">
        <v>67</v>
      </c>
      <c r="F1572" t="s">
        <v>21</v>
      </c>
      <c r="G1572" s="23">
        <v>0.31</v>
      </c>
      <c r="H1572" t="s">
        <v>53</v>
      </c>
      <c r="I1572" t="s">
        <v>86</v>
      </c>
      <c r="J1572" t="s">
        <v>66</v>
      </c>
      <c r="K1572" t="s">
        <v>100</v>
      </c>
      <c r="L1572" t="s">
        <v>119</v>
      </c>
      <c r="M1572" t="s">
        <v>124</v>
      </c>
      <c r="N1572" t="s">
        <v>51</v>
      </c>
      <c r="O1572">
        <v>5</v>
      </c>
      <c r="P1572">
        <v>47731</v>
      </c>
      <c r="Q1572">
        <f t="shared" si="27"/>
        <v>4.7731000000000003E-2</v>
      </c>
      <c r="R1572">
        <v>43252</v>
      </c>
      <c r="S1572" t="s">
        <v>122</v>
      </c>
    </row>
    <row r="1573" spans="1:19">
      <c r="A1573">
        <v>60000304</v>
      </c>
      <c r="B1573">
        <v>46</v>
      </c>
      <c r="C1573" t="s">
        <v>18</v>
      </c>
      <c r="D1573" t="s">
        <v>19</v>
      </c>
      <c r="E1573" t="s">
        <v>67</v>
      </c>
      <c r="F1573" t="s">
        <v>21</v>
      </c>
      <c r="G1573" s="23">
        <v>0.33</v>
      </c>
      <c r="H1573" t="s">
        <v>42</v>
      </c>
      <c r="I1573" t="s">
        <v>23</v>
      </c>
      <c r="J1573" t="s">
        <v>61</v>
      </c>
      <c r="K1573" t="s">
        <v>99</v>
      </c>
      <c r="L1573" t="s">
        <v>119</v>
      </c>
      <c r="M1573" t="s">
        <v>124</v>
      </c>
      <c r="N1573" t="s">
        <v>51</v>
      </c>
      <c r="O1573">
        <v>0</v>
      </c>
      <c r="P1573">
        <v>36561</v>
      </c>
      <c r="Q1573">
        <f t="shared" si="27"/>
        <v>3.6561000000000003E-2</v>
      </c>
      <c r="R1573">
        <v>43252</v>
      </c>
      <c r="S1573" t="s">
        <v>122</v>
      </c>
    </row>
    <row r="1574" spans="1:19">
      <c r="A1574">
        <v>60000305</v>
      </c>
      <c r="B1574">
        <v>55</v>
      </c>
      <c r="C1574" t="s">
        <v>33</v>
      </c>
      <c r="D1574" t="s">
        <v>19</v>
      </c>
      <c r="E1574" t="s">
        <v>72</v>
      </c>
      <c r="F1574" t="s">
        <v>21</v>
      </c>
      <c r="G1574" s="23">
        <v>0.26</v>
      </c>
      <c r="H1574" t="s">
        <v>53</v>
      </c>
      <c r="I1574" t="s">
        <v>70</v>
      </c>
      <c r="J1574" t="s">
        <v>24</v>
      </c>
      <c r="K1574" t="s">
        <v>50</v>
      </c>
      <c r="L1574" t="s">
        <v>121</v>
      </c>
      <c r="M1574" t="s">
        <v>124</v>
      </c>
      <c r="N1574" t="s">
        <v>28</v>
      </c>
      <c r="O1574">
        <v>0</v>
      </c>
      <c r="P1574">
        <v>67604</v>
      </c>
      <c r="Q1574">
        <f t="shared" si="27"/>
        <v>6.7603999999999997E-2</v>
      </c>
      <c r="R1574">
        <v>43252</v>
      </c>
      <c r="S1574" t="s">
        <v>122</v>
      </c>
    </row>
    <row r="1575" spans="1:19">
      <c r="A1575">
        <v>60000306</v>
      </c>
      <c r="B1575">
        <v>33</v>
      </c>
      <c r="C1575" t="s">
        <v>33</v>
      </c>
      <c r="D1575" t="s">
        <v>40</v>
      </c>
      <c r="E1575" t="s">
        <v>64</v>
      </c>
      <c r="F1575" t="s">
        <v>21</v>
      </c>
      <c r="G1575" s="23">
        <v>0.13</v>
      </c>
      <c r="H1575" t="s">
        <v>22</v>
      </c>
      <c r="I1575" t="s">
        <v>76</v>
      </c>
      <c r="J1575" t="s">
        <v>54</v>
      </c>
      <c r="K1575" t="s">
        <v>112</v>
      </c>
      <c r="L1575" t="s">
        <v>26</v>
      </c>
      <c r="M1575" t="s">
        <v>124</v>
      </c>
      <c r="N1575" t="s">
        <v>28</v>
      </c>
      <c r="O1575">
        <v>3</v>
      </c>
      <c r="P1575">
        <v>65598</v>
      </c>
      <c r="Q1575">
        <f t="shared" si="27"/>
        <v>6.5598000000000004E-2</v>
      </c>
      <c r="R1575">
        <v>43252</v>
      </c>
      <c r="S1575" t="s">
        <v>122</v>
      </c>
    </row>
    <row r="1576" spans="1:19">
      <c r="A1576">
        <v>60000307</v>
      </c>
      <c r="B1576">
        <v>59</v>
      </c>
      <c r="C1576" t="s">
        <v>18</v>
      </c>
      <c r="D1576" t="s">
        <v>19</v>
      </c>
      <c r="E1576" t="s">
        <v>34</v>
      </c>
      <c r="F1576" t="s">
        <v>21</v>
      </c>
      <c r="G1576" s="23">
        <v>0.17</v>
      </c>
      <c r="H1576" t="s">
        <v>22</v>
      </c>
      <c r="I1576" t="s">
        <v>60</v>
      </c>
      <c r="J1576" t="s">
        <v>91</v>
      </c>
      <c r="K1576" t="s">
        <v>32</v>
      </c>
      <c r="L1576" t="s">
        <v>26</v>
      </c>
      <c r="M1576" t="s">
        <v>124</v>
      </c>
      <c r="N1576" t="s">
        <v>51</v>
      </c>
      <c r="O1576">
        <v>0</v>
      </c>
      <c r="P1576">
        <v>34810</v>
      </c>
      <c r="Q1576">
        <f t="shared" si="27"/>
        <v>3.4810000000000001E-2</v>
      </c>
      <c r="R1576">
        <v>43252</v>
      </c>
      <c r="S1576" t="s">
        <v>122</v>
      </c>
    </row>
    <row r="1577" spans="1:19">
      <c r="A1577">
        <v>60000308</v>
      </c>
      <c r="B1577">
        <v>65</v>
      </c>
      <c r="C1577" t="s">
        <v>18</v>
      </c>
      <c r="D1577" t="s">
        <v>40</v>
      </c>
      <c r="E1577" t="s">
        <v>34</v>
      </c>
      <c r="F1577" t="s">
        <v>21</v>
      </c>
      <c r="G1577" s="23">
        <v>0.32</v>
      </c>
      <c r="H1577" t="s">
        <v>42</v>
      </c>
      <c r="I1577" t="s">
        <v>30</v>
      </c>
      <c r="J1577" t="s">
        <v>38</v>
      </c>
      <c r="K1577" t="s">
        <v>99</v>
      </c>
      <c r="L1577" t="s">
        <v>119</v>
      </c>
      <c r="M1577" t="s">
        <v>124</v>
      </c>
      <c r="N1577" t="s">
        <v>51</v>
      </c>
      <c r="O1577">
        <v>0</v>
      </c>
      <c r="P1577">
        <v>71181</v>
      </c>
      <c r="Q1577">
        <f t="shared" si="27"/>
        <v>7.1180999999999994E-2</v>
      </c>
      <c r="R1577">
        <v>43252</v>
      </c>
      <c r="S1577" t="s">
        <v>122</v>
      </c>
    </row>
    <row r="1578" spans="1:19">
      <c r="A1578">
        <v>60000309</v>
      </c>
      <c r="B1578">
        <v>59</v>
      </c>
      <c r="C1578" t="s">
        <v>18</v>
      </c>
      <c r="D1578" t="s">
        <v>40</v>
      </c>
      <c r="E1578" t="s">
        <v>48</v>
      </c>
      <c r="F1578" t="s">
        <v>21</v>
      </c>
      <c r="G1578" s="23">
        <v>0.13</v>
      </c>
      <c r="H1578" t="s">
        <v>22</v>
      </c>
      <c r="I1578" t="s">
        <v>68</v>
      </c>
      <c r="J1578" t="s">
        <v>74</v>
      </c>
      <c r="K1578" t="s">
        <v>110</v>
      </c>
      <c r="L1578" t="s">
        <v>121</v>
      </c>
      <c r="M1578" t="s">
        <v>124</v>
      </c>
      <c r="N1578" t="s">
        <v>51</v>
      </c>
      <c r="O1578">
        <v>0</v>
      </c>
      <c r="P1578">
        <v>27743</v>
      </c>
      <c r="Q1578">
        <f t="shared" si="27"/>
        <v>2.7743E-2</v>
      </c>
      <c r="R1578">
        <v>43252</v>
      </c>
      <c r="S1578" t="s">
        <v>122</v>
      </c>
    </row>
    <row r="1579" spans="1:19">
      <c r="A1579">
        <v>60000310</v>
      </c>
      <c r="B1579">
        <v>28</v>
      </c>
      <c r="C1579" t="s">
        <v>33</v>
      </c>
      <c r="D1579" t="s">
        <v>40</v>
      </c>
      <c r="E1579" t="s">
        <v>56</v>
      </c>
      <c r="F1579" t="s">
        <v>21</v>
      </c>
      <c r="G1579" s="23">
        <v>0.26</v>
      </c>
      <c r="H1579" t="s">
        <v>53</v>
      </c>
      <c r="I1579" t="s">
        <v>76</v>
      </c>
      <c r="J1579" t="s">
        <v>91</v>
      </c>
      <c r="K1579" t="s">
        <v>82</v>
      </c>
      <c r="L1579" t="s">
        <v>26</v>
      </c>
      <c r="M1579" t="s">
        <v>124</v>
      </c>
      <c r="N1579" t="s">
        <v>28</v>
      </c>
      <c r="O1579">
        <v>7</v>
      </c>
      <c r="P1579">
        <v>33018</v>
      </c>
      <c r="Q1579">
        <f t="shared" si="27"/>
        <v>3.3017999999999999E-2</v>
      </c>
      <c r="R1579">
        <v>43252</v>
      </c>
      <c r="S1579" t="s">
        <v>122</v>
      </c>
    </row>
    <row r="1580" spans="1:19">
      <c r="A1580">
        <v>60000311</v>
      </c>
      <c r="B1580">
        <v>20</v>
      </c>
      <c r="C1580" t="s">
        <v>33</v>
      </c>
      <c r="D1580" t="s">
        <v>19</v>
      </c>
      <c r="E1580" t="s">
        <v>41</v>
      </c>
      <c r="F1580" t="s">
        <v>21</v>
      </c>
      <c r="G1580" s="23">
        <v>0.36</v>
      </c>
      <c r="H1580" t="s">
        <v>42</v>
      </c>
      <c r="I1580" t="s">
        <v>62</v>
      </c>
      <c r="J1580" t="s">
        <v>78</v>
      </c>
      <c r="K1580" t="s">
        <v>100</v>
      </c>
      <c r="L1580" t="s">
        <v>121</v>
      </c>
      <c r="M1580" t="s">
        <v>124</v>
      </c>
      <c r="N1580" t="s">
        <v>28</v>
      </c>
      <c r="O1580">
        <v>4</v>
      </c>
      <c r="P1580">
        <v>81977</v>
      </c>
      <c r="Q1580">
        <f t="shared" si="27"/>
        <v>8.1976999999999994E-2</v>
      </c>
      <c r="R1580">
        <v>43252</v>
      </c>
      <c r="S1580" t="s">
        <v>122</v>
      </c>
    </row>
    <row r="1581" spans="1:19">
      <c r="A1581">
        <v>60000312</v>
      </c>
      <c r="B1581">
        <v>21</v>
      </c>
      <c r="C1581" t="s">
        <v>18</v>
      </c>
      <c r="D1581" t="s">
        <v>19</v>
      </c>
      <c r="E1581" t="s">
        <v>48</v>
      </c>
      <c r="F1581" t="s">
        <v>21</v>
      </c>
      <c r="G1581" s="23">
        <v>0.17</v>
      </c>
      <c r="H1581" t="s">
        <v>22</v>
      </c>
      <c r="I1581" t="s">
        <v>80</v>
      </c>
      <c r="J1581" t="s">
        <v>88</v>
      </c>
      <c r="K1581" t="s">
        <v>108</v>
      </c>
      <c r="L1581" t="s">
        <v>121</v>
      </c>
      <c r="M1581" t="s">
        <v>124</v>
      </c>
      <c r="N1581" t="s">
        <v>28</v>
      </c>
      <c r="O1581">
        <v>3</v>
      </c>
      <c r="P1581">
        <v>40365</v>
      </c>
      <c r="Q1581">
        <f t="shared" si="27"/>
        <v>4.0364999999999998E-2</v>
      </c>
      <c r="R1581">
        <v>43252</v>
      </c>
      <c r="S1581" t="s">
        <v>122</v>
      </c>
    </row>
    <row r="1582" spans="1:19">
      <c r="A1582">
        <v>60000313</v>
      </c>
      <c r="B1582">
        <v>54</v>
      </c>
      <c r="C1582" t="s">
        <v>33</v>
      </c>
      <c r="D1582" t="s">
        <v>19</v>
      </c>
      <c r="E1582" t="s">
        <v>44</v>
      </c>
      <c r="F1582" t="s">
        <v>21</v>
      </c>
      <c r="G1582" s="23">
        <v>0.35</v>
      </c>
      <c r="H1582" t="s">
        <v>42</v>
      </c>
      <c r="I1582" t="s">
        <v>73</v>
      </c>
      <c r="J1582" t="s">
        <v>61</v>
      </c>
      <c r="K1582" t="s">
        <v>115</v>
      </c>
      <c r="L1582" t="s">
        <v>119</v>
      </c>
      <c r="M1582" t="s">
        <v>124</v>
      </c>
      <c r="N1582" t="s">
        <v>51</v>
      </c>
      <c r="O1582">
        <v>0</v>
      </c>
      <c r="P1582">
        <v>24396</v>
      </c>
      <c r="Q1582">
        <f t="shared" si="27"/>
        <v>2.4396000000000001E-2</v>
      </c>
      <c r="R1582">
        <v>43252</v>
      </c>
      <c r="S1582" t="s">
        <v>122</v>
      </c>
    </row>
    <row r="1583" spans="1:19">
      <c r="A1583">
        <v>60000314</v>
      </c>
      <c r="B1583">
        <v>36</v>
      </c>
      <c r="C1583" t="s">
        <v>18</v>
      </c>
      <c r="D1583" t="s">
        <v>40</v>
      </c>
      <c r="E1583" t="s">
        <v>34</v>
      </c>
      <c r="F1583" t="s">
        <v>21</v>
      </c>
      <c r="G1583" s="23">
        <v>0.34</v>
      </c>
      <c r="H1583" t="s">
        <v>42</v>
      </c>
      <c r="I1583" t="s">
        <v>30</v>
      </c>
      <c r="J1583" t="s">
        <v>91</v>
      </c>
      <c r="K1583" t="s">
        <v>96</v>
      </c>
      <c r="L1583" t="s">
        <v>119</v>
      </c>
      <c r="M1583" t="s">
        <v>124</v>
      </c>
      <c r="N1583" t="s">
        <v>28</v>
      </c>
      <c r="O1583">
        <v>0</v>
      </c>
      <c r="P1583">
        <v>60089</v>
      </c>
      <c r="Q1583">
        <f t="shared" si="27"/>
        <v>6.0088999999999997E-2</v>
      </c>
      <c r="R1583">
        <v>43252</v>
      </c>
      <c r="S1583" t="s">
        <v>122</v>
      </c>
    </row>
    <row r="1584" spans="1:19">
      <c r="A1584">
        <v>60000315</v>
      </c>
      <c r="B1584">
        <v>65</v>
      </c>
      <c r="C1584" t="s">
        <v>33</v>
      </c>
      <c r="D1584" t="s">
        <v>40</v>
      </c>
      <c r="E1584" t="s">
        <v>34</v>
      </c>
      <c r="F1584" t="s">
        <v>21</v>
      </c>
      <c r="G1584" s="23">
        <v>0.37</v>
      </c>
      <c r="H1584" t="s">
        <v>42</v>
      </c>
      <c r="I1584" t="s">
        <v>68</v>
      </c>
      <c r="J1584" t="s">
        <v>46</v>
      </c>
      <c r="K1584" t="s">
        <v>50</v>
      </c>
      <c r="L1584" t="s">
        <v>119</v>
      </c>
      <c r="M1584" t="s">
        <v>124</v>
      </c>
      <c r="N1584" t="s">
        <v>28</v>
      </c>
      <c r="O1584">
        <v>0</v>
      </c>
      <c r="P1584">
        <v>80153</v>
      </c>
      <c r="Q1584">
        <f t="shared" si="27"/>
        <v>8.0153000000000002E-2</v>
      </c>
      <c r="R1584">
        <v>43252</v>
      </c>
      <c r="S1584" t="s">
        <v>122</v>
      </c>
    </row>
    <row r="1585" spans="1:19">
      <c r="A1585">
        <v>60000316</v>
      </c>
      <c r="B1585">
        <v>53</v>
      </c>
      <c r="C1585" t="s">
        <v>33</v>
      </c>
      <c r="D1585" t="s">
        <v>40</v>
      </c>
      <c r="E1585" t="s">
        <v>67</v>
      </c>
      <c r="F1585" t="s">
        <v>21</v>
      </c>
      <c r="G1585" s="23">
        <v>0.17</v>
      </c>
      <c r="H1585" t="s">
        <v>22</v>
      </c>
      <c r="I1585" t="s">
        <v>65</v>
      </c>
      <c r="J1585" t="s">
        <v>61</v>
      </c>
      <c r="K1585" t="s">
        <v>104</v>
      </c>
      <c r="L1585" t="s">
        <v>26</v>
      </c>
      <c r="M1585" t="s">
        <v>124</v>
      </c>
      <c r="N1585" t="s">
        <v>51</v>
      </c>
      <c r="O1585">
        <v>0</v>
      </c>
      <c r="P1585">
        <v>30014</v>
      </c>
      <c r="Q1585">
        <f t="shared" si="27"/>
        <v>3.0013999999999999E-2</v>
      </c>
      <c r="R1585">
        <v>43252</v>
      </c>
      <c r="S1585" t="s">
        <v>122</v>
      </c>
    </row>
    <row r="1586" spans="1:19">
      <c r="A1586">
        <v>60000317</v>
      </c>
      <c r="B1586">
        <v>30</v>
      </c>
      <c r="C1586" t="s">
        <v>33</v>
      </c>
      <c r="D1586" t="s">
        <v>19</v>
      </c>
      <c r="E1586" t="s">
        <v>85</v>
      </c>
      <c r="F1586" t="s">
        <v>21</v>
      </c>
      <c r="G1586" s="23">
        <v>0.3</v>
      </c>
      <c r="H1586" t="s">
        <v>53</v>
      </c>
      <c r="I1586" t="s">
        <v>45</v>
      </c>
      <c r="J1586" t="s">
        <v>58</v>
      </c>
      <c r="K1586" t="s">
        <v>118</v>
      </c>
      <c r="L1586" t="s">
        <v>26</v>
      </c>
      <c r="M1586" t="s">
        <v>124</v>
      </c>
      <c r="N1586" t="s">
        <v>28</v>
      </c>
      <c r="O1586">
        <v>3</v>
      </c>
      <c r="P1586">
        <v>59887</v>
      </c>
      <c r="Q1586">
        <f t="shared" si="27"/>
        <v>5.9887000000000003E-2</v>
      </c>
      <c r="R1586">
        <v>43252</v>
      </c>
      <c r="S1586" t="s">
        <v>122</v>
      </c>
    </row>
    <row r="1587" spans="1:19">
      <c r="A1587">
        <v>60000318</v>
      </c>
      <c r="B1587">
        <v>55</v>
      </c>
      <c r="C1587" t="s">
        <v>33</v>
      </c>
      <c r="D1587" t="s">
        <v>40</v>
      </c>
      <c r="E1587" t="s">
        <v>85</v>
      </c>
      <c r="F1587" t="s">
        <v>21</v>
      </c>
      <c r="G1587" s="23">
        <v>0.19</v>
      </c>
      <c r="H1587" t="s">
        <v>29</v>
      </c>
      <c r="I1587" t="s">
        <v>45</v>
      </c>
      <c r="J1587" t="s">
        <v>91</v>
      </c>
      <c r="K1587" t="s">
        <v>92</v>
      </c>
      <c r="L1587" t="s">
        <v>121</v>
      </c>
      <c r="M1587" t="s">
        <v>124</v>
      </c>
      <c r="N1587" t="s">
        <v>51</v>
      </c>
      <c r="O1587">
        <v>0</v>
      </c>
      <c r="P1587">
        <v>54530</v>
      </c>
      <c r="Q1587">
        <f t="shared" si="27"/>
        <v>5.4530000000000002E-2</v>
      </c>
      <c r="R1587">
        <v>43252</v>
      </c>
      <c r="S1587" t="s">
        <v>122</v>
      </c>
    </row>
    <row r="1588" spans="1:19">
      <c r="A1588">
        <v>60000319</v>
      </c>
      <c r="B1588">
        <v>22</v>
      </c>
      <c r="C1588" t="s">
        <v>18</v>
      </c>
      <c r="D1588" t="s">
        <v>19</v>
      </c>
      <c r="E1588" t="s">
        <v>48</v>
      </c>
      <c r="F1588" t="s">
        <v>21</v>
      </c>
      <c r="G1588" s="23">
        <v>0.34</v>
      </c>
      <c r="H1588" t="s">
        <v>42</v>
      </c>
      <c r="I1588" t="s">
        <v>73</v>
      </c>
      <c r="J1588" t="s">
        <v>74</v>
      </c>
      <c r="K1588" t="s">
        <v>95</v>
      </c>
      <c r="L1588" t="s">
        <v>119</v>
      </c>
      <c r="M1588" t="s">
        <v>124</v>
      </c>
      <c r="N1588" t="s">
        <v>51</v>
      </c>
      <c r="O1588">
        <v>0</v>
      </c>
      <c r="P1588">
        <v>69493</v>
      </c>
      <c r="Q1588">
        <f t="shared" si="27"/>
        <v>6.9492999999999999E-2</v>
      </c>
      <c r="R1588">
        <v>43252</v>
      </c>
      <c r="S1588" t="s">
        <v>122</v>
      </c>
    </row>
    <row r="1589" spans="1:19">
      <c r="A1589">
        <v>60000320</v>
      </c>
      <c r="B1589">
        <v>48</v>
      </c>
      <c r="C1589" t="s">
        <v>18</v>
      </c>
      <c r="D1589" t="s">
        <v>19</v>
      </c>
      <c r="E1589" t="s">
        <v>72</v>
      </c>
      <c r="F1589" t="s">
        <v>21</v>
      </c>
      <c r="G1589" s="23">
        <v>0.25</v>
      </c>
      <c r="H1589" t="s">
        <v>53</v>
      </c>
      <c r="I1589" t="s">
        <v>60</v>
      </c>
      <c r="J1589" t="s">
        <v>74</v>
      </c>
      <c r="K1589" t="s">
        <v>100</v>
      </c>
      <c r="L1589" t="s">
        <v>119</v>
      </c>
      <c r="M1589" t="s">
        <v>124</v>
      </c>
      <c r="N1589" t="s">
        <v>28</v>
      </c>
      <c r="O1589">
        <v>0</v>
      </c>
      <c r="P1589">
        <v>59545</v>
      </c>
      <c r="Q1589">
        <f t="shared" si="27"/>
        <v>5.9545000000000001E-2</v>
      </c>
      <c r="R1589">
        <v>43252</v>
      </c>
      <c r="S1589" t="s">
        <v>122</v>
      </c>
    </row>
    <row r="1590" spans="1:19">
      <c r="A1590">
        <v>60000321</v>
      </c>
      <c r="B1590">
        <v>53</v>
      </c>
      <c r="C1590" t="s">
        <v>18</v>
      </c>
      <c r="D1590" t="s">
        <v>19</v>
      </c>
      <c r="E1590" t="s">
        <v>52</v>
      </c>
      <c r="F1590" t="s">
        <v>21</v>
      </c>
      <c r="G1590" s="23">
        <v>0.23</v>
      </c>
      <c r="H1590" t="s">
        <v>29</v>
      </c>
      <c r="I1590" t="s">
        <v>73</v>
      </c>
      <c r="J1590" t="s">
        <v>69</v>
      </c>
      <c r="K1590" t="s">
        <v>109</v>
      </c>
      <c r="L1590" t="s">
        <v>119</v>
      </c>
      <c r="M1590" t="s">
        <v>124</v>
      </c>
      <c r="N1590" t="s">
        <v>28</v>
      </c>
      <c r="O1590">
        <v>0</v>
      </c>
      <c r="P1590">
        <v>44617</v>
      </c>
      <c r="Q1590">
        <f t="shared" si="27"/>
        <v>4.4616999999999997E-2</v>
      </c>
      <c r="R1590">
        <v>43252</v>
      </c>
      <c r="S1590" t="s">
        <v>122</v>
      </c>
    </row>
    <row r="1591" spans="1:19">
      <c r="A1591">
        <v>60000322</v>
      </c>
      <c r="B1591">
        <v>41</v>
      </c>
      <c r="C1591" t="s">
        <v>33</v>
      </c>
      <c r="D1591" t="s">
        <v>19</v>
      </c>
      <c r="E1591" t="s">
        <v>44</v>
      </c>
      <c r="F1591" t="s">
        <v>21</v>
      </c>
      <c r="G1591" s="23">
        <v>0.16</v>
      </c>
      <c r="H1591" t="s">
        <v>22</v>
      </c>
      <c r="I1591" t="s">
        <v>76</v>
      </c>
      <c r="J1591" t="s">
        <v>58</v>
      </c>
      <c r="K1591" t="s">
        <v>95</v>
      </c>
      <c r="L1591" t="s">
        <v>119</v>
      </c>
      <c r="M1591" t="s">
        <v>124</v>
      </c>
      <c r="N1591" t="s">
        <v>51</v>
      </c>
      <c r="O1591">
        <v>4</v>
      </c>
      <c r="P1591">
        <v>73689</v>
      </c>
      <c r="Q1591">
        <f t="shared" si="27"/>
        <v>7.3689000000000004E-2</v>
      </c>
      <c r="R1591">
        <v>43252</v>
      </c>
      <c r="S1591" t="s">
        <v>122</v>
      </c>
    </row>
    <row r="1592" spans="1:19">
      <c r="A1592">
        <v>60000323</v>
      </c>
      <c r="B1592">
        <v>59</v>
      </c>
      <c r="C1592" t="s">
        <v>18</v>
      </c>
      <c r="D1592" t="s">
        <v>40</v>
      </c>
      <c r="E1592" t="s">
        <v>44</v>
      </c>
      <c r="F1592" t="s">
        <v>21</v>
      </c>
      <c r="G1592" s="23">
        <v>0.16</v>
      </c>
      <c r="H1592" t="s">
        <v>22</v>
      </c>
      <c r="I1592" t="s">
        <v>57</v>
      </c>
      <c r="J1592" t="s">
        <v>38</v>
      </c>
      <c r="K1592" t="s">
        <v>63</v>
      </c>
      <c r="L1592" t="s">
        <v>26</v>
      </c>
      <c r="M1592" t="s">
        <v>124</v>
      </c>
      <c r="N1592" t="s">
        <v>28</v>
      </c>
      <c r="O1592">
        <v>6</v>
      </c>
      <c r="P1592">
        <v>40223</v>
      </c>
      <c r="Q1592">
        <f t="shared" si="27"/>
        <v>4.0223000000000002E-2</v>
      </c>
      <c r="R1592">
        <v>43252</v>
      </c>
      <c r="S1592" t="s">
        <v>122</v>
      </c>
    </row>
    <row r="1593" spans="1:19">
      <c r="A1593">
        <v>60000324</v>
      </c>
      <c r="B1593">
        <v>46</v>
      </c>
      <c r="C1593" t="s">
        <v>33</v>
      </c>
      <c r="D1593" t="s">
        <v>19</v>
      </c>
      <c r="E1593" t="s">
        <v>34</v>
      </c>
      <c r="F1593" t="s">
        <v>21</v>
      </c>
      <c r="G1593" s="23">
        <v>0.18</v>
      </c>
      <c r="H1593" t="s">
        <v>22</v>
      </c>
      <c r="I1593" t="s">
        <v>37</v>
      </c>
      <c r="J1593" t="s">
        <v>54</v>
      </c>
      <c r="K1593" t="s">
        <v>43</v>
      </c>
      <c r="L1593" t="s">
        <v>26</v>
      </c>
      <c r="M1593" t="s">
        <v>124</v>
      </c>
      <c r="N1593" t="s">
        <v>51</v>
      </c>
      <c r="O1593">
        <v>0</v>
      </c>
      <c r="P1593">
        <v>57482</v>
      </c>
      <c r="Q1593">
        <f t="shared" si="27"/>
        <v>5.7481999999999998E-2</v>
      </c>
      <c r="R1593">
        <v>43252</v>
      </c>
      <c r="S1593" t="s">
        <v>122</v>
      </c>
    </row>
    <row r="1594" spans="1:19">
      <c r="A1594">
        <v>60000325</v>
      </c>
      <c r="B1594">
        <v>30</v>
      </c>
      <c r="C1594" t="s">
        <v>33</v>
      </c>
      <c r="D1594" t="s">
        <v>19</v>
      </c>
      <c r="E1594" t="s">
        <v>41</v>
      </c>
      <c r="F1594" t="s">
        <v>21</v>
      </c>
      <c r="G1594" s="23">
        <v>0.27</v>
      </c>
      <c r="H1594" t="s">
        <v>53</v>
      </c>
      <c r="I1594" t="s">
        <v>37</v>
      </c>
      <c r="J1594" t="s">
        <v>54</v>
      </c>
      <c r="K1594" t="s">
        <v>50</v>
      </c>
      <c r="L1594" t="s">
        <v>121</v>
      </c>
      <c r="M1594" t="s">
        <v>124</v>
      </c>
      <c r="N1594" t="s">
        <v>51</v>
      </c>
      <c r="O1594">
        <v>7</v>
      </c>
      <c r="P1594">
        <v>64281</v>
      </c>
      <c r="Q1594">
        <f t="shared" si="27"/>
        <v>6.4281000000000005E-2</v>
      </c>
      <c r="R1594">
        <v>43252</v>
      </c>
      <c r="S1594" t="s">
        <v>122</v>
      </c>
    </row>
    <row r="1595" spans="1:19">
      <c r="A1595">
        <v>60000326</v>
      </c>
      <c r="B1595">
        <v>62</v>
      </c>
      <c r="C1595" t="s">
        <v>33</v>
      </c>
      <c r="D1595" t="s">
        <v>19</v>
      </c>
      <c r="E1595" t="s">
        <v>41</v>
      </c>
      <c r="F1595" t="s">
        <v>21</v>
      </c>
      <c r="G1595" s="23">
        <v>0.12</v>
      </c>
      <c r="H1595" t="s">
        <v>22</v>
      </c>
      <c r="I1595" t="s">
        <v>86</v>
      </c>
      <c r="J1595" t="s">
        <v>46</v>
      </c>
      <c r="K1595" t="s">
        <v>43</v>
      </c>
      <c r="L1595" t="s">
        <v>26</v>
      </c>
      <c r="M1595" t="s">
        <v>124</v>
      </c>
      <c r="N1595" t="s">
        <v>28</v>
      </c>
      <c r="O1595">
        <v>2</v>
      </c>
      <c r="P1595">
        <v>71618</v>
      </c>
      <c r="Q1595">
        <f t="shared" si="27"/>
        <v>7.1618000000000001E-2</v>
      </c>
      <c r="R1595">
        <v>43252</v>
      </c>
      <c r="S1595" t="s">
        <v>122</v>
      </c>
    </row>
    <row r="1596" spans="1:19">
      <c r="A1596">
        <v>60000327</v>
      </c>
      <c r="B1596">
        <v>27</v>
      </c>
      <c r="C1596" t="s">
        <v>33</v>
      </c>
      <c r="D1596" t="s">
        <v>19</v>
      </c>
      <c r="E1596" t="s">
        <v>64</v>
      </c>
      <c r="F1596" t="s">
        <v>21</v>
      </c>
      <c r="G1596" s="23">
        <v>0.15</v>
      </c>
      <c r="H1596" t="s">
        <v>22</v>
      </c>
      <c r="I1596" t="s">
        <v>60</v>
      </c>
      <c r="J1596" t="s">
        <v>58</v>
      </c>
      <c r="K1596" t="s">
        <v>118</v>
      </c>
      <c r="L1596" t="s">
        <v>121</v>
      </c>
      <c r="M1596" t="s">
        <v>124</v>
      </c>
      <c r="N1596" t="s">
        <v>28</v>
      </c>
      <c r="O1596">
        <v>0</v>
      </c>
      <c r="P1596">
        <v>26318</v>
      </c>
      <c r="Q1596">
        <f t="shared" si="27"/>
        <v>2.6318000000000001E-2</v>
      </c>
      <c r="R1596">
        <v>43252</v>
      </c>
      <c r="S1596" t="s">
        <v>122</v>
      </c>
    </row>
    <row r="1597" spans="1:19">
      <c r="A1597">
        <v>60000328</v>
      </c>
      <c r="B1597">
        <v>59</v>
      </c>
      <c r="C1597" t="s">
        <v>18</v>
      </c>
      <c r="D1597" t="s">
        <v>40</v>
      </c>
      <c r="E1597" t="s">
        <v>41</v>
      </c>
      <c r="F1597" t="s">
        <v>21</v>
      </c>
      <c r="G1597" s="23">
        <v>0.1</v>
      </c>
      <c r="H1597" t="s">
        <v>36</v>
      </c>
      <c r="I1597" t="s">
        <v>23</v>
      </c>
      <c r="J1597" t="s">
        <v>58</v>
      </c>
      <c r="K1597" t="s">
        <v>111</v>
      </c>
      <c r="L1597" t="s">
        <v>26</v>
      </c>
      <c r="M1597" t="s">
        <v>124</v>
      </c>
      <c r="N1597" t="s">
        <v>28</v>
      </c>
      <c r="O1597">
        <v>4</v>
      </c>
      <c r="P1597">
        <v>46356</v>
      </c>
      <c r="Q1597">
        <f t="shared" si="27"/>
        <v>4.6356000000000001E-2</v>
      </c>
      <c r="R1597">
        <v>43252</v>
      </c>
      <c r="S1597" t="s">
        <v>122</v>
      </c>
    </row>
    <row r="1598" spans="1:19">
      <c r="A1598">
        <v>60000329</v>
      </c>
      <c r="B1598">
        <v>29</v>
      </c>
      <c r="C1598" t="s">
        <v>33</v>
      </c>
      <c r="D1598" t="s">
        <v>40</v>
      </c>
      <c r="E1598" t="s">
        <v>56</v>
      </c>
      <c r="F1598" t="s">
        <v>21</v>
      </c>
      <c r="G1598" s="23">
        <v>0.28000000000000003</v>
      </c>
      <c r="H1598" t="s">
        <v>53</v>
      </c>
      <c r="I1598" t="s">
        <v>65</v>
      </c>
      <c r="J1598" t="s">
        <v>54</v>
      </c>
      <c r="K1598" t="s">
        <v>111</v>
      </c>
      <c r="L1598" t="s">
        <v>26</v>
      </c>
      <c r="M1598" t="s">
        <v>124</v>
      </c>
      <c r="N1598" t="s">
        <v>51</v>
      </c>
      <c r="O1598">
        <v>0</v>
      </c>
      <c r="P1598">
        <v>81647</v>
      </c>
      <c r="Q1598">
        <f t="shared" si="27"/>
        <v>8.1646999999999997E-2</v>
      </c>
      <c r="R1598">
        <v>43252</v>
      </c>
      <c r="S1598" t="s">
        <v>122</v>
      </c>
    </row>
    <row r="1599" spans="1:19">
      <c r="A1599">
        <v>60000330</v>
      </c>
      <c r="B1599">
        <v>48</v>
      </c>
      <c r="C1599" t="s">
        <v>33</v>
      </c>
      <c r="D1599" t="s">
        <v>19</v>
      </c>
      <c r="E1599" t="s">
        <v>64</v>
      </c>
      <c r="F1599" t="s">
        <v>21</v>
      </c>
      <c r="G1599" s="23">
        <v>0.14000000000000001</v>
      </c>
      <c r="H1599" t="s">
        <v>22</v>
      </c>
      <c r="I1599" t="s">
        <v>86</v>
      </c>
      <c r="J1599" t="s">
        <v>88</v>
      </c>
      <c r="K1599" t="s">
        <v>98</v>
      </c>
      <c r="L1599" t="s">
        <v>119</v>
      </c>
      <c r="M1599" t="s">
        <v>124</v>
      </c>
      <c r="N1599" t="s">
        <v>51</v>
      </c>
      <c r="O1599">
        <v>3</v>
      </c>
      <c r="P1599">
        <v>54648</v>
      </c>
      <c r="Q1599">
        <f t="shared" si="27"/>
        <v>5.4648000000000002E-2</v>
      </c>
      <c r="R1599">
        <v>43252</v>
      </c>
      <c r="S1599" t="s">
        <v>122</v>
      </c>
    </row>
    <row r="1600" spans="1:19">
      <c r="A1600">
        <v>60000331</v>
      </c>
      <c r="B1600">
        <v>21</v>
      </c>
      <c r="C1600" t="s">
        <v>33</v>
      </c>
      <c r="D1600" t="s">
        <v>19</v>
      </c>
      <c r="E1600" t="s">
        <v>75</v>
      </c>
      <c r="F1600" t="s">
        <v>21</v>
      </c>
      <c r="G1600" s="23">
        <v>0.24</v>
      </c>
      <c r="H1600" t="s">
        <v>29</v>
      </c>
      <c r="I1600" t="s">
        <v>68</v>
      </c>
      <c r="J1600" t="s">
        <v>91</v>
      </c>
      <c r="K1600" t="s">
        <v>62</v>
      </c>
      <c r="L1600" t="s">
        <v>26</v>
      </c>
      <c r="M1600" t="s">
        <v>124</v>
      </c>
      <c r="N1600" t="s">
        <v>51</v>
      </c>
      <c r="O1600">
        <v>7</v>
      </c>
      <c r="P1600">
        <v>81653</v>
      </c>
      <c r="Q1600">
        <f t="shared" si="27"/>
        <v>8.1653000000000003E-2</v>
      </c>
      <c r="R1600">
        <v>43252</v>
      </c>
      <c r="S1600" t="s">
        <v>122</v>
      </c>
    </row>
    <row r="1601" spans="1:19">
      <c r="A1601">
        <v>60000332</v>
      </c>
      <c r="B1601">
        <v>36</v>
      </c>
      <c r="C1601" t="s">
        <v>33</v>
      </c>
      <c r="D1601" t="s">
        <v>19</v>
      </c>
      <c r="E1601" t="s">
        <v>72</v>
      </c>
      <c r="F1601" t="s">
        <v>21</v>
      </c>
      <c r="G1601" s="23">
        <v>0.38</v>
      </c>
      <c r="H1601" t="s">
        <v>42</v>
      </c>
      <c r="I1601" t="s">
        <v>62</v>
      </c>
      <c r="J1601" t="s">
        <v>58</v>
      </c>
      <c r="K1601" t="s">
        <v>93</v>
      </c>
      <c r="L1601" t="s">
        <v>119</v>
      </c>
      <c r="M1601" t="s">
        <v>124</v>
      </c>
      <c r="N1601" t="s">
        <v>51</v>
      </c>
      <c r="O1601">
        <v>7</v>
      </c>
      <c r="P1601">
        <v>77875</v>
      </c>
      <c r="Q1601">
        <f t="shared" si="27"/>
        <v>7.7875E-2</v>
      </c>
      <c r="R1601">
        <v>43252</v>
      </c>
      <c r="S1601" t="s">
        <v>122</v>
      </c>
    </row>
    <row r="1602" spans="1:19">
      <c r="A1602">
        <v>60000333</v>
      </c>
      <c r="B1602">
        <v>25</v>
      </c>
      <c r="C1602" t="s">
        <v>18</v>
      </c>
      <c r="D1602" t="s">
        <v>19</v>
      </c>
      <c r="E1602" t="s">
        <v>75</v>
      </c>
      <c r="F1602" t="s">
        <v>21</v>
      </c>
      <c r="G1602" s="23">
        <v>0.11</v>
      </c>
      <c r="H1602" t="s">
        <v>36</v>
      </c>
      <c r="I1602" t="s">
        <v>62</v>
      </c>
      <c r="J1602" t="s">
        <v>54</v>
      </c>
      <c r="K1602" t="s">
        <v>83</v>
      </c>
      <c r="L1602" t="s">
        <v>121</v>
      </c>
      <c r="M1602" t="s">
        <v>124</v>
      </c>
      <c r="N1602" t="s">
        <v>28</v>
      </c>
      <c r="O1602">
        <v>0</v>
      </c>
      <c r="P1602">
        <v>45273</v>
      </c>
      <c r="Q1602">
        <f t="shared" si="27"/>
        <v>4.5273000000000001E-2</v>
      </c>
      <c r="R1602">
        <v>43252</v>
      </c>
      <c r="S1602" t="s">
        <v>122</v>
      </c>
    </row>
    <row r="1603" spans="1:19">
      <c r="A1603">
        <v>60000334</v>
      </c>
      <c r="B1603">
        <v>21</v>
      </c>
      <c r="C1603" t="s">
        <v>18</v>
      </c>
      <c r="D1603" t="s">
        <v>40</v>
      </c>
      <c r="E1603" t="s">
        <v>52</v>
      </c>
      <c r="F1603" t="s">
        <v>21</v>
      </c>
      <c r="G1603" s="23">
        <v>0.25</v>
      </c>
      <c r="H1603" t="s">
        <v>53</v>
      </c>
      <c r="I1603" t="s">
        <v>60</v>
      </c>
      <c r="J1603" t="s">
        <v>78</v>
      </c>
      <c r="K1603" t="s">
        <v>60</v>
      </c>
      <c r="L1603" t="s">
        <v>119</v>
      </c>
      <c r="M1603" t="s">
        <v>124</v>
      </c>
      <c r="N1603" t="s">
        <v>28</v>
      </c>
      <c r="O1603">
        <v>3</v>
      </c>
      <c r="P1603">
        <v>61595</v>
      </c>
      <c r="Q1603">
        <f t="shared" si="27"/>
        <v>6.1594999999999997E-2</v>
      </c>
      <c r="R1603">
        <v>43252</v>
      </c>
      <c r="S1603" t="s">
        <v>122</v>
      </c>
    </row>
    <row r="1604" spans="1:19">
      <c r="A1604">
        <v>60000335</v>
      </c>
      <c r="B1604">
        <v>58</v>
      </c>
      <c r="C1604" t="s">
        <v>18</v>
      </c>
      <c r="D1604" t="s">
        <v>19</v>
      </c>
      <c r="E1604" t="s">
        <v>34</v>
      </c>
      <c r="F1604" t="s">
        <v>21</v>
      </c>
      <c r="G1604" s="23">
        <v>0.14000000000000001</v>
      </c>
      <c r="H1604" t="s">
        <v>22</v>
      </c>
      <c r="I1604" t="s">
        <v>70</v>
      </c>
      <c r="J1604" t="s">
        <v>38</v>
      </c>
      <c r="K1604" t="s">
        <v>113</v>
      </c>
      <c r="L1604" t="s">
        <v>119</v>
      </c>
      <c r="M1604" t="s">
        <v>124</v>
      </c>
      <c r="N1604" t="s">
        <v>51</v>
      </c>
      <c r="O1604">
        <v>0</v>
      </c>
      <c r="P1604">
        <v>63891</v>
      </c>
      <c r="Q1604">
        <f t="shared" ref="Q1604:Q1667" si="28">+P1604/1000000</f>
        <v>6.3891000000000003E-2</v>
      </c>
      <c r="R1604">
        <v>43252</v>
      </c>
      <c r="S1604" t="s">
        <v>122</v>
      </c>
    </row>
    <row r="1605" spans="1:19">
      <c r="A1605">
        <v>60000336</v>
      </c>
      <c r="B1605">
        <v>54</v>
      </c>
      <c r="C1605" t="s">
        <v>33</v>
      </c>
      <c r="D1605" t="s">
        <v>40</v>
      </c>
      <c r="E1605" t="s">
        <v>34</v>
      </c>
      <c r="F1605" t="s">
        <v>21</v>
      </c>
      <c r="G1605" s="23">
        <v>0.35</v>
      </c>
      <c r="H1605" t="s">
        <v>42</v>
      </c>
      <c r="I1605" t="s">
        <v>65</v>
      </c>
      <c r="J1605" t="s">
        <v>61</v>
      </c>
      <c r="K1605" t="s">
        <v>114</v>
      </c>
      <c r="L1605" t="s">
        <v>121</v>
      </c>
      <c r="M1605" t="s">
        <v>124</v>
      </c>
      <c r="N1605" t="s">
        <v>51</v>
      </c>
      <c r="O1605">
        <v>3</v>
      </c>
      <c r="P1605">
        <v>82738</v>
      </c>
      <c r="Q1605">
        <f t="shared" si="28"/>
        <v>8.2738000000000006E-2</v>
      </c>
      <c r="R1605">
        <v>43252</v>
      </c>
      <c r="S1605" t="s">
        <v>122</v>
      </c>
    </row>
    <row r="1606" spans="1:19">
      <c r="A1606">
        <v>60000337</v>
      </c>
      <c r="B1606">
        <v>22</v>
      </c>
      <c r="C1606" t="s">
        <v>18</v>
      </c>
      <c r="D1606" t="s">
        <v>40</v>
      </c>
      <c r="E1606" t="s">
        <v>64</v>
      </c>
      <c r="F1606" t="s">
        <v>21</v>
      </c>
      <c r="G1606" s="23">
        <v>0.2</v>
      </c>
      <c r="H1606" t="s">
        <v>29</v>
      </c>
      <c r="I1606" t="s">
        <v>37</v>
      </c>
      <c r="J1606" t="s">
        <v>31</v>
      </c>
      <c r="K1606" t="s">
        <v>101</v>
      </c>
      <c r="L1606" t="s">
        <v>121</v>
      </c>
      <c r="M1606" t="s">
        <v>124</v>
      </c>
      <c r="N1606" t="s">
        <v>28</v>
      </c>
      <c r="O1606">
        <v>0</v>
      </c>
      <c r="P1606">
        <v>70406</v>
      </c>
      <c r="Q1606">
        <f t="shared" si="28"/>
        <v>7.0405999999999996E-2</v>
      </c>
      <c r="R1606">
        <v>43252</v>
      </c>
      <c r="S1606" t="s">
        <v>122</v>
      </c>
    </row>
    <row r="1607" spans="1:19">
      <c r="A1607">
        <v>60000338</v>
      </c>
      <c r="B1607">
        <v>43</v>
      </c>
      <c r="C1607" t="s">
        <v>33</v>
      </c>
      <c r="D1607" t="s">
        <v>40</v>
      </c>
      <c r="E1607" t="s">
        <v>52</v>
      </c>
      <c r="F1607" t="s">
        <v>21</v>
      </c>
      <c r="G1607" s="23">
        <v>0.24</v>
      </c>
      <c r="H1607" t="s">
        <v>29</v>
      </c>
      <c r="I1607" t="s">
        <v>73</v>
      </c>
      <c r="J1607" t="s">
        <v>78</v>
      </c>
      <c r="K1607" t="s">
        <v>63</v>
      </c>
      <c r="L1607" t="s">
        <v>26</v>
      </c>
      <c r="M1607" t="s">
        <v>124</v>
      </c>
      <c r="N1607" t="s">
        <v>51</v>
      </c>
      <c r="O1607">
        <v>0</v>
      </c>
      <c r="P1607">
        <v>32704</v>
      </c>
      <c r="Q1607">
        <f t="shared" si="28"/>
        <v>3.2703999999999997E-2</v>
      </c>
      <c r="R1607">
        <v>43252</v>
      </c>
      <c r="S1607" t="s">
        <v>122</v>
      </c>
    </row>
    <row r="1608" spans="1:19">
      <c r="A1608">
        <v>60000339</v>
      </c>
      <c r="B1608">
        <v>41</v>
      </c>
      <c r="C1608" t="s">
        <v>18</v>
      </c>
      <c r="D1608" t="s">
        <v>19</v>
      </c>
      <c r="E1608" t="s">
        <v>67</v>
      </c>
      <c r="F1608" t="s">
        <v>21</v>
      </c>
      <c r="G1608" s="23">
        <v>0.18</v>
      </c>
      <c r="H1608" t="s">
        <v>22</v>
      </c>
      <c r="I1608" t="s">
        <v>76</v>
      </c>
      <c r="J1608" t="s">
        <v>38</v>
      </c>
      <c r="K1608" t="s">
        <v>90</v>
      </c>
      <c r="L1608" t="s">
        <v>121</v>
      </c>
      <c r="M1608" t="s">
        <v>124</v>
      </c>
      <c r="N1608" t="s">
        <v>51</v>
      </c>
      <c r="O1608">
        <v>5</v>
      </c>
      <c r="P1608">
        <v>55853</v>
      </c>
      <c r="Q1608">
        <f t="shared" si="28"/>
        <v>5.5853E-2</v>
      </c>
      <c r="R1608">
        <v>43252</v>
      </c>
      <c r="S1608" t="s">
        <v>122</v>
      </c>
    </row>
    <row r="1609" spans="1:19">
      <c r="A1609">
        <v>60000340</v>
      </c>
      <c r="B1609">
        <v>30</v>
      </c>
      <c r="C1609" t="s">
        <v>33</v>
      </c>
      <c r="D1609" t="s">
        <v>19</v>
      </c>
      <c r="E1609" t="s">
        <v>44</v>
      </c>
      <c r="F1609" t="s">
        <v>21</v>
      </c>
      <c r="G1609" s="23">
        <v>0.21</v>
      </c>
      <c r="H1609" t="s">
        <v>29</v>
      </c>
      <c r="I1609" t="s">
        <v>23</v>
      </c>
      <c r="J1609" t="s">
        <v>61</v>
      </c>
      <c r="K1609" t="s">
        <v>114</v>
      </c>
      <c r="L1609" t="s">
        <v>121</v>
      </c>
      <c r="M1609" t="s">
        <v>124</v>
      </c>
      <c r="N1609" t="s">
        <v>28</v>
      </c>
      <c r="O1609">
        <v>1</v>
      </c>
      <c r="P1609">
        <v>68248</v>
      </c>
      <c r="Q1609">
        <f t="shared" si="28"/>
        <v>6.8248000000000003E-2</v>
      </c>
      <c r="R1609">
        <v>43252</v>
      </c>
      <c r="S1609" t="s">
        <v>122</v>
      </c>
    </row>
    <row r="1610" spans="1:19">
      <c r="A1610">
        <v>60000341</v>
      </c>
      <c r="B1610">
        <v>20</v>
      </c>
      <c r="C1610" t="s">
        <v>18</v>
      </c>
      <c r="D1610" t="s">
        <v>40</v>
      </c>
      <c r="E1610" t="s">
        <v>72</v>
      </c>
      <c r="F1610" t="s">
        <v>21</v>
      </c>
      <c r="G1610" s="23">
        <v>0.21</v>
      </c>
      <c r="H1610" t="s">
        <v>29</v>
      </c>
      <c r="I1610" t="s">
        <v>70</v>
      </c>
      <c r="J1610" t="s">
        <v>66</v>
      </c>
      <c r="K1610" t="s">
        <v>83</v>
      </c>
      <c r="L1610" t="s">
        <v>121</v>
      </c>
      <c r="M1610" t="s">
        <v>124</v>
      </c>
      <c r="N1610" t="s">
        <v>51</v>
      </c>
      <c r="O1610">
        <v>7</v>
      </c>
      <c r="P1610">
        <v>66416</v>
      </c>
      <c r="Q1610">
        <f t="shared" si="28"/>
        <v>6.6416000000000003E-2</v>
      </c>
      <c r="R1610">
        <v>43252</v>
      </c>
      <c r="S1610" t="s">
        <v>122</v>
      </c>
    </row>
    <row r="1611" spans="1:19">
      <c r="A1611">
        <v>60000342</v>
      </c>
      <c r="B1611">
        <v>35</v>
      </c>
      <c r="C1611" t="s">
        <v>18</v>
      </c>
      <c r="D1611" t="s">
        <v>19</v>
      </c>
      <c r="E1611" t="s">
        <v>56</v>
      </c>
      <c r="F1611" t="s">
        <v>21</v>
      </c>
      <c r="G1611" s="23">
        <v>0.31</v>
      </c>
      <c r="H1611" t="s">
        <v>53</v>
      </c>
      <c r="I1611" t="s">
        <v>73</v>
      </c>
      <c r="J1611" t="s">
        <v>24</v>
      </c>
      <c r="K1611" t="s">
        <v>84</v>
      </c>
      <c r="L1611" t="s">
        <v>119</v>
      </c>
      <c r="M1611" t="s">
        <v>124</v>
      </c>
      <c r="N1611" t="s">
        <v>28</v>
      </c>
      <c r="O1611">
        <v>0</v>
      </c>
      <c r="P1611">
        <v>30843</v>
      </c>
      <c r="Q1611">
        <f t="shared" si="28"/>
        <v>3.0842999999999999E-2</v>
      </c>
      <c r="R1611">
        <v>43252</v>
      </c>
      <c r="S1611" t="s">
        <v>122</v>
      </c>
    </row>
    <row r="1612" spans="1:19">
      <c r="A1612">
        <v>60000343</v>
      </c>
      <c r="B1612">
        <v>47</v>
      </c>
      <c r="C1612" t="s">
        <v>18</v>
      </c>
      <c r="D1612" t="s">
        <v>19</v>
      </c>
      <c r="E1612" t="s">
        <v>34</v>
      </c>
      <c r="F1612" t="s">
        <v>21</v>
      </c>
      <c r="G1612" s="23">
        <v>0.33</v>
      </c>
      <c r="H1612" t="s">
        <v>42</v>
      </c>
      <c r="I1612" t="s">
        <v>23</v>
      </c>
      <c r="J1612" t="s">
        <v>58</v>
      </c>
      <c r="K1612" t="s">
        <v>105</v>
      </c>
      <c r="L1612" t="s">
        <v>119</v>
      </c>
      <c r="M1612" t="s">
        <v>124</v>
      </c>
      <c r="N1612" t="s">
        <v>51</v>
      </c>
      <c r="O1612">
        <v>1</v>
      </c>
      <c r="P1612">
        <v>75103</v>
      </c>
      <c r="Q1612">
        <f t="shared" si="28"/>
        <v>7.5103000000000003E-2</v>
      </c>
      <c r="R1612">
        <v>43252</v>
      </c>
      <c r="S1612" t="s">
        <v>122</v>
      </c>
    </row>
    <row r="1613" spans="1:19">
      <c r="A1613">
        <v>60000344</v>
      </c>
      <c r="B1613">
        <v>56</v>
      </c>
      <c r="C1613" t="s">
        <v>18</v>
      </c>
      <c r="D1613" t="s">
        <v>40</v>
      </c>
      <c r="E1613" t="s">
        <v>56</v>
      </c>
      <c r="F1613" t="s">
        <v>21</v>
      </c>
      <c r="G1613" s="23">
        <v>0.3</v>
      </c>
      <c r="H1613" t="s">
        <v>53</v>
      </c>
      <c r="I1613" t="s">
        <v>60</v>
      </c>
      <c r="J1613" t="s">
        <v>24</v>
      </c>
      <c r="K1613" t="s">
        <v>90</v>
      </c>
      <c r="L1613" t="s">
        <v>119</v>
      </c>
      <c r="M1613" t="s">
        <v>124</v>
      </c>
      <c r="N1613" t="s">
        <v>51</v>
      </c>
      <c r="O1613">
        <v>0</v>
      </c>
      <c r="P1613">
        <v>25142</v>
      </c>
      <c r="Q1613">
        <f t="shared" si="28"/>
        <v>2.5142000000000001E-2</v>
      </c>
      <c r="R1613">
        <v>43252</v>
      </c>
      <c r="S1613" t="s">
        <v>122</v>
      </c>
    </row>
    <row r="1614" spans="1:19">
      <c r="A1614">
        <v>60000345</v>
      </c>
      <c r="B1614">
        <v>45</v>
      </c>
      <c r="C1614" t="s">
        <v>33</v>
      </c>
      <c r="D1614" t="s">
        <v>19</v>
      </c>
      <c r="E1614" t="s">
        <v>64</v>
      </c>
      <c r="F1614" t="s">
        <v>21</v>
      </c>
      <c r="G1614" s="23">
        <v>0.25</v>
      </c>
      <c r="H1614" t="s">
        <v>53</v>
      </c>
      <c r="I1614" t="s">
        <v>83</v>
      </c>
      <c r="J1614" t="s">
        <v>66</v>
      </c>
      <c r="K1614" t="s">
        <v>60</v>
      </c>
      <c r="L1614" t="s">
        <v>121</v>
      </c>
      <c r="M1614" t="s">
        <v>124</v>
      </c>
      <c r="N1614" t="s">
        <v>51</v>
      </c>
      <c r="O1614">
        <v>0</v>
      </c>
      <c r="P1614">
        <v>66513</v>
      </c>
      <c r="Q1614">
        <f t="shared" si="28"/>
        <v>6.6513000000000003E-2</v>
      </c>
      <c r="R1614">
        <v>43252</v>
      </c>
      <c r="S1614" t="s">
        <v>122</v>
      </c>
    </row>
    <row r="1615" spans="1:19">
      <c r="A1615">
        <v>60000346</v>
      </c>
      <c r="B1615">
        <v>61</v>
      </c>
      <c r="C1615" t="s">
        <v>18</v>
      </c>
      <c r="D1615" t="s">
        <v>40</v>
      </c>
      <c r="E1615" t="s">
        <v>52</v>
      </c>
      <c r="F1615" t="s">
        <v>21</v>
      </c>
      <c r="G1615" s="23">
        <v>0.24</v>
      </c>
      <c r="H1615" t="s">
        <v>29</v>
      </c>
      <c r="I1615" t="s">
        <v>86</v>
      </c>
      <c r="J1615" t="s">
        <v>58</v>
      </c>
      <c r="K1615" t="s">
        <v>89</v>
      </c>
      <c r="L1615" t="s">
        <v>119</v>
      </c>
      <c r="M1615" t="s">
        <v>124</v>
      </c>
      <c r="N1615" t="s">
        <v>51</v>
      </c>
      <c r="O1615">
        <v>0</v>
      </c>
      <c r="P1615">
        <v>27384</v>
      </c>
      <c r="Q1615">
        <f t="shared" si="28"/>
        <v>2.7383999999999999E-2</v>
      </c>
      <c r="R1615">
        <v>43252</v>
      </c>
      <c r="S1615" t="s">
        <v>122</v>
      </c>
    </row>
    <row r="1616" spans="1:19">
      <c r="A1616">
        <v>60000347</v>
      </c>
      <c r="B1616">
        <v>39</v>
      </c>
      <c r="C1616" t="s">
        <v>18</v>
      </c>
      <c r="D1616" t="s">
        <v>19</v>
      </c>
      <c r="E1616" t="s">
        <v>72</v>
      </c>
      <c r="F1616" t="s">
        <v>21</v>
      </c>
      <c r="G1616" s="23">
        <v>0.23</v>
      </c>
      <c r="H1616" t="s">
        <v>29</v>
      </c>
      <c r="I1616" t="s">
        <v>68</v>
      </c>
      <c r="J1616" t="s">
        <v>91</v>
      </c>
      <c r="K1616" t="s">
        <v>93</v>
      </c>
      <c r="L1616" t="s">
        <v>119</v>
      </c>
      <c r="M1616" t="s">
        <v>124</v>
      </c>
      <c r="N1616" t="s">
        <v>51</v>
      </c>
      <c r="O1616">
        <v>6</v>
      </c>
      <c r="P1616">
        <v>38490</v>
      </c>
      <c r="Q1616">
        <f t="shared" si="28"/>
        <v>3.8490000000000003E-2</v>
      </c>
      <c r="R1616">
        <v>43252</v>
      </c>
      <c r="S1616" t="s">
        <v>122</v>
      </c>
    </row>
    <row r="1617" spans="1:19">
      <c r="A1617">
        <v>60000348</v>
      </c>
      <c r="B1617">
        <v>35</v>
      </c>
      <c r="C1617" t="s">
        <v>18</v>
      </c>
      <c r="D1617" t="s">
        <v>19</v>
      </c>
      <c r="E1617" t="s">
        <v>20</v>
      </c>
      <c r="F1617" t="s">
        <v>21</v>
      </c>
      <c r="G1617" s="23">
        <v>0.11</v>
      </c>
      <c r="H1617" t="s">
        <v>36</v>
      </c>
      <c r="I1617" t="s">
        <v>80</v>
      </c>
      <c r="J1617" t="s">
        <v>78</v>
      </c>
      <c r="K1617" t="s">
        <v>118</v>
      </c>
      <c r="L1617" t="s">
        <v>121</v>
      </c>
      <c r="M1617" t="s">
        <v>124</v>
      </c>
      <c r="N1617" t="s">
        <v>28</v>
      </c>
      <c r="O1617">
        <v>7</v>
      </c>
      <c r="P1617">
        <v>82763</v>
      </c>
      <c r="Q1617">
        <f t="shared" si="28"/>
        <v>8.2763000000000003E-2</v>
      </c>
      <c r="R1617">
        <v>43252</v>
      </c>
      <c r="S1617" t="s">
        <v>122</v>
      </c>
    </row>
    <row r="1618" spans="1:19">
      <c r="A1618">
        <v>60000349</v>
      </c>
      <c r="B1618">
        <v>61</v>
      </c>
      <c r="C1618" t="s">
        <v>18</v>
      </c>
      <c r="D1618" t="s">
        <v>19</v>
      </c>
      <c r="E1618" t="s">
        <v>52</v>
      </c>
      <c r="F1618" t="s">
        <v>21</v>
      </c>
      <c r="G1618" s="23">
        <v>0.36</v>
      </c>
      <c r="H1618" t="s">
        <v>42</v>
      </c>
      <c r="I1618" t="s">
        <v>45</v>
      </c>
      <c r="J1618" t="s">
        <v>58</v>
      </c>
      <c r="K1618" t="s">
        <v>106</v>
      </c>
      <c r="L1618" t="s">
        <v>26</v>
      </c>
      <c r="M1618" t="s">
        <v>124</v>
      </c>
      <c r="N1618" t="s">
        <v>51</v>
      </c>
      <c r="O1618">
        <v>3</v>
      </c>
      <c r="P1618">
        <v>43345</v>
      </c>
      <c r="Q1618">
        <f t="shared" si="28"/>
        <v>4.3345000000000002E-2</v>
      </c>
      <c r="R1618">
        <v>43252</v>
      </c>
      <c r="S1618" t="s">
        <v>122</v>
      </c>
    </row>
    <row r="1619" spans="1:19">
      <c r="A1619">
        <v>60000350</v>
      </c>
      <c r="B1619">
        <v>42</v>
      </c>
      <c r="C1619" t="s">
        <v>33</v>
      </c>
      <c r="D1619" t="s">
        <v>19</v>
      </c>
      <c r="E1619" t="s">
        <v>20</v>
      </c>
      <c r="F1619" t="s">
        <v>21</v>
      </c>
      <c r="G1619" s="23">
        <v>0.32</v>
      </c>
      <c r="H1619" t="s">
        <v>42</v>
      </c>
      <c r="I1619" t="s">
        <v>37</v>
      </c>
      <c r="J1619" t="s">
        <v>66</v>
      </c>
      <c r="K1619" t="s">
        <v>87</v>
      </c>
      <c r="L1619" t="s">
        <v>121</v>
      </c>
      <c r="M1619" t="s">
        <v>124</v>
      </c>
      <c r="N1619" t="s">
        <v>51</v>
      </c>
      <c r="O1619">
        <v>0</v>
      </c>
      <c r="P1619">
        <v>24990</v>
      </c>
      <c r="Q1619">
        <f t="shared" si="28"/>
        <v>2.4989999999999998E-2</v>
      </c>
      <c r="R1619">
        <v>43252</v>
      </c>
      <c r="S1619" t="s">
        <v>122</v>
      </c>
    </row>
    <row r="1620" spans="1:19">
      <c r="A1620">
        <v>60000351</v>
      </c>
      <c r="B1620">
        <v>63</v>
      </c>
      <c r="C1620" t="s">
        <v>18</v>
      </c>
      <c r="D1620" t="s">
        <v>19</v>
      </c>
      <c r="E1620" t="s">
        <v>41</v>
      </c>
      <c r="F1620" t="s">
        <v>21</v>
      </c>
      <c r="G1620" s="23">
        <v>0.18</v>
      </c>
      <c r="H1620" t="s">
        <v>22</v>
      </c>
      <c r="I1620" t="s">
        <v>62</v>
      </c>
      <c r="J1620" t="s">
        <v>58</v>
      </c>
      <c r="K1620" t="s">
        <v>107</v>
      </c>
      <c r="L1620" t="s">
        <v>121</v>
      </c>
      <c r="M1620" t="s">
        <v>124</v>
      </c>
      <c r="N1620" t="s">
        <v>28</v>
      </c>
      <c r="O1620">
        <v>0</v>
      </c>
      <c r="P1620">
        <v>25961</v>
      </c>
      <c r="Q1620">
        <f t="shared" si="28"/>
        <v>2.5961000000000001E-2</v>
      </c>
      <c r="R1620">
        <v>43252</v>
      </c>
      <c r="S1620" t="s">
        <v>122</v>
      </c>
    </row>
    <row r="1621" spans="1:19">
      <c r="A1621">
        <v>60000352</v>
      </c>
      <c r="B1621">
        <v>34</v>
      </c>
      <c r="C1621" t="s">
        <v>18</v>
      </c>
      <c r="D1621" t="s">
        <v>19</v>
      </c>
      <c r="E1621" t="s">
        <v>85</v>
      </c>
      <c r="F1621" t="s">
        <v>21</v>
      </c>
      <c r="G1621" s="23">
        <v>0.38</v>
      </c>
      <c r="H1621" t="s">
        <v>42</v>
      </c>
      <c r="I1621" t="s">
        <v>83</v>
      </c>
      <c r="J1621" t="s">
        <v>74</v>
      </c>
      <c r="K1621" t="s">
        <v>39</v>
      </c>
      <c r="L1621" t="s">
        <v>26</v>
      </c>
      <c r="M1621" t="s">
        <v>124</v>
      </c>
      <c r="N1621" t="s">
        <v>51</v>
      </c>
      <c r="O1621">
        <v>4</v>
      </c>
      <c r="P1621">
        <v>37228</v>
      </c>
      <c r="Q1621">
        <f t="shared" si="28"/>
        <v>3.7227999999999997E-2</v>
      </c>
      <c r="R1621">
        <v>43252</v>
      </c>
      <c r="S1621" t="s">
        <v>122</v>
      </c>
    </row>
    <row r="1622" spans="1:19">
      <c r="A1622">
        <v>60000353</v>
      </c>
      <c r="B1622">
        <v>48</v>
      </c>
      <c r="C1622" t="s">
        <v>33</v>
      </c>
      <c r="D1622" t="s">
        <v>19</v>
      </c>
      <c r="E1622" t="s">
        <v>64</v>
      </c>
      <c r="F1622" t="s">
        <v>21</v>
      </c>
      <c r="G1622" s="23">
        <v>0.28999999999999998</v>
      </c>
      <c r="H1622" t="s">
        <v>53</v>
      </c>
      <c r="I1622" t="s">
        <v>37</v>
      </c>
      <c r="J1622" t="s">
        <v>31</v>
      </c>
      <c r="K1622" t="s">
        <v>32</v>
      </c>
      <c r="L1622" t="s">
        <v>119</v>
      </c>
      <c r="M1622" t="s">
        <v>124</v>
      </c>
      <c r="N1622" t="s">
        <v>51</v>
      </c>
      <c r="O1622">
        <v>0</v>
      </c>
      <c r="P1622">
        <v>26244</v>
      </c>
      <c r="Q1622">
        <f t="shared" si="28"/>
        <v>2.6244E-2</v>
      </c>
      <c r="R1622">
        <v>43252</v>
      </c>
      <c r="S1622" t="s">
        <v>122</v>
      </c>
    </row>
    <row r="1623" spans="1:19">
      <c r="A1623">
        <v>60000354</v>
      </c>
      <c r="B1623">
        <v>53</v>
      </c>
      <c r="C1623" t="s">
        <v>18</v>
      </c>
      <c r="D1623" t="s">
        <v>19</v>
      </c>
      <c r="E1623" t="s">
        <v>52</v>
      </c>
      <c r="F1623" t="s">
        <v>21</v>
      </c>
      <c r="G1623" s="23">
        <v>0.35</v>
      </c>
      <c r="H1623" t="s">
        <v>42</v>
      </c>
      <c r="I1623" t="s">
        <v>49</v>
      </c>
      <c r="J1623" t="s">
        <v>61</v>
      </c>
      <c r="K1623" t="s">
        <v>90</v>
      </c>
      <c r="L1623" t="s">
        <v>121</v>
      </c>
      <c r="M1623" t="s">
        <v>124</v>
      </c>
      <c r="N1623" t="s">
        <v>28</v>
      </c>
      <c r="O1623">
        <v>6</v>
      </c>
      <c r="P1623">
        <v>69760</v>
      </c>
      <c r="Q1623">
        <f t="shared" si="28"/>
        <v>6.9760000000000003E-2</v>
      </c>
      <c r="R1623">
        <v>43252</v>
      </c>
      <c r="S1623" t="s">
        <v>122</v>
      </c>
    </row>
    <row r="1624" spans="1:19">
      <c r="A1624">
        <v>60000355</v>
      </c>
      <c r="B1624">
        <v>52</v>
      </c>
      <c r="C1624" t="s">
        <v>18</v>
      </c>
      <c r="D1624" t="s">
        <v>40</v>
      </c>
      <c r="E1624" t="s">
        <v>64</v>
      </c>
      <c r="F1624" t="s">
        <v>21</v>
      </c>
      <c r="G1624" s="23">
        <v>0.36</v>
      </c>
      <c r="H1624" t="s">
        <v>42</v>
      </c>
      <c r="I1624" t="s">
        <v>60</v>
      </c>
      <c r="J1624" t="s">
        <v>61</v>
      </c>
      <c r="K1624" t="s">
        <v>82</v>
      </c>
      <c r="L1624" t="s">
        <v>26</v>
      </c>
      <c r="M1624" t="s">
        <v>124</v>
      </c>
      <c r="N1624" t="s">
        <v>28</v>
      </c>
      <c r="O1624">
        <v>2</v>
      </c>
      <c r="P1624">
        <v>49433</v>
      </c>
      <c r="Q1624">
        <f t="shared" si="28"/>
        <v>4.9432999999999998E-2</v>
      </c>
      <c r="R1624">
        <v>43252</v>
      </c>
      <c r="S1624" t="s">
        <v>122</v>
      </c>
    </row>
    <row r="1625" spans="1:19">
      <c r="A1625">
        <v>60000356</v>
      </c>
      <c r="B1625">
        <v>30</v>
      </c>
      <c r="C1625" t="s">
        <v>33</v>
      </c>
      <c r="D1625" t="s">
        <v>19</v>
      </c>
      <c r="E1625" t="s">
        <v>41</v>
      </c>
      <c r="F1625" t="s">
        <v>21</v>
      </c>
      <c r="G1625" s="23">
        <v>0.37</v>
      </c>
      <c r="H1625" t="s">
        <v>42</v>
      </c>
      <c r="I1625" t="s">
        <v>65</v>
      </c>
      <c r="J1625" t="s">
        <v>88</v>
      </c>
      <c r="K1625" t="s">
        <v>114</v>
      </c>
      <c r="L1625" t="s">
        <v>26</v>
      </c>
      <c r="M1625" t="s">
        <v>124</v>
      </c>
      <c r="N1625" t="s">
        <v>51</v>
      </c>
      <c r="O1625">
        <v>0</v>
      </c>
      <c r="P1625">
        <v>32841</v>
      </c>
      <c r="Q1625">
        <f t="shared" si="28"/>
        <v>3.2841000000000002E-2</v>
      </c>
      <c r="R1625">
        <v>43252</v>
      </c>
      <c r="S1625" t="s">
        <v>122</v>
      </c>
    </row>
    <row r="1626" spans="1:19">
      <c r="A1626">
        <v>60000357</v>
      </c>
      <c r="B1626">
        <v>55</v>
      </c>
      <c r="C1626" t="s">
        <v>18</v>
      </c>
      <c r="D1626" t="s">
        <v>40</v>
      </c>
      <c r="E1626" t="s">
        <v>34</v>
      </c>
      <c r="F1626" t="s">
        <v>21</v>
      </c>
      <c r="G1626" s="23">
        <v>0.35</v>
      </c>
      <c r="H1626" t="s">
        <v>42</v>
      </c>
      <c r="I1626" t="s">
        <v>68</v>
      </c>
      <c r="J1626" t="s">
        <v>69</v>
      </c>
      <c r="K1626" t="s">
        <v>93</v>
      </c>
      <c r="L1626" t="s">
        <v>26</v>
      </c>
      <c r="M1626" t="s">
        <v>124</v>
      </c>
      <c r="N1626" t="s">
        <v>51</v>
      </c>
      <c r="O1626">
        <v>0</v>
      </c>
      <c r="P1626">
        <v>26497</v>
      </c>
      <c r="Q1626">
        <f t="shared" si="28"/>
        <v>2.6497E-2</v>
      </c>
      <c r="R1626">
        <v>43252</v>
      </c>
      <c r="S1626" t="s">
        <v>122</v>
      </c>
    </row>
    <row r="1627" spans="1:19">
      <c r="A1627">
        <v>60000358</v>
      </c>
      <c r="B1627">
        <v>42</v>
      </c>
      <c r="C1627" t="s">
        <v>18</v>
      </c>
      <c r="D1627" t="s">
        <v>19</v>
      </c>
      <c r="E1627" t="s">
        <v>85</v>
      </c>
      <c r="F1627" t="s">
        <v>21</v>
      </c>
      <c r="G1627" s="23">
        <v>0.37</v>
      </c>
      <c r="H1627" t="s">
        <v>42</v>
      </c>
      <c r="I1627" t="s">
        <v>83</v>
      </c>
      <c r="J1627" t="s">
        <v>31</v>
      </c>
      <c r="K1627" t="s">
        <v>55</v>
      </c>
      <c r="L1627" t="s">
        <v>26</v>
      </c>
      <c r="M1627" t="s">
        <v>124</v>
      </c>
      <c r="N1627" t="s">
        <v>28</v>
      </c>
      <c r="O1627">
        <v>3</v>
      </c>
      <c r="P1627">
        <v>24475</v>
      </c>
      <c r="Q1627">
        <f t="shared" si="28"/>
        <v>2.4475E-2</v>
      </c>
      <c r="R1627">
        <v>43252</v>
      </c>
      <c r="S1627" t="s">
        <v>122</v>
      </c>
    </row>
    <row r="1628" spans="1:19">
      <c r="A1628">
        <v>60000359</v>
      </c>
      <c r="B1628">
        <v>60</v>
      </c>
      <c r="C1628" t="s">
        <v>18</v>
      </c>
      <c r="D1628" t="s">
        <v>19</v>
      </c>
      <c r="E1628" t="s">
        <v>85</v>
      </c>
      <c r="F1628" t="s">
        <v>21</v>
      </c>
      <c r="G1628" s="23">
        <v>0.35</v>
      </c>
      <c r="H1628" t="s">
        <v>42</v>
      </c>
      <c r="I1628" t="s">
        <v>86</v>
      </c>
      <c r="J1628" t="s">
        <v>24</v>
      </c>
      <c r="K1628" t="s">
        <v>60</v>
      </c>
      <c r="L1628" t="s">
        <v>121</v>
      </c>
      <c r="M1628" t="s">
        <v>124</v>
      </c>
      <c r="N1628" t="s">
        <v>28</v>
      </c>
      <c r="O1628">
        <v>0</v>
      </c>
      <c r="P1628">
        <v>61193</v>
      </c>
      <c r="Q1628">
        <f t="shared" si="28"/>
        <v>6.1192999999999997E-2</v>
      </c>
      <c r="R1628">
        <v>43252</v>
      </c>
      <c r="S1628" t="s">
        <v>122</v>
      </c>
    </row>
    <row r="1629" spans="1:19">
      <c r="A1629">
        <v>60000360</v>
      </c>
      <c r="B1629">
        <v>36</v>
      </c>
      <c r="C1629" t="s">
        <v>33</v>
      </c>
      <c r="D1629" t="s">
        <v>40</v>
      </c>
      <c r="E1629" t="s">
        <v>72</v>
      </c>
      <c r="F1629" t="s">
        <v>21</v>
      </c>
      <c r="G1629" s="23">
        <v>0.14000000000000001</v>
      </c>
      <c r="H1629" t="s">
        <v>22</v>
      </c>
      <c r="I1629" t="s">
        <v>80</v>
      </c>
      <c r="J1629" t="s">
        <v>66</v>
      </c>
      <c r="K1629" t="s">
        <v>25</v>
      </c>
      <c r="L1629" t="s">
        <v>26</v>
      </c>
      <c r="M1629" t="s">
        <v>124</v>
      </c>
      <c r="N1629" t="s">
        <v>28</v>
      </c>
      <c r="O1629">
        <v>6</v>
      </c>
      <c r="P1629">
        <v>55051</v>
      </c>
      <c r="Q1629">
        <f t="shared" si="28"/>
        <v>5.5051000000000003E-2</v>
      </c>
      <c r="R1629">
        <v>43252</v>
      </c>
      <c r="S1629" t="s">
        <v>122</v>
      </c>
    </row>
    <row r="1630" spans="1:19">
      <c r="A1630">
        <v>60000361</v>
      </c>
      <c r="B1630">
        <v>42</v>
      </c>
      <c r="C1630" t="s">
        <v>18</v>
      </c>
      <c r="D1630" t="s">
        <v>19</v>
      </c>
      <c r="E1630" t="s">
        <v>41</v>
      </c>
      <c r="F1630" t="s">
        <v>21</v>
      </c>
      <c r="G1630" s="23">
        <v>0.28000000000000003</v>
      </c>
      <c r="H1630" t="s">
        <v>53</v>
      </c>
      <c r="I1630" t="s">
        <v>23</v>
      </c>
      <c r="J1630" t="s">
        <v>24</v>
      </c>
      <c r="K1630" t="s">
        <v>94</v>
      </c>
      <c r="L1630" t="s">
        <v>119</v>
      </c>
      <c r="M1630" t="s">
        <v>124</v>
      </c>
      <c r="N1630" t="s">
        <v>28</v>
      </c>
      <c r="O1630">
        <v>0</v>
      </c>
      <c r="P1630">
        <v>36268</v>
      </c>
      <c r="Q1630">
        <f t="shared" si="28"/>
        <v>3.6268000000000002E-2</v>
      </c>
      <c r="R1630">
        <v>43252</v>
      </c>
      <c r="S1630" t="s">
        <v>122</v>
      </c>
    </row>
    <row r="1631" spans="1:19">
      <c r="A1631">
        <v>60000362</v>
      </c>
      <c r="B1631">
        <v>26</v>
      </c>
      <c r="C1631" t="s">
        <v>18</v>
      </c>
      <c r="D1631" t="s">
        <v>40</v>
      </c>
      <c r="E1631" t="s">
        <v>41</v>
      </c>
      <c r="F1631" t="s">
        <v>21</v>
      </c>
      <c r="G1631" s="23">
        <v>0.21</v>
      </c>
      <c r="H1631" t="s">
        <v>29</v>
      </c>
      <c r="I1631" t="s">
        <v>73</v>
      </c>
      <c r="J1631" t="s">
        <v>61</v>
      </c>
      <c r="K1631" t="s">
        <v>117</v>
      </c>
      <c r="L1631" t="s">
        <v>121</v>
      </c>
      <c r="M1631" t="s">
        <v>124</v>
      </c>
      <c r="N1631" t="s">
        <v>51</v>
      </c>
      <c r="O1631">
        <v>5</v>
      </c>
      <c r="P1631">
        <v>62522</v>
      </c>
      <c r="Q1631">
        <f t="shared" si="28"/>
        <v>6.2521999999999994E-2</v>
      </c>
      <c r="R1631">
        <v>43252</v>
      </c>
      <c r="S1631" t="s">
        <v>122</v>
      </c>
    </row>
    <row r="1632" spans="1:19">
      <c r="A1632">
        <v>60000363</v>
      </c>
      <c r="B1632">
        <v>56</v>
      </c>
      <c r="C1632" t="s">
        <v>18</v>
      </c>
      <c r="D1632" t="s">
        <v>40</v>
      </c>
      <c r="E1632" t="s">
        <v>44</v>
      </c>
      <c r="F1632" t="s">
        <v>21</v>
      </c>
      <c r="G1632" s="23">
        <v>0.16</v>
      </c>
      <c r="H1632" t="s">
        <v>22</v>
      </c>
      <c r="I1632" t="s">
        <v>45</v>
      </c>
      <c r="J1632" t="s">
        <v>31</v>
      </c>
      <c r="K1632" t="s">
        <v>114</v>
      </c>
      <c r="L1632" t="s">
        <v>26</v>
      </c>
      <c r="M1632" t="s">
        <v>124</v>
      </c>
      <c r="N1632" t="s">
        <v>51</v>
      </c>
      <c r="O1632">
        <v>0</v>
      </c>
      <c r="P1632">
        <v>74630</v>
      </c>
      <c r="Q1632">
        <f t="shared" si="28"/>
        <v>7.4630000000000002E-2</v>
      </c>
      <c r="R1632">
        <v>43252</v>
      </c>
      <c r="S1632" t="s">
        <v>122</v>
      </c>
    </row>
    <row r="1633" spans="1:19">
      <c r="A1633">
        <v>60000364</v>
      </c>
      <c r="B1633">
        <v>28</v>
      </c>
      <c r="C1633" t="s">
        <v>18</v>
      </c>
      <c r="D1633" t="s">
        <v>40</v>
      </c>
      <c r="E1633" t="s">
        <v>56</v>
      </c>
      <c r="F1633" t="s">
        <v>21</v>
      </c>
      <c r="G1633" s="23">
        <v>0.14000000000000001</v>
      </c>
      <c r="H1633" t="s">
        <v>22</v>
      </c>
      <c r="I1633" t="s">
        <v>60</v>
      </c>
      <c r="J1633" t="s">
        <v>61</v>
      </c>
      <c r="K1633" t="s">
        <v>63</v>
      </c>
      <c r="L1633" t="s">
        <v>121</v>
      </c>
      <c r="M1633" t="s">
        <v>124</v>
      </c>
      <c r="N1633" t="s">
        <v>51</v>
      </c>
      <c r="O1633">
        <v>0</v>
      </c>
      <c r="P1633">
        <v>39889</v>
      </c>
      <c r="Q1633">
        <f t="shared" si="28"/>
        <v>3.9889000000000001E-2</v>
      </c>
      <c r="R1633">
        <v>43252</v>
      </c>
      <c r="S1633" t="s">
        <v>122</v>
      </c>
    </row>
    <row r="1634" spans="1:19">
      <c r="A1634">
        <v>60000365</v>
      </c>
      <c r="B1634">
        <v>37</v>
      </c>
      <c r="C1634" t="s">
        <v>33</v>
      </c>
      <c r="D1634" t="s">
        <v>40</v>
      </c>
      <c r="E1634" t="s">
        <v>34</v>
      </c>
      <c r="F1634" t="s">
        <v>21</v>
      </c>
      <c r="G1634" s="23">
        <v>0.28999999999999998</v>
      </c>
      <c r="H1634" t="s">
        <v>53</v>
      </c>
      <c r="I1634" t="s">
        <v>23</v>
      </c>
      <c r="J1634" t="s">
        <v>88</v>
      </c>
      <c r="K1634" t="s">
        <v>77</v>
      </c>
      <c r="L1634" t="s">
        <v>119</v>
      </c>
      <c r="M1634" t="s">
        <v>124</v>
      </c>
      <c r="N1634" t="s">
        <v>51</v>
      </c>
      <c r="O1634">
        <v>5</v>
      </c>
      <c r="P1634">
        <v>27928</v>
      </c>
      <c r="Q1634">
        <f t="shared" si="28"/>
        <v>2.7928000000000001E-2</v>
      </c>
      <c r="R1634">
        <v>43252</v>
      </c>
      <c r="S1634" t="s">
        <v>122</v>
      </c>
    </row>
    <row r="1635" spans="1:19">
      <c r="A1635">
        <v>60000366</v>
      </c>
      <c r="B1635">
        <v>60</v>
      </c>
      <c r="C1635" t="s">
        <v>18</v>
      </c>
      <c r="D1635" t="s">
        <v>40</v>
      </c>
      <c r="E1635" t="s">
        <v>67</v>
      </c>
      <c r="F1635" t="s">
        <v>21</v>
      </c>
      <c r="G1635" s="23">
        <v>0.25</v>
      </c>
      <c r="H1635" t="s">
        <v>53</v>
      </c>
      <c r="I1635" t="s">
        <v>68</v>
      </c>
      <c r="J1635" t="s">
        <v>61</v>
      </c>
      <c r="K1635" t="s">
        <v>103</v>
      </c>
      <c r="L1635" t="s">
        <v>26</v>
      </c>
      <c r="M1635" t="s">
        <v>124</v>
      </c>
      <c r="N1635" t="s">
        <v>51</v>
      </c>
      <c r="O1635">
        <v>1</v>
      </c>
      <c r="P1635">
        <v>49493</v>
      </c>
      <c r="Q1635">
        <f t="shared" si="28"/>
        <v>4.9493000000000002E-2</v>
      </c>
      <c r="R1635">
        <v>43252</v>
      </c>
      <c r="S1635" t="s">
        <v>122</v>
      </c>
    </row>
    <row r="1636" spans="1:19">
      <c r="A1636">
        <v>60000367</v>
      </c>
      <c r="B1636">
        <v>44</v>
      </c>
      <c r="C1636" t="s">
        <v>18</v>
      </c>
      <c r="D1636" t="s">
        <v>40</v>
      </c>
      <c r="E1636" t="s">
        <v>85</v>
      </c>
      <c r="F1636" t="s">
        <v>21</v>
      </c>
      <c r="G1636" s="23">
        <v>0.16</v>
      </c>
      <c r="H1636" t="s">
        <v>22</v>
      </c>
      <c r="I1636" t="s">
        <v>62</v>
      </c>
      <c r="J1636" t="s">
        <v>54</v>
      </c>
      <c r="K1636" t="s">
        <v>104</v>
      </c>
      <c r="L1636" t="s">
        <v>26</v>
      </c>
      <c r="M1636" t="s">
        <v>124</v>
      </c>
      <c r="N1636" t="s">
        <v>28</v>
      </c>
      <c r="O1636">
        <v>0</v>
      </c>
      <c r="P1636">
        <v>64826</v>
      </c>
      <c r="Q1636">
        <f t="shared" si="28"/>
        <v>6.4825999999999995E-2</v>
      </c>
      <c r="R1636">
        <v>43252</v>
      </c>
      <c r="S1636" t="s">
        <v>122</v>
      </c>
    </row>
    <row r="1637" spans="1:19">
      <c r="A1637">
        <v>60000368</v>
      </c>
      <c r="B1637">
        <v>36</v>
      </c>
      <c r="C1637" t="s">
        <v>18</v>
      </c>
      <c r="D1637" t="s">
        <v>19</v>
      </c>
      <c r="E1637" t="s">
        <v>75</v>
      </c>
      <c r="F1637" t="s">
        <v>21</v>
      </c>
      <c r="G1637" s="23">
        <v>0.14000000000000001</v>
      </c>
      <c r="H1637" t="s">
        <v>22</v>
      </c>
      <c r="I1637" t="s">
        <v>23</v>
      </c>
      <c r="J1637" t="s">
        <v>91</v>
      </c>
      <c r="K1637" t="s">
        <v>112</v>
      </c>
      <c r="L1637" t="s">
        <v>121</v>
      </c>
      <c r="M1637" t="s">
        <v>124</v>
      </c>
      <c r="N1637" t="s">
        <v>28</v>
      </c>
      <c r="O1637">
        <v>3</v>
      </c>
      <c r="P1637">
        <v>54304</v>
      </c>
      <c r="Q1637">
        <f t="shared" si="28"/>
        <v>5.4303999999999998E-2</v>
      </c>
      <c r="R1637">
        <v>43252</v>
      </c>
      <c r="S1637" t="s">
        <v>122</v>
      </c>
    </row>
    <row r="1638" spans="1:19">
      <c r="A1638">
        <v>60000369</v>
      </c>
      <c r="B1638">
        <v>56</v>
      </c>
      <c r="C1638" t="s">
        <v>33</v>
      </c>
      <c r="D1638" t="s">
        <v>40</v>
      </c>
      <c r="E1638" t="s">
        <v>75</v>
      </c>
      <c r="F1638" t="s">
        <v>21</v>
      </c>
      <c r="G1638" s="23">
        <v>0.28999999999999998</v>
      </c>
      <c r="H1638" t="s">
        <v>53</v>
      </c>
      <c r="I1638" t="s">
        <v>23</v>
      </c>
      <c r="J1638" t="s">
        <v>61</v>
      </c>
      <c r="K1638" t="s">
        <v>94</v>
      </c>
      <c r="L1638" t="s">
        <v>121</v>
      </c>
      <c r="M1638" t="s">
        <v>124</v>
      </c>
      <c r="N1638" t="s">
        <v>51</v>
      </c>
      <c r="O1638">
        <v>0</v>
      </c>
      <c r="P1638">
        <v>80617</v>
      </c>
      <c r="Q1638">
        <f t="shared" si="28"/>
        <v>8.0616999999999994E-2</v>
      </c>
      <c r="R1638">
        <v>43252</v>
      </c>
      <c r="S1638" t="s">
        <v>122</v>
      </c>
    </row>
    <row r="1639" spans="1:19">
      <c r="A1639">
        <v>60000370</v>
      </c>
      <c r="B1639">
        <v>26</v>
      </c>
      <c r="C1639" t="s">
        <v>18</v>
      </c>
      <c r="D1639" t="s">
        <v>19</v>
      </c>
      <c r="E1639" t="s">
        <v>20</v>
      </c>
      <c r="F1639" t="s">
        <v>21</v>
      </c>
      <c r="G1639" s="23">
        <v>0.19</v>
      </c>
      <c r="H1639" t="s">
        <v>29</v>
      </c>
      <c r="I1639" t="s">
        <v>45</v>
      </c>
      <c r="J1639" t="s">
        <v>24</v>
      </c>
      <c r="K1639" t="s">
        <v>110</v>
      </c>
      <c r="L1639" t="s">
        <v>121</v>
      </c>
      <c r="M1639" t="s">
        <v>124</v>
      </c>
      <c r="N1639" t="s">
        <v>28</v>
      </c>
      <c r="O1639">
        <v>0</v>
      </c>
      <c r="P1639">
        <v>74854</v>
      </c>
      <c r="Q1639">
        <f t="shared" si="28"/>
        <v>7.4854000000000004E-2</v>
      </c>
      <c r="R1639">
        <v>43252</v>
      </c>
      <c r="S1639" t="s">
        <v>122</v>
      </c>
    </row>
    <row r="1640" spans="1:19">
      <c r="A1640">
        <v>60000371</v>
      </c>
      <c r="B1640">
        <v>46</v>
      </c>
      <c r="C1640" t="s">
        <v>33</v>
      </c>
      <c r="D1640" t="s">
        <v>40</v>
      </c>
      <c r="E1640" t="s">
        <v>34</v>
      </c>
      <c r="F1640" t="s">
        <v>21</v>
      </c>
      <c r="G1640" s="23">
        <v>0.16</v>
      </c>
      <c r="H1640" t="s">
        <v>22</v>
      </c>
      <c r="I1640" t="s">
        <v>49</v>
      </c>
      <c r="J1640" t="s">
        <v>91</v>
      </c>
      <c r="K1640" t="s">
        <v>89</v>
      </c>
      <c r="L1640" t="s">
        <v>119</v>
      </c>
      <c r="M1640" t="s">
        <v>124</v>
      </c>
      <c r="N1640" t="s">
        <v>28</v>
      </c>
      <c r="O1640">
        <v>0</v>
      </c>
      <c r="P1640">
        <v>49343</v>
      </c>
      <c r="Q1640">
        <f t="shared" si="28"/>
        <v>4.9342999999999998E-2</v>
      </c>
      <c r="R1640">
        <v>43252</v>
      </c>
      <c r="S1640" t="s">
        <v>122</v>
      </c>
    </row>
    <row r="1641" spans="1:19">
      <c r="A1641">
        <v>60000372</v>
      </c>
      <c r="B1641">
        <v>31</v>
      </c>
      <c r="C1641" t="s">
        <v>33</v>
      </c>
      <c r="D1641" t="s">
        <v>40</v>
      </c>
      <c r="E1641" t="s">
        <v>85</v>
      </c>
      <c r="F1641" t="s">
        <v>21</v>
      </c>
      <c r="G1641" s="23">
        <v>0.16</v>
      </c>
      <c r="H1641" t="s">
        <v>22</v>
      </c>
      <c r="I1641" t="s">
        <v>80</v>
      </c>
      <c r="J1641" t="s">
        <v>54</v>
      </c>
      <c r="K1641" t="s">
        <v>93</v>
      </c>
      <c r="L1641" t="s">
        <v>121</v>
      </c>
      <c r="M1641" t="s">
        <v>124</v>
      </c>
      <c r="N1641" t="s">
        <v>51</v>
      </c>
      <c r="O1641">
        <v>4</v>
      </c>
      <c r="P1641">
        <v>80425</v>
      </c>
      <c r="Q1641">
        <f t="shared" si="28"/>
        <v>8.0424999999999996E-2</v>
      </c>
      <c r="R1641">
        <v>43252</v>
      </c>
      <c r="S1641" t="s">
        <v>122</v>
      </c>
    </row>
    <row r="1642" spans="1:19">
      <c r="A1642">
        <v>60000373</v>
      </c>
      <c r="B1642">
        <v>21</v>
      </c>
      <c r="C1642" t="s">
        <v>33</v>
      </c>
      <c r="D1642" t="s">
        <v>19</v>
      </c>
      <c r="E1642" t="s">
        <v>56</v>
      </c>
      <c r="F1642" t="s">
        <v>21</v>
      </c>
      <c r="G1642" s="23">
        <v>0.19</v>
      </c>
      <c r="H1642" t="s">
        <v>29</v>
      </c>
      <c r="I1642" t="s">
        <v>30</v>
      </c>
      <c r="J1642" t="s">
        <v>74</v>
      </c>
      <c r="K1642" t="s">
        <v>97</v>
      </c>
      <c r="L1642" t="s">
        <v>26</v>
      </c>
      <c r="M1642" t="s">
        <v>124</v>
      </c>
      <c r="N1642" t="s">
        <v>28</v>
      </c>
      <c r="O1642">
        <v>0</v>
      </c>
      <c r="P1642">
        <v>28635</v>
      </c>
      <c r="Q1642">
        <f t="shared" si="28"/>
        <v>2.8635000000000001E-2</v>
      </c>
      <c r="R1642">
        <v>43252</v>
      </c>
      <c r="S1642" t="s">
        <v>122</v>
      </c>
    </row>
    <row r="1643" spans="1:19">
      <c r="A1643">
        <v>60000374</v>
      </c>
      <c r="B1643">
        <v>51</v>
      </c>
      <c r="C1643" t="s">
        <v>18</v>
      </c>
      <c r="D1643" t="s">
        <v>19</v>
      </c>
      <c r="E1643" t="s">
        <v>44</v>
      </c>
      <c r="F1643" t="s">
        <v>21</v>
      </c>
      <c r="G1643" s="23">
        <v>0.26</v>
      </c>
      <c r="H1643" t="s">
        <v>53</v>
      </c>
      <c r="I1643" t="s">
        <v>60</v>
      </c>
      <c r="J1643" t="s">
        <v>91</v>
      </c>
      <c r="K1643" t="s">
        <v>95</v>
      </c>
      <c r="L1643" t="s">
        <v>121</v>
      </c>
      <c r="M1643" t="s">
        <v>124</v>
      </c>
      <c r="N1643" t="s">
        <v>51</v>
      </c>
      <c r="O1643">
        <v>0</v>
      </c>
      <c r="P1643">
        <v>28074</v>
      </c>
      <c r="Q1643">
        <f t="shared" si="28"/>
        <v>2.8074000000000002E-2</v>
      </c>
      <c r="R1643">
        <v>43252</v>
      </c>
      <c r="S1643" t="s">
        <v>122</v>
      </c>
    </row>
    <row r="1644" spans="1:19">
      <c r="A1644">
        <v>60000375</v>
      </c>
      <c r="B1644">
        <v>64</v>
      </c>
      <c r="C1644" t="s">
        <v>33</v>
      </c>
      <c r="D1644" t="s">
        <v>19</v>
      </c>
      <c r="E1644" t="s">
        <v>56</v>
      </c>
      <c r="F1644" t="s">
        <v>21</v>
      </c>
      <c r="G1644" s="23">
        <v>0.34</v>
      </c>
      <c r="H1644" t="s">
        <v>42</v>
      </c>
      <c r="I1644" t="s">
        <v>60</v>
      </c>
      <c r="J1644" t="s">
        <v>88</v>
      </c>
      <c r="K1644" t="s">
        <v>96</v>
      </c>
      <c r="L1644" t="s">
        <v>119</v>
      </c>
      <c r="M1644" t="s">
        <v>124</v>
      </c>
      <c r="N1644" t="s">
        <v>28</v>
      </c>
      <c r="O1644">
        <v>3</v>
      </c>
      <c r="P1644">
        <v>68445</v>
      </c>
      <c r="Q1644">
        <f t="shared" si="28"/>
        <v>6.8445000000000006E-2</v>
      </c>
      <c r="R1644">
        <v>43252</v>
      </c>
      <c r="S1644" t="s">
        <v>122</v>
      </c>
    </row>
    <row r="1645" spans="1:19">
      <c r="A1645">
        <v>60000376</v>
      </c>
      <c r="B1645">
        <v>21</v>
      </c>
      <c r="C1645" t="s">
        <v>33</v>
      </c>
      <c r="D1645" t="s">
        <v>40</v>
      </c>
      <c r="E1645" t="s">
        <v>64</v>
      </c>
      <c r="F1645" t="s">
        <v>21</v>
      </c>
      <c r="G1645" s="23">
        <v>0.25</v>
      </c>
      <c r="H1645" t="s">
        <v>53</v>
      </c>
      <c r="I1645" t="s">
        <v>68</v>
      </c>
      <c r="J1645" t="s">
        <v>91</v>
      </c>
      <c r="K1645" t="s">
        <v>113</v>
      </c>
      <c r="L1645" t="s">
        <v>119</v>
      </c>
      <c r="M1645" t="s">
        <v>124</v>
      </c>
      <c r="N1645" t="s">
        <v>28</v>
      </c>
      <c r="O1645">
        <v>0</v>
      </c>
      <c r="P1645">
        <v>84067</v>
      </c>
      <c r="Q1645">
        <f t="shared" si="28"/>
        <v>8.4067000000000003E-2</v>
      </c>
      <c r="R1645">
        <v>43252</v>
      </c>
      <c r="S1645" t="s">
        <v>122</v>
      </c>
    </row>
    <row r="1646" spans="1:19">
      <c r="A1646">
        <v>60000377</v>
      </c>
      <c r="B1646">
        <v>50</v>
      </c>
      <c r="C1646" t="s">
        <v>18</v>
      </c>
      <c r="D1646" t="s">
        <v>40</v>
      </c>
      <c r="E1646" t="s">
        <v>20</v>
      </c>
      <c r="F1646" t="s">
        <v>21</v>
      </c>
      <c r="G1646" s="23">
        <v>0.11</v>
      </c>
      <c r="H1646" t="s">
        <v>36</v>
      </c>
      <c r="I1646" t="s">
        <v>70</v>
      </c>
      <c r="J1646" t="s">
        <v>78</v>
      </c>
      <c r="K1646" t="s">
        <v>115</v>
      </c>
      <c r="L1646" t="s">
        <v>26</v>
      </c>
      <c r="M1646" t="s">
        <v>124</v>
      </c>
      <c r="N1646" t="s">
        <v>28</v>
      </c>
      <c r="O1646">
        <v>0</v>
      </c>
      <c r="P1646">
        <v>83731</v>
      </c>
      <c r="Q1646">
        <f t="shared" si="28"/>
        <v>8.3731E-2</v>
      </c>
      <c r="R1646">
        <v>43252</v>
      </c>
      <c r="S1646" t="s">
        <v>122</v>
      </c>
    </row>
    <row r="1647" spans="1:19">
      <c r="A1647">
        <v>60000378</v>
      </c>
      <c r="B1647">
        <v>39</v>
      </c>
      <c r="C1647" t="s">
        <v>33</v>
      </c>
      <c r="D1647" t="s">
        <v>40</v>
      </c>
      <c r="E1647" t="s">
        <v>52</v>
      </c>
      <c r="F1647" t="s">
        <v>21</v>
      </c>
      <c r="G1647" s="23">
        <v>0.27</v>
      </c>
      <c r="H1647" t="s">
        <v>53</v>
      </c>
      <c r="I1647" t="s">
        <v>80</v>
      </c>
      <c r="J1647" t="s">
        <v>88</v>
      </c>
      <c r="K1647" t="s">
        <v>101</v>
      </c>
      <c r="L1647" t="s">
        <v>26</v>
      </c>
      <c r="M1647" t="s">
        <v>124</v>
      </c>
      <c r="N1647" t="s">
        <v>28</v>
      </c>
      <c r="O1647">
        <v>1</v>
      </c>
      <c r="P1647">
        <v>28557</v>
      </c>
      <c r="Q1647">
        <f t="shared" si="28"/>
        <v>2.8556999999999999E-2</v>
      </c>
      <c r="R1647">
        <v>43252</v>
      </c>
      <c r="S1647" t="s">
        <v>122</v>
      </c>
    </row>
    <row r="1648" spans="1:19">
      <c r="A1648">
        <v>60000379</v>
      </c>
      <c r="B1648">
        <v>38</v>
      </c>
      <c r="C1648" t="s">
        <v>33</v>
      </c>
      <c r="D1648" t="s">
        <v>19</v>
      </c>
      <c r="E1648" t="s">
        <v>20</v>
      </c>
      <c r="F1648" t="s">
        <v>21</v>
      </c>
      <c r="G1648" s="23">
        <v>0.35</v>
      </c>
      <c r="H1648" t="s">
        <v>42</v>
      </c>
      <c r="I1648" t="s">
        <v>65</v>
      </c>
      <c r="J1648" t="s">
        <v>91</v>
      </c>
      <c r="K1648" t="s">
        <v>43</v>
      </c>
      <c r="L1648" t="s">
        <v>121</v>
      </c>
      <c r="M1648" t="s">
        <v>124</v>
      </c>
      <c r="N1648" t="s">
        <v>28</v>
      </c>
      <c r="O1648">
        <v>5</v>
      </c>
      <c r="P1648">
        <v>79614</v>
      </c>
      <c r="Q1648">
        <f t="shared" si="28"/>
        <v>7.9614000000000004E-2</v>
      </c>
      <c r="R1648">
        <v>43252</v>
      </c>
      <c r="S1648" t="s">
        <v>122</v>
      </c>
    </row>
    <row r="1649" spans="1:19">
      <c r="A1649">
        <v>60000380</v>
      </c>
      <c r="B1649">
        <v>34</v>
      </c>
      <c r="C1649" t="s">
        <v>18</v>
      </c>
      <c r="D1649" t="s">
        <v>19</v>
      </c>
      <c r="E1649" t="s">
        <v>52</v>
      </c>
      <c r="F1649" t="s">
        <v>21</v>
      </c>
      <c r="G1649" s="23">
        <v>0.3</v>
      </c>
      <c r="H1649" t="s">
        <v>53</v>
      </c>
      <c r="I1649" t="s">
        <v>70</v>
      </c>
      <c r="J1649" t="s">
        <v>61</v>
      </c>
      <c r="K1649" t="s">
        <v>96</v>
      </c>
      <c r="L1649" t="s">
        <v>119</v>
      </c>
      <c r="M1649" t="s">
        <v>124</v>
      </c>
      <c r="N1649" t="s">
        <v>28</v>
      </c>
      <c r="O1649">
        <v>0</v>
      </c>
      <c r="P1649">
        <v>54684</v>
      </c>
      <c r="Q1649">
        <f t="shared" si="28"/>
        <v>5.4684000000000003E-2</v>
      </c>
      <c r="R1649">
        <v>43252</v>
      </c>
      <c r="S1649" t="s">
        <v>122</v>
      </c>
    </row>
    <row r="1650" spans="1:19">
      <c r="A1650">
        <v>60000381</v>
      </c>
      <c r="B1650">
        <v>57</v>
      </c>
      <c r="C1650" t="s">
        <v>33</v>
      </c>
      <c r="D1650" t="s">
        <v>19</v>
      </c>
      <c r="E1650" t="s">
        <v>52</v>
      </c>
      <c r="F1650" t="s">
        <v>21</v>
      </c>
      <c r="G1650" s="23">
        <v>0.31</v>
      </c>
      <c r="H1650" t="s">
        <v>53</v>
      </c>
      <c r="I1650" t="s">
        <v>70</v>
      </c>
      <c r="J1650" t="s">
        <v>31</v>
      </c>
      <c r="K1650" t="s">
        <v>100</v>
      </c>
      <c r="L1650" t="s">
        <v>121</v>
      </c>
      <c r="M1650" t="s">
        <v>124</v>
      </c>
      <c r="N1650" t="s">
        <v>51</v>
      </c>
      <c r="O1650">
        <v>7</v>
      </c>
      <c r="P1650">
        <v>27227</v>
      </c>
      <c r="Q1650">
        <f t="shared" si="28"/>
        <v>2.7227000000000001E-2</v>
      </c>
      <c r="R1650">
        <v>43252</v>
      </c>
      <c r="S1650" t="s">
        <v>122</v>
      </c>
    </row>
    <row r="1651" spans="1:19">
      <c r="A1651">
        <v>60000382</v>
      </c>
      <c r="B1651">
        <v>47</v>
      </c>
      <c r="C1651" t="s">
        <v>33</v>
      </c>
      <c r="D1651" t="s">
        <v>19</v>
      </c>
      <c r="E1651" t="s">
        <v>67</v>
      </c>
      <c r="F1651" t="s">
        <v>21</v>
      </c>
      <c r="G1651" s="23">
        <v>0.13</v>
      </c>
      <c r="H1651" t="s">
        <v>22</v>
      </c>
      <c r="I1651" t="s">
        <v>68</v>
      </c>
      <c r="J1651" t="s">
        <v>54</v>
      </c>
      <c r="K1651" t="s">
        <v>62</v>
      </c>
      <c r="L1651" t="s">
        <v>119</v>
      </c>
      <c r="M1651" t="s">
        <v>124</v>
      </c>
      <c r="N1651" t="s">
        <v>51</v>
      </c>
      <c r="O1651">
        <v>0</v>
      </c>
      <c r="P1651">
        <v>32045</v>
      </c>
      <c r="Q1651">
        <f t="shared" si="28"/>
        <v>3.2044999999999997E-2</v>
      </c>
      <c r="R1651">
        <v>43252</v>
      </c>
      <c r="S1651" t="s">
        <v>122</v>
      </c>
    </row>
    <row r="1652" spans="1:19">
      <c r="A1652">
        <v>60000383</v>
      </c>
      <c r="B1652">
        <v>36</v>
      </c>
      <c r="C1652" t="s">
        <v>18</v>
      </c>
      <c r="D1652" t="s">
        <v>40</v>
      </c>
      <c r="E1652" t="s">
        <v>85</v>
      </c>
      <c r="F1652" t="s">
        <v>21</v>
      </c>
      <c r="G1652" s="23">
        <v>0.28000000000000003</v>
      </c>
      <c r="H1652" t="s">
        <v>53</v>
      </c>
      <c r="I1652" t="s">
        <v>37</v>
      </c>
      <c r="J1652" t="s">
        <v>88</v>
      </c>
      <c r="K1652" t="s">
        <v>107</v>
      </c>
      <c r="L1652" t="s">
        <v>121</v>
      </c>
      <c r="M1652" t="s">
        <v>124</v>
      </c>
      <c r="N1652" t="s">
        <v>51</v>
      </c>
      <c r="O1652">
        <v>0</v>
      </c>
      <c r="P1652">
        <v>25551</v>
      </c>
      <c r="Q1652">
        <f t="shared" si="28"/>
        <v>2.5551000000000001E-2</v>
      </c>
      <c r="R1652">
        <v>43252</v>
      </c>
      <c r="S1652" t="s">
        <v>122</v>
      </c>
    </row>
    <row r="1653" spans="1:19">
      <c r="A1653">
        <v>60000384</v>
      </c>
      <c r="B1653">
        <v>21</v>
      </c>
      <c r="C1653" t="s">
        <v>18</v>
      </c>
      <c r="D1653" t="s">
        <v>40</v>
      </c>
      <c r="E1653" t="s">
        <v>52</v>
      </c>
      <c r="F1653" t="s">
        <v>21</v>
      </c>
      <c r="G1653" s="23">
        <v>0.2</v>
      </c>
      <c r="H1653" t="s">
        <v>29</v>
      </c>
      <c r="I1653" t="s">
        <v>60</v>
      </c>
      <c r="J1653" t="s">
        <v>54</v>
      </c>
      <c r="K1653" t="s">
        <v>90</v>
      </c>
      <c r="L1653" t="s">
        <v>26</v>
      </c>
      <c r="M1653" t="s">
        <v>124</v>
      </c>
      <c r="N1653" t="s">
        <v>28</v>
      </c>
      <c r="O1653">
        <v>0</v>
      </c>
      <c r="P1653">
        <v>43464</v>
      </c>
      <c r="Q1653">
        <f t="shared" si="28"/>
        <v>4.3464000000000003E-2</v>
      </c>
      <c r="R1653">
        <v>43252</v>
      </c>
      <c r="S1653" t="s">
        <v>122</v>
      </c>
    </row>
    <row r="1654" spans="1:19">
      <c r="A1654">
        <v>60000385</v>
      </c>
      <c r="B1654">
        <v>21</v>
      </c>
      <c r="C1654" t="s">
        <v>33</v>
      </c>
      <c r="D1654" t="s">
        <v>40</v>
      </c>
      <c r="E1654" t="s">
        <v>85</v>
      </c>
      <c r="F1654" t="s">
        <v>21</v>
      </c>
      <c r="G1654" s="23">
        <v>0.3</v>
      </c>
      <c r="H1654" t="s">
        <v>53</v>
      </c>
      <c r="I1654" t="s">
        <v>57</v>
      </c>
      <c r="J1654" t="s">
        <v>46</v>
      </c>
      <c r="K1654" t="s">
        <v>62</v>
      </c>
      <c r="L1654" t="s">
        <v>121</v>
      </c>
      <c r="M1654" t="s">
        <v>124</v>
      </c>
      <c r="N1654" t="s">
        <v>28</v>
      </c>
      <c r="O1654">
        <v>5</v>
      </c>
      <c r="P1654">
        <v>41890</v>
      </c>
      <c r="Q1654">
        <f t="shared" si="28"/>
        <v>4.1889999999999997E-2</v>
      </c>
      <c r="R1654">
        <v>43252</v>
      </c>
      <c r="S1654" t="s">
        <v>122</v>
      </c>
    </row>
    <row r="1655" spans="1:19">
      <c r="A1655">
        <v>60000386</v>
      </c>
      <c r="B1655">
        <v>36</v>
      </c>
      <c r="C1655" t="s">
        <v>33</v>
      </c>
      <c r="D1655" t="s">
        <v>19</v>
      </c>
      <c r="E1655" t="s">
        <v>52</v>
      </c>
      <c r="F1655" t="s">
        <v>21</v>
      </c>
      <c r="G1655" s="23">
        <v>0.17</v>
      </c>
      <c r="H1655" t="s">
        <v>22</v>
      </c>
      <c r="I1655" t="s">
        <v>65</v>
      </c>
      <c r="J1655" t="s">
        <v>24</v>
      </c>
      <c r="K1655" t="s">
        <v>111</v>
      </c>
      <c r="L1655" t="s">
        <v>119</v>
      </c>
      <c r="M1655" t="s">
        <v>124</v>
      </c>
      <c r="N1655" t="s">
        <v>51</v>
      </c>
      <c r="O1655">
        <v>7</v>
      </c>
      <c r="P1655">
        <v>36063</v>
      </c>
      <c r="Q1655">
        <f t="shared" si="28"/>
        <v>3.6062999999999998E-2</v>
      </c>
      <c r="R1655">
        <v>43252</v>
      </c>
      <c r="S1655" t="s">
        <v>122</v>
      </c>
    </row>
    <row r="1656" spans="1:19">
      <c r="A1656">
        <v>60000387</v>
      </c>
      <c r="B1656">
        <v>52</v>
      </c>
      <c r="C1656" t="s">
        <v>18</v>
      </c>
      <c r="D1656" t="s">
        <v>19</v>
      </c>
      <c r="E1656" t="s">
        <v>85</v>
      </c>
      <c r="F1656" t="s">
        <v>21</v>
      </c>
      <c r="G1656" s="23">
        <v>0.24</v>
      </c>
      <c r="H1656" t="s">
        <v>29</v>
      </c>
      <c r="I1656" t="s">
        <v>70</v>
      </c>
      <c r="J1656" t="s">
        <v>78</v>
      </c>
      <c r="K1656" t="s">
        <v>60</v>
      </c>
      <c r="L1656" t="s">
        <v>26</v>
      </c>
      <c r="M1656" t="s">
        <v>124</v>
      </c>
      <c r="N1656" t="s">
        <v>51</v>
      </c>
      <c r="O1656">
        <v>0</v>
      </c>
      <c r="P1656">
        <v>80040</v>
      </c>
      <c r="Q1656">
        <f t="shared" si="28"/>
        <v>8.004E-2</v>
      </c>
      <c r="R1656">
        <v>43252</v>
      </c>
      <c r="S1656" t="s">
        <v>122</v>
      </c>
    </row>
    <row r="1657" spans="1:19">
      <c r="A1657">
        <v>60000388</v>
      </c>
      <c r="B1657">
        <v>47</v>
      </c>
      <c r="C1657" t="s">
        <v>33</v>
      </c>
      <c r="D1657" t="s">
        <v>40</v>
      </c>
      <c r="E1657" t="s">
        <v>41</v>
      </c>
      <c r="F1657" t="s">
        <v>21</v>
      </c>
      <c r="G1657" s="23">
        <v>0.32</v>
      </c>
      <c r="H1657" t="s">
        <v>42</v>
      </c>
      <c r="I1657" t="s">
        <v>80</v>
      </c>
      <c r="J1657" t="s">
        <v>66</v>
      </c>
      <c r="K1657" t="s">
        <v>82</v>
      </c>
      <c r="L1657" t="s">
        <v>121</v>
      </c>
      <c r="M1657" t="s">
        <v>124</v>
      </c>
      <c r="N1657" t="s">
        <v>51</v>
      </c>
      <c r="O1657">
        <v>1</v>
      </c>
      <c r="P1657">
        <v>72998</v>
      </c>
      <c r="Q1657">
        <f t="shared" si="28"/>
        <v>7.2997999999999993E-2</v>
      </c>
      <c r="R1657">
        <v>43252</v>
      </c>
      <c r="S1657" t="s">
        <v>122</v>
      </c>
    </row>
    <row r="1658" spans="1:19">
      <c r="A1658">
        <v>60000389</v>
      </c>
      <c r="B1658">
        <v>44</v>
      </c>
      <c r="C1658" t="s">
        <v>33</v>
      </c>
      <c r="D1658" t="s">
        <v>19</v>
      </c>
      <c r="E1658" t="s">
        <v>64</v>
      </c>
      <c r="F1658" t="s">
        <v>21</v>
      </c>
      <c r="G1658" s="23">
        <v>0.12</v>
      </c>
      <c r="H1658" t="s">
        <v>22</v>
      </c>
      <c r="I1658" t="s">
        <v>86</v>
      </c>
      <c r="J1658" t="s">
        <v>61</v>
      </c>
      <c r="K1658" t="s">
        <v>111</v>
      </c>
      <c r="L1658" t="s">
        <v>121</v>
      </c>
      <c r="M1658" t="s">
        <v>124</v>
      </c>
      <c r="N1658" t="s">
        <v>51</v>
      </c>
      <c r="O1658">
        <v>0</v>
      </c>
      <c r="P1658">
        <v>66477</v>
      </c>
      <c r="Q1658">
        <f t="shared" si="28"/>
        <v>6.6476999999999994E-2</v>
      </c>
      <c r="R1658">
        <v>43252</v>
      </c>
      <c r="S1658" t="s">
        <v>122</v>
      </c>
    </row>
    <row r="1659" spans="1:19">
      <c r="A1659">
        <v>60000390</v>
      </c>
      <c r="B1659">
        <v>23</v>
      </c>
      <c r="C1659" t="s">
        <v>33</v>
      </c>
      <c r="D1659" t="s">
        <v>40</v>
      </c>
      <c r="E1659" t="s">
        <v>52</v>
      </c>
      <c r="F1659" t="s">
        <v>21</v>
      </c>
      <c r="G1659" s="23">
        <v>0.13</v>
      </c>
      <c r="H1659" t="s">
        <v>22</v>
      </c>
      <c r="I1659" t="s">
        <v>65</v>
      </c>
      <c r="J1659" t="s">
        <v>88</v>
      </c>
      <c r="K1659" t="s">
        <v>49</v>
      </c>
      <c r="L1659" t="s">
        <v>121</v>
      </c>
      <c r="M1659" t="s">
        <v>124</v>
      </c>
      <c r="N1659" t="s">
        <v>28</v>
      </c>
      <c r="O1659">
        <v>7</v>
      </c>
      <c r="P1659">
        <v>48518</v>
      </c>
      <c r="Q1659">
        <f t="shared" si="28"/>
        <v>4.8517999999999999E-2</v>
      </c>
      <c r="R1659">
        <v>43252</v>
      </c>
      <c r="S1659" t="s">
        <v>122</v>
      </c>
    </row>
    <row r="1660" spans="1:19">
      <c r="A1660">
        <v>60000391</v>
      </c>
      <c r="B1660">
        <v>37</v>
      </c>
      <c r="C1660" t="s">
        <v>18</v>
      </c>
      <c r="D1660" t="s">
        <v>19</v>
      </c>
      <c r="E1660" t="s">
        <v>56</v>
      </c>
      <c r="F1660" t="s">
        <v>21</v>
      </c>
      <c r="G1660" s="23">
        <v>0.14000000000000001</v>
      </c>
      <c r="H1660" t="s">
        <v>22</v>
      </c>
      <c r="I1660" t="s">
        <v>60</v>
      </c>
      <c r="J1660" t="s">
        <v>58</v>
      </c>
      <c r="K1660" t="s">
        <v>77</v>
      </c>
      <c r="L1660" t="s">
        <v>119</v>
      </c>
      <c r="M1660" t="s">
        <v>124</v>
      </c>
      <c r="N1660" t="s">
        <v>28</v>
      </c>
      <c r="O1660">
        <v>4</v>
      </c>
      <c r="P1660">
        <v>34127</v>
      </c>
      <c r="Q1660">
        <f t="shared" si="28"/>
        <v>3.4126999999999998E-2</v>
      </c>
      <c r="R1660">
        <v>43252</v>
      </c>
      <c r="S1660" t="s">
        <v>122</v>
      </c>
    </row>
    <row r="1661" spans="1:19">
      <c r="A1661">
        <v>60000392</v>
      </c>
      <c r="B1661">
        <v>47</v>
      </c>
      <c r="C1661" t="s">
        <v>18</v>
      </c>
      <c r="D1661" t="s">
        <v>19</v>
      </c>
      <c r="E1661" t="s">
        <v>20</v>
      </c>
      <c r="F1661" t="s">
        <v>21</v>
      </c>
      <c r="G1661" s="23">
        <v>0.21</v>
      </c>
      <c r="H1661" t="s">
        <v>29</v>
      </c>
      <c r="I1661" t="s">
        <v>37</v>
      </c>
      <c r="J1661" t="s">
        <v>88</v>
      </c>
      <c r="K1661" t="s">
        <v>117</v>
      </c>
      <c r="L1661" t="s">
        <v>26</v>
      </c>
      <c r="M1661" t="s">
        <v>124</v>
      </c>
      <c r="N1661" t="s">
        <v>28</v>
      </c>
      <c r="O1661">
        <v>0</v>
      </c>
      <c r="P1661">
        <v>64482</v>
      </c>
      <c r="Q1661">
        <f t="shared" si="28"/>
        <v>6.4481999999999998E-2</v>
      </c>
      <c r="R1661">
        <v>43252</v>
      </c>
      <c r="S1661" t="s">
        <v>122</v>
      </c>
    </row>
    <row r="1662" spans="1:19">
      <c r="A1662">
        <v>60000393</v>
      </c>
      <c r="B1662">
        <v>44</v>
      </c>
      <c r="C1662" t="s">
        <v>33</v>
      </c>
      <c r="D1662" t="s">
        <v>40</v>
      </c>
      <c r="E1662" t="s">
        <v>34</v>
      </c>
      <c r="F1662" t="s">
        <v>21</v>
      </c>
      <c r="G1662" s="23">
        <v>0.21</v>
      </c>
      <c r="H1662" t="s">
        <v>29</v>
      </c>
      <c r="I1662" t="s">
        <v>86</v>
      </c>
      <c r="J1662" t="s">
        <v>78</v>
      </c>
      <c r="K1662" t="s">
        <v>39</v>
      </c>
      <c r="L1662" t="s">
        <v>119</v>
      </c>
      <c r="M1662" t="s">
        <v>124</v>
      </c>
      <c r="N1662" t="s">
        <v>51</v>
      </c>
      <c r="O1662">
        <v>6</v>
      </c>
      <c r="P1662">
        <v>54672</v>
      </c>
      <c r="Q1662">
        <f t="shared" si="28"/>
        <v>5.4671999999999998E-2</v>
      </c>
      <c r="R1662">
        <v>43252</v>
      </c>
      <c r="S1662" t="s">
        <v>122</v>
      </c>
    </row>
    <row r="1663" spans="1:19">
      <c r="A1663">
        <v>60000394</v>
      </c>
      <c r="B1663">
        <v>45</v>
      </c>
      <c r="C1663" t="s">
        <v>33</v>
      </c>
      <c r="D1663" t="s">
        <v>40</v>
      </c>
      <c r="E1663" t="s">
        <v>85</v>
      </c>
      <c r="F1663" t="s">
        <v>21</v>
      </c>
      <c r="G1663" s="23">
        <v>0.17</v>
      </c>
      <c r="H1663" t="s">
        <v>22</v>
      </c>
      <c r="I1663" t="s">
        <v>68</v>
      </c>
      <c r="J1663" t="s">
        <v>88</v>
      </c>
      <c r="K1663" t="s">
        <v>82</v>
      </c>
      <c r="L1663" t="s">
        <v>121</v>
      </c>
      <c r="M1663" t="s">
        <v>124</v>
      </c>
      <c r="N1663" t="s">
        <v>51</v>
      </c>
      <c r="O1663">
        <v>4</v>
      </c>
      <c r="P1663">
        <v>51554</v>
      </c>
      <c r="Q1663">
        <f t="shared" si="28"/>
        <v>5.1554000000000003E-2</v>
      </c>
      <c r="R1663">
        <v>43252</v>
      </c>
      <c r="S1663" t="s">
        <v>122</v>
      </c>
    </row>
    <row r="1664" spans="1:19">
      <c r="A1664">
        <v>60000395</v>
      </c>
      <c r="B1664">
        <v>25</v>
      </c>
      <c r="C1664" t="s">
        <v>33</v>
      </c>
      <c r="D1664" t="s">
        <v>19</v>
      </c>
      <c r="E1664" t="s">
        <v>64</v>
      </c>
      <c r="F1664" t="s">
        <v>21</v>
      </c>
      <c r="G1664" s="23">
        <v>0.37</v>
      </c>
      <c r="H1664" t="s">
        <v>42</v>
      </c>
      <c r="I1664" t="s">
        <v>73</v>
      </c>
      <c r="J1664" t="s">
        <v>38</v>
      </c>
      <c r="K1664" t="s">
        <v>101</v>
      </c>
      <c r="L1664" t="s">
        <v>26</v>
      </c>
      <c r="M1664" t="s">
        <v>124</v>
      </c>
      <c r="N1664" t="s">
        <v>51</v>
      </c>
      <c r="O1664">
        <v>0</v>
      </c>
      <c r="P1664">
        <v>44090</v>
      </c>
      <c r="Q1664">
        <f t="shared" si="28"/>
        <v>4.4089999999999997E-2</v>
      </c>
      <c r="R1664">
        <v>43252</v>
      </c>
      <c r="S1664" t="s">
        <v>122</v>
      </c>
    </row>
    <row r="1665" spans="1:19">
      <c r="A1665">
        <v>60000396</v>
      </c>
      <c r="B1665">
        <v>31</v>
      </c>
      <c r="C1665" t="s">
        <v>18</v>
      </c>
      <c r="D1665" t="s">
        <v>40</v>
      </c>
      <c r="E1665" t="s">
        <v>52</v>
      </c>
      <c r="F1665" t="s">
        <v>21</v>
      </c>
      <c r="G1665" s="23">
        <v>0.23</v>
      </c>
      <c r="H1665" t="s">
        <v>29</v>
      </c>
      <c r="I1665" t="s">
        <v>73</v>
      </c>
      <c r="J1665" t="s">
        <v>24</v>
      </c>
      <c r="K1665" t="s">
        <v>101</v>
      </c>
      <c r="L1665" t="s">
        <v>26</v>
      </c>
      <c r="M1665" t="s">
        <v>124</v>
      </c>
      <c r="N1665" t="s">
        <v>51</v>
      </c>
      <c r="O1665">
        <v>0</v>
      </c>
      <c r="P1665">
        <v>81393</v>
      </c>
      <c r="Q1665">
        <f t="shared" si="28"/>
        <v>8.1392999999999993E-2</v>
      </c>
      <c r="R1665">
        <v>43252</v>
      </c>
      <c r="S1665" t="s">
        <v>122</v>
      </c>
    </row>
    <row r="1666" spans="1:19">
      <c r="A1666">
        <v>60000397</v>
      </c>
      <c r="B1666">
        <v>44</v>
      </c>
      <c r="C1666" t="s">
        <v>33</v>
      </c>
      <c r="D1666" t="s">
        <v>40</v>
      </c>
      <c r="E1666" t="s">
        <v>75</v>
      </c>
      <c r="F1666" t="s">
        <v>21</v>
      </c>
      <c r="G1666" s="23">
        <v>0.33</v>
      </c>
      <c r="H1666" t="s">
        <v>42</v>
      </c>
      <c r="I1666" t="s">
        <v>80</v>
      </c>
      <c r="J1666" t="s">
        <v>24</v>
      </c>
      <c r="K1666" t="s">
        <v>112</v>
      </c>
      <c r="L1666" t="s">
        <v>26</v>
      </c>
      <c r="M1666" t="s">
        <v>124</v>
      </c>
      <c r="N1666" t="s">
        <v>51</v>
      </c>
      <c r="O1666">
        <v>1</v>
      </c>
      <c r="P1666">
        <v>35847</v>
      </c>
      <c r="Q1666">
        <f t="shared" si="28"/>
        <v>3.5846999999999997E-2</v>
      </c>
      <c r="R1666">
        <v>43252</v>
      </c>
      <c r="S1666" t="s">
        <v>122</v>
      </c>
    </row>
    <row r="1667" spans="1:19">
      <c r="A1667">
        <v>60000398</v>
      </c>
      <c r="B1667">
        <v>31</v>
      </c>
      <c r="C1667" t="s">
        <v>33</v>
      </c>
      <c r="D1667" t="s">
        <v>40</v>
      </c>
      <c r="E1667" t="s">
        <v>56</v>
      </c>
      <c r="F1667" t="s">
        <v>21</v>
      </c>
      <c r="G1667" s="23">
        <v>0.27</v>
      </c>
      <c r="H1667" t="s">
        <v>53</v>
      </c>
      <c r="I1667" t="s">
        <v>80</v>
      </c>
      <c r="J1667" t="s">
        <v>66</v>
      </c>
      <c r="K1667" t="s">
        <v>113</v>
      </c>
      <c r="L1667" t="s">
        <v>26</v>
      </c>
      <c r="M1667" t="s">
        <v>124</v>
      </c>
      <c r="N1667" t="s">
        <v>51</v>
      </c>
      <c r="O1667">
        <v>3</v>
      </c>
      <c r="P1667">
        <v>73014</v>
      </c>
      <c r="Q1667">
        <f t="shared" si="28"/>
        <v>7.3013999999999996E-2</v>
      </c>
      <c r="R1667">
        <v>43252</v>
      </c>
      <c r="S1667" t="s">
        <v>122</v>
      </c>
    </row>
    <row r="1668" spans="1:19">
      <c r="A1668">
        <v>60000399</v>
      </c>
      <c r="B1668">
        <v>40</v>
      </c>
      <c r="C1668" t="s">
        <v>18</v>
      </c>
      <c r="D1668" t="s">
        <v>19</v>
      </c>
      <c r="E1668" t="s">
        <v>48</v>
      </c>
      <c r="F1668" t="s">
        <v>21</v>
      </c>
      <c r="G1668" s="23">
        <v>0.16</v>
      </c>
      <c r="H1668" t="s">
        <v>22</v>
      </c>
      <c r="I1668" t="s">
        <v>83</v>
      </c>
      <c r="J1668" t="s">
        <v>31</v>
      </c>
      <c r="K1668" t="s">
        <v>111</v>
      </c>
      <c r="L1668" t="s">
        <v>26</v>
      </c>
      <c r="M1668" t="s">
        <v>124</v>
      </c>
      <c r="N1668" t="s">
        <v>28</v>
      </c>
      <c r="O1668">
        <v>2</v>
      </c>
      <c r="P1668">
        <v>48965</v>
      </c>
      <c r="Q1668">
        <f t="shared" ref="Q1668:Q1731" si="29">+P1668/1000000</f>
        <v>4.8965000000000002E-2</v>
      </c>
      <c r="R1668">
        <v>43252</v>
      </c>
      <c r="S1668" t="s">
        <v>122</v>
      </c>
    </row>
    <row r="1669" spans="1:19">
      <c r="A1669">
        <v>60000400</v>
      </c>
      <c r="B1669">
        <v>20</v>
      </c>
      <c r="C1669" t="s">
        <v>18</v>
      </c>
      <c r="D1669" t="s">
        <v>19</v>
      </c>
      <c r="E1669" t="s">
        <v>44</v>
      </c>
      <c r="F1669" t="s">
        <v>21</v>
      </c>
      <c r="G1669" s="23">
        <v>0.15</v>
      </c>
      <c r="H1669" t="s">
        <v>22</v>
      </c>
      <c r="I1669" t="s">
        <v>83</v>
      </c>
      <c r="J1669" t="s">
        <v>88</v>
      </c>
      <c r="K1669" t="s">
        <v>62</v>
      </c>
      <c r="L1669" t="s">
        <v>119</v>
      </c>
      <c r="M1669" t="s">
        <v>124</v>
      </c>
      <c r="N1669" t="s">
        <v>51</v>
      </c>
      <c r="O1669">
        <v>0</v>
      </c>
      <c r="P1669">
        <v>23504</v>
      </c>
      <c r="Q1669">
        <f t="shared" si="29"/>
        <v>2.3504000000000001E-2</v>
      </c>
      <c r="R1669">
        <v>43252</v>
      </c>
      <c r="S1669" t="s">
        <v>122</v>
      </c>
    </row>
    <row r="1670" spans="1:19">
      <c r="A1670">
        <v>60000401</v>
      </c>
      <c r="B1670">
        <v>27</v>
      </c>
      <c r="C1670" t="s">
        <v>18</v>
      </c>
      <c r="D1670" t="s">
        <v>19</v>
      </c>
      <c r="E1670" t="s">
        <v>85</v>
      </c>
      <c r="F1670" t="s">
        <v>21</v>
      </c>
      <c r="G1670" s="23">
        <v>0.12</v>
      </c>
      <c r="H1670" t="s">
        <v>22</v>
      </c>
      <c r="I1670" t="s">
        <v>76</v>
      </c>
      <c r="J1670" t="s">
        <v>74</v>
      </c>
      <c r="K1670" t="s">
        <v>99</v>
      </c>
      <c r="L1670" t="s">
        <v>26</v>
      </c>
      <c r="M1670" t="s">
        <v>124</v>
      </c>
      <c r="N1670" t="s">
        <v>28</v>
      </c>
      <c r="O1670">
        <v>0</v>
      </c>
      <c r="P1670">
        <v>28997</v>
      </c>
      <c r="Q1670">
        <f t="shared" si="29"/>
        <v>2.8996999999999998E-2</v>
      </c>
      <c r="R1670">
        <v>43252</v>
      </c>
      <c r="S1670" t="s">
        <v>122</v>
      </c>
    </row>
    <row r="1671" spans="1:19">
      <c r="A1671">
        <v>60000402</v>
      </c>
      <c r="B1671">
        <v>20</v>
      </c>
      <c r="C1671" t="s">
        <v>33</v>
      </c>
      <c r="D1671" t="s">
        <v>40</v>
      </c>
      <c r="E1671" t="s">
        <v>52</v>
      </c>
      <c r="F1671" t="s">
        <v>21</v>
      </c>
      <c r="G1671" s="23">
        <v>0.37</v>
      </c>
      <c r="H1671" t="s">
        <v>42</v>
      </c>
      <c r="I1671" t="s">
        <v>70</v>
      </c>
      <c r="J1671" t="s">
        <v>78</v>
      </c>
      <c r="K1671" t="s">
        <v>84</v>
      </c>
      <c r="L1671" t="s">
        <v>26</v>
      </c>
      <c r="M1671" t="s">
        <v>124</v>
      </c>
      <c r="N1671" t="s">
        <v>51</v>
      </c>
      <c r="O1671">
        <v>0</v>
      </c>
      <c r="P1671">
        <v>29285</v>
      </c>
      <c r="Q1671">
        <f t="shared" si="29"/>
        <v>2.9284999999999999E-2</v>
      </c>
      <c r="R1671">
        <v>43252</v>
      </c>
      <c r="S1671" t="s">
        <v>122</v>
      </c>
    </row>
    <row r="1672" spans="1:19">
      <c r="A1672">
        <v>60000403</v>
      </c>
      <c r="B1672">
        <v>58</v>
      </c>
      <c r="C1672" t="s">
        <v>18</v>
      </c>
      <c r="D1672" t="s">
        <v>19</v>
      </c>
      <c r="E1672" t="s">
        <v>48</v>
      </c>
      <c r="F1672" t="s">
        <v>21</v>
      </c>
      <c r="G1672" s="23">
        <v>0.14000000000000001</v>
      </c>
      <c r="H1672" t="s">
        <v>22</v>
      </c>
      <c r="I1672" t="s">
        <v>70</v>
      </c>
      <c r="J1672" t="s">
        <v>78</v>
      </c>
      <c r="K1672" t="s">
        <v>103</v>
      </c>
      <c r="L1672" t="s">
        <v>121</v>
      </c>
      <c r="M1672" t="s">
        <v>124</v>
      </c>
      <c r="N1672" t="s">
        <v>28</v>
      </c>
      <c r="O1672">
        <v>0</v>
      </c>
      <c r="P1672">
        <v>47552</v>
      </c>
      <c r="Q1672">
        <f t="shared" si="29"/>
        <v>4.7551999999999997E-2</v>
      </c>
      <c r="R1672">
        <v>43252</v>
      </c>
      <c r="S1672" t="s">
        <v>122</v>
      </c>
    </row>
    <row r="1673" spans="1:19">
      <c r="A1673">
        <v>60000404</v>
      </c>
      <c r="B1673">
        <v>49</v>
      </c>
      <c r="C1673" t="s">
        <v>33</v>
      </c>
      <c r="D1673" t="s">
        <v>19</v>
      </c>
      <c r="E1673" t="s">
        <v>34</v>
      </c>
      <c r="F1673" t="s">
        <v>21</v>
      </c>
      <c r="G1673" s="23">
        <v>0.36</v>
      </c>
      <c r="H1673" t="s">
        <v>42</v>
      </c>
      <c r="I1673" t="s">
        <v>80</v>
      </c>
      <c r="J1673" t="s">
        <v>66</v>
      </c>
      <c r="K1673" t="s">
        <v>104</v>
      </c>
      <c r="L1673" t="s">
        <v>121</v>
      </c>
      <c r="M1673" t="s">
        <v>124</v>
      </c>
      <c r="N1673" t="s">
        <v>51</v>
      </c>
      <c r="O1673">
        <v>7</v>
      </c>
      <c r="P1673">
        <v>69505</v>
      </c>
      <c r="Q1673">
        <f t="shared" si="29"/>
        <v>6.9504999999999997E-2</v>
      </c>
      <c r="R1673">
        <v>43252</v>
      </c>
      <c r="S1673" t="s">
        <v>122</v>
      </c>
    </row>
    <row r="1674" spans="1:19">
      <c r="A1674">
        <v>60000405</v>
      </c>
      <c r="B1674">
        <v>59</v>
      </c>
      <c r="C1674" t="s">
        <v>18</v>
      </c>
      <c r="D1674" t="s">
        <v>40</v>
      </c>
      <c r="E1674" t="s">
        <v>52</v>
      </c>
      <c r="F1674" t="s">
        <v>21</v>
      </c>
      <c r="G1674" s="23">
        <v>0.12</v>
      </c>
      <c r="H1674" t="s">
        <v>22</v>
      </c>
      <c r="I1674" t="s">
        <v>80</v>
      </c>
      <c r="J1674" t="s">
        <v>24</v>
      </c>
      <c r="K1674" t="s">
        <v>49</v>
      </c>
      <c r="L1674" t="s">
        <v>121</v>
      </c>
      <c r="M1674" t="s">
        <v>124</v>
      </c>
      <c r="N1674" t="s">
        <v>51</v>
      </c>
      <c r="O1674">
        <v>0</v>
      </c>
      <c r="P1674">
        <v>67632</v>
      </c>
      <c r="Q1674">
        <f t="shared" si="29"/>
        <v>6.7631999999999998E-2</v>
      </c>
      <c r="R1674">
        <v>43252</v>
      </c>
      <c r="S1674" t="s">
        <v>122</v>
      </c>
    </row>
    <row r="1675" spans="1:19">
      <c r="A1675">
        <v>60000406</v>
      </c>
      <c r="B1675">
        <v>20</v>
      </c>
      <c r="C1675" t="s">
        <v>33</v>
      </c>
      <c r="D1675" t="s">
        <v>19</v>
      </c>
      <c r="E1675" t="s">
        <v>41</v>
      </c>
      <c r="F1675" t="s">
        <v>21</v>
      </c>
      <c r="G1675" s="23">
        <v>0.21</v>
      </c>
      <c r="H1675" t="s">
        <v>29</v>
      </c>
      <c r="I1675" t="s">
        <v>45</v>
      </c>
      <c r="J1675" t="s">
        <v>91</v>
      </c>
      <c r="K1675" t="s">
        <v>106</v>
      </c>
      <c r="L1675" t="s">
        <v>119</v>
      </c>
      <c r="M1675" t="s">
        <v>124</v>
      </c>
      <c r="N1675" t="s">
        <v>28</v>
      </c>
      <c r="O1675">
        <v>0</v>
      </c>
      <c r="P1675">
        <v>60132</v>
      </c>
      <c r="Q1675">
        <f t="shared" si="29"/>
        <v>6.0131999999999998E-2</v>
      </c>
      <c r="R1675">
        <v>43252</v>
      </c>
      <c r="S1675" t="s">
        <v>122</v>
      </c>
    </row>
    <row r="1676" spans="1:19">
      <c r="A1676">
        <v>60000407</v>
      </c>
      <c r="B1676">
        <v>36</v>
      </c>
      <c r="C1676" t="s">
        <v>33</v>
      </c>
      <c r="D1676" t="s">
        <v>40</v>
      </c>
      <c r="E1676" t="s">
        <v>64</v>
      </c>
      <c r="F1676" t="s">
        <v>21</v>
      </c>
      <c r="G1676" s="23">
        <v>0.38</v>
      </c>
      <c r="H1676" t="s">
        <v>42</v>
      </c>
      <c r="I1676" t="s">
        <v>37</v>
      </c>
      <c r="J1676" t="s">
        <v>46</v>
      </c>
      <c r="K1676" t="s">
        <v>107</v>
      </c>
      <c r="L1676" t="s">
        <v>26</v>
      </c>
      <c r="M1676" t="s">
        <v>124</v>
      </c>
      <c r="N1676" t="s">
        <v>51</v>
      </c>
      <c r="O1676">
        <v>6</v>
      </c>
      <c r="P1676">
        <v>81351</v>
      </c>
      <c r="Q1676">
        <f t="shared" si="29"/>
        <v>8.1351000000000007E-2</v>
      </c>
      <c r="R1676">
        <v>43252</v>
      </c>
      <c r="S1676" t="s">
        <v>122</v>
      </c>
    </row>
    <row r="1677" spans="1:19">
      <c r="A1677">
        <v>60000408</v>
      </c>
      <c r="B1677">
        <v>62</v>
      </c>
      <c r="C1677" t="s">
        <v>18</v>
      </c>
      <c r="D1677" t="s">
        <v>19</v>
      </c>
      <c r="E1677" t="s">
        <v>34</v>
      </c>
      <c r="F1677" t="s">
        <v>21</v>
      </c>
      <c r="G1677" s="23">
        <v>0.32</v>
      </c>
      <c r="H1677" t="s">
        <v>42</v>
      </c>
      <c r="I1677" t="s">
        <v>37</v>
      </c>
      <c r="J1677" t="s">
        <v>58</v>
      </c>
      <c r="K1677" t="s">
        <v>62</v>
      </c>
      <c r="L1677" t="s">
        <v>26</v>
      </c>
      <c r="M1677" t="s">
        <v>124</v>
      </c>
      <c r="N1677" t="s">
        <v>51</v>
      </c>
      <c r="O1677">
        <v>1</v>
      </c>
      <c r="P1677">
        <v>56880</v>
      </c>
      <c r="Q1677">
        <f t="shared" si="29"/>
        <v>5.688E-2</v>
      </c>
      <c r="R1677">
        <v>43252</v>
      </c>
      <c r="S1677" t="s">
        <v>122</v>
      </c>
    </row>
    <row r="1678" spans="1:19">
      <c r="A1678">
        <v>60000409</v>
      </c>
      <c r="B1678">
        <v>37</v>
      </c>
      <c r="C1678" t="s">
        <v>33</v>
      </c>
      <c r="D1678" t="s">
        <v>40</v>
      </c>
      <c r="E1678" t="s">
        <v>41</v>
      </c>
      <c r="F1678" t="s">
        <v>21</v>
      </c>
      <c r="G1678" s="23">
        <v>0.3</v>
      </c>
      <c r="H1678" t="s">
        <v>53</v>
      </c>
      <c r="I1678" t="s">
        <v>70</v>
      </c>
      <c r="J1678" t="s">
        <v>54</v>
      </c>
      <c r="K1678" t="s">
        <v>111</v>
      </c>
      <c r="L1678" t="s">
        <v>119</v>
      </c>
      <c r="M1678" t="s">
        <v>124</v>
      </c>
      <c r="N1678" t="s">
        <v>28</v>
      </c>
      <c r="O1678">
        <v>1</v>
      </c>
      <c r="P1678">
        <v>58453</v>
      </c>
      <c r="Q1678">
        <f t="shared" si="29"/>
        <v>5.8452999999999998E-2</v>
      </c>
      <c r="R1678">
        <v>43252</v>
      </c>
      <c r="S1678" t="s">
        <v>122</v>
      </c>
    </row>
    <row r="1679" spans="1:19">
      <c r="A1679">
        <v>60000410</v>
      </c>
      <c r="B1679">
        <v>54</v>
      </c>
      <c r="C1679" t="s">
        <v>33</v>
      </c>
      <c r="D1679" t="s">
        <v>40</v>
      </c>
      <c r="E1679" t="s">
        <v>20</v>
      </c>
      <c r="F1679" t="s">
        <v>21</v>
      </c>
      <c r="G1679" s="23">
        <v>0.2</v>
      </c>
      <c r="H1679" t="s">
        <v>29</v>
      </c>
      <c r="I1679" t="s">
        <v>65</v>
      </c>
      <c r="J1679" t="s">
        <v>61</v>
      </c>
      <c r="K1679" t="s">
        <v>92</v>
      </c>
      <c r="L1679" t="s">
        <v>119</v>
      </c>
      <c r="M1679" t="s">
        <v>124</v>
      </c>
      <c r="N1679" t="s">
        <v>51</v>
      </c>
      <c r="O1679">
        <v>5</v>
      </c>
      <c r="P1679">
        <v>67984</v>
      </c>
      <c r="Q1679">
        <f t="shared" si="29"/>
        <v>6.7984000000000003E-2</v>
      </c>
      <c r="R1679">
        <v>43252</v>
      </c>
      <c r="S1679" t="s">
        <v>122</v>
      </c>
    </row>
    <row r="1680" spans="1:19">
      <c r="A1680">
        <v>60000411</v>
      </c>
      <c r="B1680">
        <v>55</v>
      </c>
      <c r="C1680" t="s">
        <v>18</v>
      </c>
      <c r="D1680" t="s">
        <v>19</v>
      </c>
      <c r="E1680" t="s">
        <v>44</v>
      </c>
      <c r="F1680" t="s">
        <v>21</v>
      </c>
      <c r="G1680" s="23">
        <v>0.32</v>
      </c>
      <c r="H1680" t="s">
        <v>42</v>
      </c>
      <c r="I1680" t="s">
        <v>83</v>
      </c>
      <c r="J1680" t="s">
        <v>61</v>
      </c>
      <c r="K1680" t="s">
        <v>90</v>
      </c>
      <c r="L1680" t="s">
        <v>26</v>
      </c>
      <c r="M1680" t="s">
        <v>124</v>
      </c>
      <c r="N1680" t="s">
        <v>28</v>
      </c>
      <c r="O1680">
        <v>1</v>
      </c>
      <c r="P1680">
        <v>72612</v>
      </c>
      <c r="Q1680">
        <f t="shared" si="29"/>
        <v>7.2611999999999996E-2</v>
      </c>
      <c r="R1680">
        <v>43252</v>
      </c>
      <c r="S1680" t="s">
        <v>122</v>
      </c>
    </row>
    <row r="1681" spans="1:19">
      <c r="A1681">
        <v>60000412</v>
      </c>
      <c r="B1681">
        <v>30</v>
      </c>
      <c r="C1681" t="s">
        <v>33</v>
      </c>
      <c r="D1681" t="s">
        <v>40</v>
      </c>
      <c r="E1681" t="s">
        <v>72</v>
      </c>
      <c r="F1681" t="s">
        <v>21</v>
      </c>
      <c r="G1681" s="23">
        <v>0.33</v>
      </c>
      <c r="H1681" t="s">
        <v>42</v>
      </c>
      <c r="I1681" t="s">
        <v>86</v>
      </c>
      <c r="J1681" t="s">
        <v>54</v>
      </c>
      <c r="K1681" t="s">
        <v>102</v>
      </c>
      <c r="L1681" t="s">
        <v>121</v>
      </c>
      <c r="M1681" t="s">
        <v>124</v>
      </c>
      <c r="N1681" t="s">
        <v>51</v>
      </c>
      <c r="O1681">
        <v>0</v>
      </c>
      <c r="P1681">
        <v>27132</v>
      </c>
      <c r="Q1681">
        <f t="shared" si="29"/>
        <v>2.7132E-2</v>
      </c>
      <c r="R1681">
        <v>43252</v>
      </c>
      <c r="S1681" t="s">
        <v>122</v>
      </c>
    </row>
    <row r="1682" spans="1:19">
      <c r="A1682">
        <v>60000413</v>
      </c>
      <c r="B1682">
        <v>48</v>
      </c>
      <c r="C1682" t="s">
        <v>18</v>
      </c>
      <c r="D1682" t="s">
        <v>40</v>
      </c>
      <c r="E1682" t="s">
        <v>85</v>
      </c>
      <c r="F1682" t="s">
        <v>21</v>
      </c>
      <c r="G1682" s="23">
        <v>0.36</v>
      </c>
      <c r="H1682" t="s">
        <v>42</v>
      </c>
      <c r="I1682" t="s">
        <v>73</v>
      </c>
      <c r="J1682" t="s">
        <v>58</v>
      </c>
      <c r="K1682" t="s">
        <v>97</v>
      </c>
      <c r="L1682" t="s">
        <v>26</v>
      </c>
      <c r="M1682" t="s">
        <v>124</v>
      </c>
      <c r="N1682" t="s">
        <v>28</v>
      </c>
      <c r="O1682">
        <v>0</v>
      </c>
      <c r="P1682">
        <v>42131</v>
      </c>
      <c r="Q1682">
        <f t="shared" si="29"/>
        <v>4.2131000000000002E-2</v>
      </c>
      <c r="R1682">
        <v>43252</v>
      </c>
      <c r="S1682" t="s">
        <v>122</v>
      </c>
    </row>
    <row r="1683" spans="1:19">
      <c r="A1683">
        <v>60000414</v>
      </c>
      <c r="B1683">
        <v>57</v>
      </c>
      <c r="C1683" t="s">
        <v>33</v>
      </c>
      <c r="D1683" t="s">
        <v>19</v>
      </c>
      <c r="E1683" t="s">
        <v>67</v>
      </c>
      <c r="F1683" t="s">
        <v>21</v>
      </c>
      <c r="G1683" s="23">
        <v>0.21</v>
      </c>
      <c r="H1683" t="s">
        <v>29</v>
      </c>
      <c r="I1683" t="s">
        <v>70</v>
      </c>
      <c r="J1683" t="s">
        <v>46</v>
      </c>
      <c r="K1683" t="s">
        <v>79</v>
      </c>
      <c r="L1683" t="s">
        <v>119</v>
      </c>
      <c r="M1683" t="s">
        <v>124</v>
      </c>
      <c r="N1683" t="s">
        <v>28</v>
      </c>
      <c r="O1683">
        <v>4</v>
      </c>
      <c r="P1683">
        <v>31293</v>
      </c>
      <c r="Q1683">
        <f t="shared" si="29"/>
        <v>3.1293000000000001E-2</v>
      </c>
      <c r="R1683">
        <v>43252</v>
      </c>
      <c r="S1683" t="s">
        <v>122</v>
      </c>
    </row>
    <row r="1684" spans="1:19">
      <c r="A1684">
        <v>60000415</v>
      </c>
      <c r="B1684">
        <v>36</v>
      </c>
      <c r="C1684" t="s">
        <v>18</v>
      </c>
      <c r="D1684" t="s">
        <v>19</v>
      </c>
      <c r="E1684" t="s">
        <v>64</v>
      </c>
      <c r="F1684" t="s">
        <v>21</v>
      </c>
      <c r="G1684" s="23">
        <v>0.28000000000000003</v>
      </c>
      <c r="H1684" t="s">
        <v>53</v>
      </c>
      <c r="I1684" t="s">
        <v>57</v>
      </c>
      <c r="J1684" t="s">
        <v>61</v>
      </c>
      <c r="K1684" t="s">
        <v>102</v>
      </c>
      <c r="L1684" t="s">
        <v>26</v>
      </c>
      <c r="M1684" t="s">
        <v>124</v>
      </c>
      <c r="N1684" t="s">
        <v>28</v>
      </c>
      <c r="O1684">
        <v>4</v>
      </c>
      <c r="P1684">
        <v>50744</v>
      </c>
      <c r="Q1684">
        <f t="shared" si="29"/>
        <v>5.0743999999999997E-2</v>
      </c>
      <c r="R1684">
        <v>43252</v>
      </c>
      <c r="S1684" t="s">
        <v>122</v>
      </c>
    </row>
    <row r="1685" spans="1:19">
      <c r="A1685">
        <v>60000416</v>
      </c>
      <c r="B1685">
        <v>54</v>
      </c>
      <c r="C1685" t="s">
        <v>18</v>
      </c>
      <c r="D1685" t="s">
        <v>40</v>
      </c>
      <c r="E1685" t="s">
        <v>34</v>
      </c>
      <c r="F1685" t="s">
        <v>21</v>
      </c>
      <c r="G1685" s="23">
        <v>0.3</v>
      </c>
      <c r="H1685" t="s">
        <v>53</v>
      </c>
      <c r="I1685" t="s">
        <v>68</v>
      </c>
      <c r="J1685" t="s">
        <v>61</v>
      </c>
      <c r="K1685" t="s">
        <v>117</v>
      </c>
      <c r="L1685" t="s">
        <v>121</v>
      </c>
      <c r="M1685" t="s">
        <v>124</v>
      </c>
      <c r="N1685" t="s">
        <v>51</v>
      </c>
      <c r="O1685">
        <v>0</v>
      </c>
      <c r="P1685">
        <v>27824</v>
      </c>
      <c r="Q1685">
        <f t="shared" si="29"/>
        <v>2.7824000000000002E-2</v>
      </c>
      <c r="R1685">
        <v>43252</v>
      </c>
      <c r="S1685" t="s">
        <v>122</v>
      </c>
    </row>
    <row r="1686" spans="1:19">
      <c r="A1686">
        <v>60000417</v>
      </c>
      <c r="B1686">
        <v>40</v>
      </c>
      <c r="C1686" t="s">
        <v>18</v>
      </c>
      <c r="D1686" t="s">
        <v>40</v>
      </c>
      <c r="E1686" t="s">
        <v>85</v>
      </c>
      <c r="F1686" t="s">
        <v>21</v>
      </c>
      <c r="G1686" s="23">
        <v>0.19</v>
      </c>
      <c r="H1686" t="s">
        <v>29</v>
      </c>
      <c r="I1686" t="s">
        <v>45</v>
      </c>
      <c r="J1686" t="s">
        <v>54</v>
      </c>
      <c r="K1686" t="s">
        <v>107</v>
      </c>
      <c r="L1686" t="s">
        <v>26</v>
      </c>
      <c r="M1686" t="s">
        <v>124</v>
      </c>
      <c r="N1686" t="s">
        <v>51</v>
      </c>
      <c r="O1686">
        <v>3</v>
      </c>
      <c r="P1686">
        <v>37576</v>
      </c>
      <c r="Q1686">
        <f t="shared" si="29"/>
        <v>3.7575999999999998E-2</v>
      </c>
      <c r="R1686">
        <v>43252</v>
      </c>
      <c r="S1686" t="s">
        <v>122</v>
      </c>
    </row>
    <row r="1687" spans="1:19">
      <c r="A1687">
        <v>60000418</v>
      </c>
      <c r="B1687">
        <v>34</v>
      </c>
      <c r="C1687" t="s">
        <v>18</v>
      </c>
      <c r="D1687" t="s">
        <v>19</v>
      </c>
      <c r="E1687" t="s">
        <v>34</v>
      </c>
      <c r="F1687" t="s">
        <v>21</v>
      </c>
      <c r="G1687" s="23">
        <v>0.2</v>
      </c>
      <c r="H1687" t="s">
        <v>29</v>
      </c>
      <c r="I1687" t="s">
        <v>83</v>
      </c>
      <c r="J1687" t="s">
        <v>91</v>
      </c>
      <c r="K1687" t="s">
        <v>98</v>
      </c>
      <c r="L1687" t="s">
        <v>26</v>
      </c>
      <c r="M1687" t="s">
        <v>124</v>
      </c>
      <c r="N1687" t="s">
        <v>28</v>
      </c>
      <c r="O1687">
        <v>0</v>
      </c>
      <c r="P1687">
        <v>28458</v>
      </c>
      <c r="Q1687">
        <f t="shared" si="29"/>
        <v>2.8458000000000001E-2</v>
      </c>
      <c r="R1687">
        <v>43252</v>
      </c>
      <c r="S1687" t="s">
        <v>122</v>
      </c>
    </row>
    <row r="1688" spans="1:19">
      <c r="A1688">
        <v>60000419</v>
      </c>
      <c r="B1688">
        <v>30</v>
      </c>
      <c r="C1688" t="s">
        <v>18</v>
      </c>
      <c r="D1688" t="s">
        <v>40</v>
      </c>
      <c r="E1688" t="s">
        <v>44</v>
      </c>
      <c r="F1688" t="s">
        <v>21</v>
      </c>
      <c r="G1688" s="23">
        <v>0.18</v>
      </c>
      <c r="H1688" t="s">
        <v>22</v>
      </c>
      <c r="I1688" t="s">
        <v>65</v>
      </c>
      <c r="J1688" t="s">
        <v>61</v>
      </c>
      <c r="K1688" t="s">
        <v>101</v>
      </c>
      <c r="L1688" t="s">
        <v>119</v>
      </c>
      <c r="M1688" t="s">
        <v>124</v>
      </c>
      <c r="N1688" t="s">
        <v>28</v>
      </c>
      <c r="O1688">
        <v>0</v>
      </c>
      <c r="P1688">
        <v>23995</v>
      </c>
      <c r="Q1688">
        <f t="shared" si="29"/>
        <v>2.3994999999999999E-2</v>
      </c>
      <c r="R1688">
        <v>43252</v>
      </c>
      <c r="S1688" t="s">
        <v>122</v>
      </c>
    </row>
    <row r="1689" spans="1:19">
      <c r="A1689">
        <v>60000420</v>
      </c>
      <c r="B1689">
        <v>50</v>
      </c>
      <c r="C1689" t="s">
        <v>33</v>
      </c>
      <c r="D1689" t="s">
        <v>19</v>
      </c>
      <c r="E1689" t="s">
        <v>85</v>
      </c>
      <c r="F1689" t="s">
        <v>21</v>
      </c>
      <c r="G1689" s="23">
        <v>0.26</v>
      </c>
      <c r="H1689" t="s">
        <v>53</v>
      </c>
      <c r="I1689" t="s">
        <v>83</v>
      </c>
      <c r="J1689" t="s">
        <v>46</v>
      </c>
      <c r="K1689" t="s">
        <v>63</v>
      </c>
      <c r="L1689" t="s">
        <v>119</v>
      </c>
      <c r="M1689" t="s">
        <v>124</v>
      </c>
      <c r="N1689" t="s">
        <v>51</v>
      </c>
      <c r="O1689">
        <v>5</v>
      </c>
      <c r="P1689">
        <v>23626</v>
      </c>
      <c r="Q1689">
        <f t="shared" si="29"/>
        <v>2.3626000000000001E-2</v>
      </c>
      <c r="R1689">
        <v>43252</v>
      </c>
      <c r="S1689" t="s">
        <v>122</v>
      </c>
    </row>
    <row r="1690" spans="1:19">
      <c r="A1690">
        <v>60000421</v>
      </c>
      <c r="B1690">
        <v>61</v>
      </c>
      <c r="C1690" t="s">
        <v>33</v>
      </c>
      <c r="D1690" t="s">
        <v>40</v>
      </c>
      <c r="E1690" t="s">
        <v>20</v>
      </c>
      <c r="F1690" t="s">
        <v>21</v>
      </c>
      <c r="G1690" s="23">
        <v>0.1</v>
      </c>
      <c r="H1690" t="s">
        <v>36</v>
      </c>
      <c r="I1690" t="s">
        <v>68</v>
      </c>
      <c r="J1690" t="s">
        <v>24</v>
      </c>
      <c r="K1690" t="s">
        <v>104</v>
      </c>
      <c r="L1690" t="s">
        <v>121</v>
      </c>
      <c r="M1690" t="s">
        <v>124</v>
      </c>
      <c r="N1690" t="s">
        <v>51</v>
      </c>
      <c r="O1690">
        <v>5</v>
      </c>
      <c r="P1690">
        <v>24556</v>
      </c>
      <c r="Q1690">
        <f t="shared" si="29"/>
        <v>2.4556000000000001E-2</v>
      </c>
      <c r="R1690">
        <v>43252</v>
      </c>
      <c r="S1690" t="s">
        <v>122</v>
      </c>
    </row>
    <row r="1691" spans="1:19">
      <c r="A1691">
        <v>60000422</v>
      </c>
      <c r="B1691">
        <v>23</v>
      </c>
      <c r="C1691" t="s">
        <v>18</v>
      </c>
      <c r="D1691" t="s">
        <v>19</v>
      </c>
      <c r="E1691" t="s">
        <v>64</v>
      </c>
      <c r="F1691" t="s">
        <v>21</v>
      </c>
      <c r="G1691" s="23">
        <v>0.12</v>
      </c>
      <c r="H1691" t="s">
        <v>22</v>
      </c>
      <c r="I1691" t="s">
        <v>60</v>
      </c>
      <c r="J1691" t="s">
        <v>38</v>
      </c>
      <c r="K1691" t="s">
        <v>71</v>
      </c>
      <c r="L1691" t="s">
        <v>121</v>
      </c>
      <c r="M1691" t="s">
        <v>124</v>
      </c>
      <c r="N1691" t="s">
        <v>51</v>
      </c>
      <c r="O1691">
        <v>7</v>
      </c>
      <c r="P1691">
        <v>36555</v>
      </c>
      <c r="Q1691">
        <f t="shared" si="29"/>
        <v>3.6554999999999997E-2</v>
      </c>
      <c r="R1691">
        <v>43252</v>
      </c>
      <c r="S1691" t="s">
        <v>122</v>
      </c>
    </row>
    <row r="1692" spans="1:19">
      <c r="A1692">
        <v>60000423</v>
      </c>
      <c r="B1692">
        <v>33</v>
      </c>
      <c r="C1692" t="s">
        <v>33</v>
      </c>
      <c r="D1692" t="s">
        <v>19</v>
      </c>
      <c r="E1692" t="s">
        <v>44</v>
      </c>
      <c r="F1692" t="s">
        <v>21</v>
      </c>
      <c r="G1692" s="23">
        <v>0.3</v>
      </c>
      <c r="H1692" t="s">
        <v>53</v>
      </c>
      <c r="I1692" t="s">
        <v>83</v>
      </c>
      <c r="J1692" t="s">
        <v>31</v>
      </c>
      <c r="K1692" t="s">
        <v>115</v>
      </c>
      <c r="L1692" t="s">
        <v>119</v>
      </c>
      <c r="M1692" t="s">
        <v>124</v>
      </c>
      <c r="N1692" t="s">
        <v>28</v>
      </c>
      <c r="O1692">
        <v>0</v>
      </c>
      <c r="P1692">
        <v>61440</v>
      </c>
      <c r="Q1692">
        <f t="shared" si="29"/>
        <v>6.1440000000000002E-2</v>
      </c>
      <c r="R1692">
        <v>43252</v>
      </c>
      <c r="S1692" t="s">
        <v>122</v>
      </c>
    </row>
    <row r="1693" spans="1:19">
      <c r="A1693">
        <v>60000424</v>
      </c>
      <c r="B1693">
        <v>22</v>
      </c>
      <c r="C1693" t="s">
        <v>33</v>
      </c>
      <c r="D1693" t="s">
        <v>40</v>
      </c>
      <c r="E1693" t="s">
        <v>41</v>
      </c>
      <c r="F1693" t="s">
        <v>21</v>
      </c>
      <c r="G1693" s="23">
        <v>0.16</v>
      </c>
      <c r="H1693" t="s">
        <v>22</v>
      </c>
      <c r="I1693" t="s">
        <v>68</v>
      </c>
      <c r="J1693" t="s">
        <v>58</v>
      </c>
      <c r="K1693" t="s">
        <v>89</v>
      </c>
      <c r="L1693" t="s">
        <v>119</v>
      </c>
      <c r="M1693" t="s">
        <v>124</v>
      </c>
      <c r="N1693" t="s">
        <v>51</v>
      </c>
      <c r="O1693">
        <v>7</v>
      </c>
      <c r="P1693">
        <v>38307</v>
      </c>
      <c r="Q1693">
        <f t="shared" si="29"/>
        <v>3.8307000000000001E-2</v>
      </c>
      <c r="R1693">
        <v>43252</v>
      </c>
      <c r="S1693" t="s">
        <v>122</v>
      </c>
    </row>
    <row r="1694" spans="1:19">
      <c r="A1694">
        <v>60000425</v>
      </c>
      <c r="B1694">
        <v>55</v>
      </c>
      <c r="C1694" t="s">
        <v>33</v>
      </c>
      <c r="D1694" t="s">
        <v>19</v>
      </c>
      <c r="E1694" t="s">
        <v>34</v>
      </c>
      <c r="F1694" t="s">
        <v>21</v>
      </c>
      <c r="G1694" s="23">
        <v>0.24</v>
      </c>
      <c r="H1694" t="s">
        <v>29</v>
      </c>
      <c r="I1694" t="s">
        <v>86</v>
      </c>
      <c r="J1694" t="s">
        <v>46</v>
      </c>
      <c r="K1694" t="s">
        <v>62</v>
      </c>
      <c r="L1694" t="s">
        <v>26</v>
      </c>
      <c r="M1694" t="s">
        <v>124</v>
      </c>
      <c r="N1694" t="s">
        <v>28</v>
      </c>
      <c r="O1694">
        <v>0</v>
      </c>
      <c r="P1694">
        <v>49359</v>
      </c>
      <c r="Q1694">
        <f t="shared" si="29"/>
        <v>4.9359E-2</v>
      </c>
      <c r="R1694">
        <v>43252</v>
      </c>
      <c r="S1694" t="s">
        <v>122</v>
      </c>
    </row>
    <row r="1695" spans="1:19">
      <c r="A1695">
        <v>60000426</v>
      </c>
      <c r="B1695">
        <v>34</v>
      </c>
      <c r="C1695" t="s">
        <v>33</v>
      </c>
      <c r="D1695" t="s">
        <v>40</v>
      </c>
      <c r="E1695" t="s">
        <v>41</v>
      </c>
      <c r="F1695" t="s">
        <v>21</v>
      </c>
      <c r="G1695" s="23">
        <v>0.1</v>
      </c>
      <c r="H1695" t="s">
        <v>36</v>
      </c>
      <c r="I1695" t="s">
        <v>65</v>
      </c>
      <c r="J1695" t="s">
        <v>61</v>
      </c>
      <c r="K1695" t="s">
        <v>32</v>
      </c>
      <c r="L1695" t="s">
        <v>121</v>
      </c>
      <c r="M1695" t="s">
        <v>124</v>
      </c>
      <c r="N1695" t="s">
        <v>28</v>
      </c>
      <c r="O1695">
        <v>4</v>
      </c>
      <c r="P1695">
        <v>73142</v>
      </c>
      <c r="Q1695">
        <f t="shared" si="29"/>
        <v>7.3141999999999999E-2</v>
      </c>
      <c r="R1695">
        <v>43252</v>
      </c>
      <c r="S1695" t="s">
        <v>122</v>
      </c>
    </row>
    <row r="1696" spans="1:19">
      <c r="A1696">
        <v>60000427</v>
      </c>
      <c r="B1696">
        <v>49</v>
      </c>
      <c r="C1696" t="s">
        <v>33</v>
      </c>
      <c r="D1696" t="s">
        <v>40</v>
      </c>
      <c r="E1696" t="s">
        <v>48</v>
      </c>
      <c r="F1696" t="s">
        <v>21</v>
      </c>
      <c r="G1696" s="23">
        <v>0.22</v>
      </c>
      <c r="H1696" t="s">
        <v>29</v>
      </c>
      <c r="I1696" t="s">
        <v>30</v>
      </c>
      <c r="J1696" t="s">
        <v>31</v>
      </c>
      <c r="K1696" t="s">
        <v>63</v>
      </c>
      <c r="L1696" t="s">
        <v>26</v>
      </c>
      <c r="M1696" t="s">
        <v>124</v>
      </c>
      <c r="N1696" t="s">
        <v>28</v>
      </c>
      <c r="O1696">
        <v>4</v>
      </c>
      <c r="P1696">
        <v>36101</v>
      </c>
      <c r="Q1696">
        <f t="shared" si="29"/>
        <v>3.6101000000000001E-2</v>
      </c>
      <c r="R1696">
        <v>43252</v>
      </c>
      <c r="S1696" t="s">
        <v>122</v>
      </c>
    </row>
    <row r="1697" spans="1:19">
      <c r="A1697">
        <v>60000428</v>
      </c>
      <c r="B1697">
        <v>47</v>
      </c>
      <c r="C1697" t="s">
        <v>33</v>
      </c>
      <c r="D1697" t="s">
        <v>40</v>
      </c>
      <c r="E1697" t="s">
        <v>72</v>
      </c>
      <c r="F1697" t="s">
        <v>21</v>
      </c>
      <c r="G1697" s="23">
        <v>0.35</v>
      </c>
      <c r="H1697" t="s">
        <v>42</v>
      </c>
      <c r="I1697" t="s">
        <v>62</v>
      </c>
      <c r="J1697" t="s">
        <v>91</v>
      </c>
      <c r="K1697" t="s">
        <v>55</v>
      </c>
      <c r="L1697" t="s">
        <v>119</v>
      </c>
      <c r="M1697" t="s">
        <v>124</v>
      </c>
      <c r="N1697" t="s">
        <v>51</v>
      </c>
      <c r="O1697">
        <v>5</v>
      </c>
      <c r="P1697">
        <v>25090</v>
      </c>
      <c r="Q1697">
        <f t="shared" si="29"/>
        <v>2.5090000000000001E-2</v>
      </c>
      <c r="R1697">
        <v>43252</v>
      </c>
      <c r="S1697" t="s">
        <v>122</v>
      </c>
    </row>
    <row r="1698" spans="1:19">
      <c r="A1698">
        <v>60000429</v>
      </c>
      <c r="B1698">
        <v>36</v>
      </c>
      <c r="C1698" t="s">
        <v>18</v>
      </c>
      <c r="D1698" t="s">
        <v>40</v>
      </c>
      <c r="E1698" t="s">
        <v>34</v>
      </c>
      <c r="F1698" t="s">
        <v>21</v>
      </c>
      <c r="G1698" s="23">
        <v>0.33</v>
      </c>
      <c r="H1698" t="s">
        <v>42</v>
      </c>
      <c r="I1698" t="s">
        <v>49</v>
      </c>
      <c r="J1698" t="s">
        <v>66</v>
      </c>
      <c r="K1698" t="s">
        <v>117</v>
      </c>
      <c r="L1698" t="s">
        <v>119</v>
      </c>
      <c r="M1698" t="s">
        <v>124</v>
      </c>
      <c r="N1698" t="s">
        <v>51</v>
      </c>
      <c r="O1698">
        <v>0</v>
      </c>
      <c r="P1698">
        <v>41042</v>
      </c>
      <c r="Q1698">
        <f t="shared" si="29"/>
        <v>4.1042000000000002E-2</v>
      </c>
      <c r="R1698">
        <v>43252</v>
      </c>
      <c r="S1698" t="s">
        <v>122</v>
      </c>
    </row>
    <row r="1699" spans="1:19">
      <c r="A1699">
        <v>60000430</v>
      </c>
      <c r="B1699">
        <v>29</v>
      </c>
      <c r="C1699" t="s">
        <v>18</v>
      </c>
      <c r="D1699" t="s">
        <v>40</v>
      </c>
      <c r="E1699" t="s">
        <v>48</v>
      </c>
      <c r="F1699" t="s">
        <v>21</v>
      </c>
      <c r="G1699" s="23">
        <v>0.21</v>
      </c>
      <c r="H1699" t="s">
        <v>29</v>
      </c>
      <c r="I1699" t="s">
        <v>49</v>
      </c>
      <c r="J1699" t="s">
        <v>38</v>
      </c>
      <c r="K1699" t="s">
        <v>110</v>
      </c>
      <c r="L1699" t="s">
        <v>26</v>
      </c>
      <c r="M1699" t="s">
        <v>124</v>
      </c>
      <c r="N1699" t="s">
        <v>28</v>
      </c>
      <c r="O1699">
        <v>0</v>
      </c>
      <c r="P1699">
        <v>60451</v>
      </c>
      <c r="Q1699">
        <f t="shared" si="29"/>
        <v>6.0450999999999998E-2</v>
      </c>
      <c r="R1699">
        <v>43252</v>
      </c>
      <c r="S1699" t="s">
        <v>122</v>
      </c>
    </row>
    <row r="1700" spans="1:19">
      <c r="A1700">
        <v>60000431</v>
      </c>
      <c r="B1700">
        <v>54</v>
      </c>
      <c r="C1700" t="s">
        <v>18</v>
      </c>
      <c r="D1700" t="s">
        <v>40</v>
      </c>
      <c r="E1700" t="s">
        <v>41</v>
      </c>
      <c r="F1700" t="s">
        <v>21</v>
      </c>
      <c r="G1700" s="23">
        <v>0.12</v>
      </c>
      <c r="H1700" t="s">
        <v>22</v>
      </c>
      <c r="I1700" t="s">
        <v>86</v>
      </c>
      <c r="J1700" t="s">
        <v>69</v>
      </c>
      <c r="K1700" t="s">
        <v>83</v>
      </c>
      <c r="L1700" t="s">
        <v>26</v>
      </c>
      <c r="M1700" t="s">
        <v>124</v>
      </c>
      <c r="N1700" t="s">
        <v>51</v>
      </c>
      <c r="O1700">
        <v>6</v>
      </c>
      <c r="P1700">
        <v>26178</v>
      </c>
      <c r="Q1700">
        <f t="shared" si="29"/>
        <v>2.6178E-2</v>
      </c>
      <c r="R1700">
        <v>43252</v>
      </c>
      <c r="S1700" t="s">
        <v>122</v>
      </c>
    </row>
    <row r="1701" spans="1:19">
      <c r="A1701">
        <v>60000432</v>
      </c>
      <c r="B1701">
        <v>31</v>
      </c>
      <c r="C1701" t="s">
        <v>33</v>
      </c>
      <c r="D1701" t="s">
        <v>19</v>
      </c>
      <c r="E1701" t="s">
        <v>75</v>
      </c>
      <c r="F1701" t="s">
        <v>21</v>
      </c>
      <c r="G1701" s="23">
        <v>0.22</v>
      </c>
      <c r="H1701" t="s">
        <v>29</v>
      </c>
      <c r="I1701" t="s">
        <v>60</v>
      </c>
      <c r="J1701" t="s">
        <v>66</v>
      </c>
      <c r="K1701" t="s">
        <v>55</v>
      </c>
      <c r="L1701" t="s">
        <v>26</v>
      </c>
      <c r="M1701" t="s">
        <v>124</v>
      </c>
      <c r="N1701" t="s">
        <v>51</v>
      </c>
      <c r="O1701">
        <v>1</v>
      </c>
      <c r="P1701">
        <v>57367</v>
      </c>
      <c r="Q1701">
        <f t="shared" si="29"/>
        <v>5.7367000000000001E-2</v>
      </c>
      <c r="R1701">
        <v>43252</v>
      </c>
      <c r="S1701" t="s">
        <v>122</v>
      </c>
    </row>
    <row r="1702" spans="1:19">
      <c r="A1702">
        <v>60000433</v>
      </c>
      <c r="B1702">
        <v>29</v>
      </c>
      <c r="C1702" t="s">
        <v>18</v>
      </c>
      <c r="D1702" t="s">
        <v>40</v>
      </c>
      <c r="E1702" t="s">
        <v>44</v>
      </c>
      <c r="F1702" t="s">
        <v>21</v>
      </c>
      <c r="G1702" s="23">
        <v>0.33</v>
      </c>
      <c r="H1702" t="s">
        <v>42</v>
      </c>
      <c r="I1702" t="s">
        <v>70</v>
      </c>
      <c r="J1702" t="s">
        <v>91</v>
      </c>
      <c r="K1702" t="s">
        <v>47</v>
      </c>
      <c r="L1702" t="s">
        <v>121</v>
      </c>
      <c r="M1702" t="s">
        <v>124</v>
      </c>
      <c r="N1702" t="s">
        <v>51</v>
      </c>
      <c r="O1702">
        <v>0</v>
      </c>
      <c r="P1702">
        <v>70761</v>
      </c>
      <c r="Q1702">
        <f t="shared" si="29"/>
        <v>7.0761000000000004E-2</v>
      </c>
      <c r="R1702">
        <v>43252</v>
      </c>
      <c r="S1702" t="s">
        <v>122</v>
      </c>
    </row>
    <row r="1703" spans="1:19">
      <c r="A1703">
        <v>60000434</v>
      </c>
      <c r="B1703">
        <v>51</v>
      </c>
      <c r="C1703" t="s">
        <v>18</v>
      </c>
      <c r="D1703" t="s">
        <v>19</v>
      </c>
      <c r="E1703" t="s">
        <v>56</v>
      </c>
      <c r="F1703" t="s">
        <v>21</v>
      </c>
      <c r="G1703" s="23">
        <v>0.13</v>
      </c>
      <c r="H1703" t="s">
        <v>22</v>
      </c>
      <c r="I1703" t="s">
        <v>65</v>
      </c>
      <c r="J1703" t="s">
        <v>88</v>
      </c>
      <c r="K1703" t="s">
        <v>118</v>
      </c>
      <c r="L1703" t="s">
        <v>26</v>
      </c>
      <c r="M1703" t="s">
        <v>124</v>
      </c>
      <c r="N1703" t="s">
        <v>51</v>
      </c>
      <c r="O1703">
        <v>2</v>
      </c>
      <c r="P1703">
        <v>26855</v>
      </c>
      <c r="Q1703">
        <f t="shared" si="29"/>
        <v>2.6855E-2</v>
      </c>
      <c r="R1703">
        <v>43252</v>
      </c>
      <c r="S1703" t="s">
        <v>122</v>
      </c>
    </row>
    <row r="1704" spans="1:19">
      <c r="A1704">
        <v>60000435</v>
      </c>
      <c r="B1704">
        <v>50</v>
      </c>
      <c r="C1704" t="s">
        <v>33</v>
      </c>
      <c r="D1704" t="s">
        <v>19</v>
      </c>
      <c r="E1704" t="s">
        <v>34</v>
      </c>
      <c r="F1704" t="s">
        <v>21</v>
      </c>
      <c r="G1704" s="23">
        <v>0.33</v>
      </c>
      <c r="H1704" t="s">
        <v>42</v>
      </c>
      <c r="I1704" t="s">
        <v>62</v>
      </c>
      <c r="J1704" t="s">
        <v>31</v>
      </c>
      <c r="K1704" t="s">
        <v>55</v>
      </c>
      <c r="L1704" t="s">
        <v>121</v>
      </c>
      <c r="M1704" t="s">
        <v>124</v>
      </c>
      <c r="N1704" t="s">
        <v>51</v>
      </c>
      <c r="O1704">
        <v>0</v>
      </c>
      <c r="P1704">
        <v>78889</v>
      </c>
      <c r="Q1704">
        <f t="shared" si="29"/>
        <v>7.8889000000000001E-2</v>
      </c>
      <c r="R1704">
        <v>43252</v>
      </c>
      <c r="S1704" t="s">
        <v>122</v>
      </c>
    </row>
    <row r="1705" spans="1:19">
      <c r="A1705">
        <v>60000436</v>
      </c>
      <c r="B1705">
        <v>65</v>
      </c>
      <c r="C1705" t="s">
        <v>33</v>
      </c>
      <c r="D1705" t="s">
        <v>19</v>
      </c>
      <c r="E1705" t="s">
        <v>41</v>
      </c>
      <c r="F1705" t="s">
        <v>21</v>
      </c>
      <c r="G1705" s="23">
        <v>0.38</v>
      </c>
      <c r="H1705" t="s">
        <v>42</v>
      </c>
      <c r="I1705" t="s">
        <v>68</v>
      </c>
      <c r="J1705" t="s">
        <v>91</v>
      </c>
      <c r="K1705" t="s">
        <v>49</v>
      </c>
      <c r="L1705" t="s">
        <v>119</v>
      </c>
      <c r="M1705" t="s">
        <v>124</v>
      </c>
      <c r="N1705" t="s">
        <v>28</v>
      </c>
      <c r="O1705">
        <v>3</v>
      </c>
      <c r="P1705">
        <v>34581</v>
      </c>
      <c r="Q1705">
        <f t="shared" si="29"/>
        <v>3.4581000000000001E-2</v>
      </c>
      <c r="R1705">
        <v>43252</v>
      </c>
      <c r="S1705" t="s">
        <v>122</v>
      </c>
    </row>
    <row r="1706" spans="1:19">
      <c r="A1706">
        <v>60000437</v>
      </c>
      <c r="B1706">
        <v>55</v>
      </c>
      <c r="C1706" t="s">
        <v>18</v>
      </c>
      <c r="D1706" t="s">
        <v>40</v>
      </c>
      <c r="E1706" t="s">
        <v>44</v>
      </c>
      <c r="F1706" t="s">
        <v>21</v>
      </c>
      <c r="G1706" s="23">
        <v>0.37</v>
      </c>
      <c r="H1706" t="s">
        <v>42</v>
      </c>
      <c r="I1706" t="s">
        <v>73</v>
      </c>
      <c r="J1706" t="s">
        <v>69</v>
      </c>
      <c r="K1706" t="s">
        <v>87</v>
      </c>
      <c r="L1706" t="s">
        <v>26</v>
      </c>
      <c r="M1706" t="s">
        <v>124</v>
      </c>
      <c r="N1706" t="s">
        <v>28</v>
      </c>
      <c r="O1706">
        <v>0</v>
      </c>
      <c r="P1706">
        <v>38750</v>
      </c>
      <c r="Q1706">
        <f t="shared" si="29"/>
        <v>3.875E-2</v>
      </c>
      <c r="R1706">
        <v>43252</v>
      </c>
      <c r="S1706" t="s">
        <v>122</v>
      </c>
    </row>
    <row r="1707" spans="1:19">
      <c r="A1707">
        <v>60000438</v>
      </c>
      <c r="B1707">
        <v>26</v>
      </c>
      <c r="C1707" t="s">
        <v>18</v>
      </c>
      <c r="D1707" t="s">
        <v>40</v>
      </c>
      <c r="E1707" t="s">
        <v>52</v>
      </c>
      <c r="F1707" t="s">
        <v>21</v>
      </c>
      <c r="G1707" s="23">
        <v>0.15</v>
      </c>
      <c r="H1707" t="s">
        <v>22</v>
      </c>
      <c r="I1707" t="s">
        <v>37</v>
      </c>
      <c r="J1707" t="s">
        <v>88</v>
      </c>
      <c r="K1707" t="s">
        <v>97</v>
      </c>
      <c r="L1707" t="s">
        <v>26</v>
      </c>
      <c r="M1707" t="s">
        <v>124</v>
      </c>
      <c r="N1707" t="s">
        <v>51</v>
      </c>
      <c r="O1707">
        <v>3</v>
      </c>
      <c r="P1707">
        <v>27003</v>
      </c>
      <c r="Q1707">
        <f t="shared" si="29"/>
        <v>2.7002999999999999E-2</v>
      </c>
      <c r="R1707">
        <v>43252</v>
      </c>
      <c r="S1707" t="s">
        <v>122</v>
      </c>
    </row>
    <row r="1708" spans="1:19">
      <c r="A1708">
        <v>60000439</v>
      </c>
      <c r="B1708">
        <v>21</v>
      </c>
      <c r="C1708" t="s">
        <v>33</v>
      </c>
      <c r="D1708" t="s">
        <v>19</v>
      </c>
      <c r="E1708" t="s">
        <v>20</v>
      </c>
      <c r="F1708" t="s">
        <v>21</v>
      </c>
      <c r="G1708" s="23">
        <v>0.1</v>
      </c>
      <c r="H1708" t="s">
        <v>36</v>
      </c>
      <c r="I1708" t="s">
        <v>37</v>
      </c>
      <c r="J1708" t="s">
        <v>31</v>
      </c>
      <c r="K1708" t="s">
        <v>79</v>
      </c>
      <c r="L1708" t="s">
        <v>119</v>
      </c>
      <c r="M1708" t="s">
        <v>124</v>
      </c>
      <c r="N1708" t="s">
        <v>51</v>
      </c>
      <c r="O1708">
        <v>7</v>
      </c>
      <c r="P1708">
        <v>35593</v>
      </c>
      <c r="Q1708">
        <f t="shared" si="29"/>
        <v>3.5593E-2</v>
      </c>
      <c r="R1708">
        <v>43252</v>
      </c>
      <c r="S1708" t="s">
        <v>122</v>
      </c>
    </row>
    <row r="1709" spans="1:19">
      <c r="A1709">
        <v>60000440</v>
      </c>
      <c r="B1709">
        <v>49</v>
      </c>
      <c r="C1709" t="s">
        <v>18</v>
      </c>
      <c r="D1709" t="s">
        <v>19</v>
      </c>
      <c r="E1709" t="s">
        <v>44</v>
      </c>
      <c r="F1709" t="s">
        <v>120</v>
      </c>
      <c r="G1709" s="23">
        <v>0.18</v>
      </c>
      <c r="H1709" t="s">
        <v>22</v>
      </c>
      <c r="I1709" t="s">
        <v>65</v>
      </c>
      <c r="J1709" t="s">
        <v>24</v>
      </c>
      <c r="K1709" t="s">
        <v>111</v>
      </c>
      <c r="L1709" t="s">
        <v>121</v>
      </c>
      <c r="M1709" t="s">
        <v>124</v>
      </c>
      <c r="N1709" t="s">
        <v>28</v>
      </c>
      <c r="O1709">
        <v>4</v>
      </c>
      <c r="P1709">
        <v>54011</v>
      </c>
      <c r="Q1709">
        <f t="shared" si="29"/>
        <v>5.4011000000000003E-2</v>
      </c>
      <c r="R1709">
        <v>43252</v>
      </c>
      <c r="S1709" t="s">
        <v>122</v>
      </c>
    </row>
    <row r="1710" spans="1:19">
      <c r="A1710">
        <v>60000441</v>
      </c>
      <c r="B1710">
        <v>21</v>
      </c>
      <c r="C1710" t="s">
        <v>18</v>
      </c>
      <c r="D1710" t="s">
        <v>19</v>
      </c>
      <c r="E1710" t="s">
        <v>48</v>
      </c>
      <c r="F1710" t="s">
        <v>120</v>
      </c>
      <c r="G1710" s="23">
        <v>0.1</v>
      </c>
      <c r="H1710" t="s">
        <v>36</v>
      </c>
      <c r="I1710" t="s">
        <v>68</v>
      </c>
      <c r="J1710" t="s">
        <v>88</v>
      </c>
      <c r="K1710" t="s">
        <v>43</v>
      </c>
      <c r="L1710" t="s">
        <v>121</v>
      </c>
      <c r="M1710" t="s">
        <v>124</v>
      </c>
      <c r="N1710" t="s">
        <v>28</v>
      </c>
      <c r="O1710">
        <v>0</v>
      </c>
      <c r="P1710">
        <v>39860</v>
      </c>
      <c r="Q1710">
        <f t="shared" si="29"/>
        <v>3.986E-2</v>
      </c>
      <c r="R1710">
        <v>43252</v>
      </c>
      <c r="S1710" t="s">
        <v>122</v>
      </c>
    </row>
    <row r="1711" spans="1:19">
      <c r="A1711">
        <v>60000442</v>
      </c>
      <c r="B1711">
        <v>20</v>
      </c>
      <c r="C1711" t="s">
        <v>33</v>
      </c>
      <c r="D1711" t="s">
        <v>40</v>
      </c>
      <c r="E1711" t="s">
        <v>48</v>
      </c>
      <c r="F1711" t="s">
        <v>21</v>
      </c>
      <c r="G1711" s="23">
        <v>0.35</v>
      </c>
      <c r="H1711" t="s">
        <v>42</v>
      </c>
      <c r="I1711" t="s">
        <v>73</v>
      </c>
      <c r="J1711" t="s">
        <v>38</v>
      </c>
      <c r="K1711" t="s">
        <v>96</v>
      </c>
      <c r="L1711" t="s">
        <v>26</v>
      </c>
      <c r="M1711" t="s">
        <v>124</v>
      </c>
      <c r="N1711" t="s">
        <v>28</v>
      </c>
      <c r="O1711">
        <v>0</v>
      </c>
      <c r="P1711">
        <v>78921</v>
      </c>
      <c r="Q1711">
        <f t="shared" si="29"/>
        <v>7.8921000000000005E-2</v>
      </c>
      <c r="R1711">
        <v>43252</v>
      </c>
      <c r="S1711" t="s">
        <v>122</v>
      </c>
    </row>
    <row r="1712" spans="1:19">
      <c r="A1712">
        <v>60000443</v>
      </c>
      <c r="B1712">
        <v>63</v>
      </c>
      <c r="C1712" t="s">
        <v>33</v>
      </c>
      <c r="D1712" t="s">
        <v>40</v>
      </c>
      <c r="E1712" t="s">
        <v>41</v>
      </c>
      <c r="F1712" t="s">
        <v>21</v>
      </c>
      <c r="G1712" s="23">
        <v>0.37</v>
      </c>
      <c r="H1712" t="s">
        <v>42</v>
      </c>
      <c r="I1712" t="s">
        <v>57</v>
      </c>
      <c r="J1712" t="s">
        <v>46</v>
      </c>
      <c r="K1712" t="s">
        <v>118</v>
      </c>
      <c r="L1712" t="s">
        <v>26</v>
      </c>
      <c r="M1712" t="s">
        <v>124</v>
      </c>
      <c r="N1712" t="s">
        <v>51</v>
      </c>
      <c r="O1712">
        <v>3</v>
      </c>
      <c r="P1712">
        <v>49834</v>
      </c>
      <c r="Q1712">
        <f t="shared" si="29"/>
        <v>4.9834000000000003E-2</v>
      </c>
      <c r="R1712">
        <v>43252</v>
      </c>
      <c r="S1712" t="s">
        <v>122</v>
      </c>
    </row>
    <row r="1713" spans="1:19">
      <c r="A1713">
        <v>60000444</v>
      </c>
      <c r="B1713">
        <v>37</v>
      </c>
      <c r="C1713" t="s">
        <v>33</v>
      </c>
      <c r="D1713" t="s">
        <v>19</v>
      </c>
      <c r="E1713" t="s">
        <v>34</v>
      </c>
      <c r="F1713" t="s">
        <v>35</v>
      </c>
      <c r="G1713" s="23">
        <v>0.19</v>
      </c>
      <c r="H1713" t="s">
        <v>29</v>
      </c>
      <c r="I1713" t="s">
        <v>45</v>
      </c>
      <c r="J1713" t="s">
        <v>61</v>
      </c>
      <c r="K1713" t="s">
        <v>96</v>
      </c>
      <c r="L1713" t="s">
        <v>121</v>
      </c>
      <c r="M1713" t="s">
        <v>124</v>
      </c>
      <c r="N1713" t="s">
        <v>51</v>
      </c>
      <c r="O1713">
        <v>0</v>
      </c>
      <c r="P1713">
        <v>37822</v>
      </c>
      <c r="Q1713">
        <f t="shared" si="29"/>
        <v>3.7822000000000001E-2</v>
      </c>
      <c r="R1713">
        <v>43252</v>
      </c>
      <c r="S1713" t="s">
        <v>122</v>
      </c>
    </row>
    <row r="1714" spans="1:19">
      <c r="A1714">
        <v>60000445</v>
      </c>
      <c r="B1714">
        <v>56</v>
      </c>
      <c r="C1714" t="s">
        <v>18</v>
      </c>
      <c r="D1714" t="s">
        <v>40</v>
      </c>
      <c r="E1714" t="s">
        <v>20</v>
      </c>
      <c r="F1714" t="s">
        <v>21</v>
      </c>
      <c r="G1714" s="23">
        <v>0.3</v>
      </c>
      <c r="H1714" t="s">
        <v>53</v>
      </c>
      <c r="I1714" t="s">
        <v>73</v>
      </c>
      <c r="J1714" t="s">
        <v>74</v>
      </c>
      <c r="K1714" t="s">
        <v>81</v>
      </c>
      <c r="L1714" t="s">
        <v>121</v>
      </c>
      <c r="M1714" t="s">
        <v>124</v>
      </c>
      <c r="N1714" t="s">
        <v>51</v>
      </c>
      <c r="O1714">
        <v>0</v>
      </c>
      <c r="P1714">
        <v>38296</v>
      </c>
      <c r="Q1714">
        <f t="shared" si="29"/>
        <v>3.8295999999999997E-2</v>
      </c>
      <c r="R1714">
        <v>43252</v>
      </c>
      <c r="S1714" t="s">
        <v>122</v>
      </c>
    </row>
    <row r="1715" spans="1:19">
      <c r="A1715">
        <v>60000446</v>
      </c>
      <c r="B1715">
        <v>44</v>
      </c>
      <c r="C1715" t="s">
        <v>33</v>
      </c>
      <c r="D1715" t="s">
        <v>40</v>
      </c>
      <c r="E1715" t="s">
        <v>85</v>
      </c>
      <c r="F1715" t="s">
        <v>21</v>
      </c>
      <c r="G1715" s="23">
        <v>0.14000000000000001</v>
      </c>
      <c r="H1715" t="s">
        <v>22</v>
      </c>
      <c r="I1715" t="s">
        <v>23</v>
      </c>
      <c r="J1715" t="s">
        <v>46</v>
      </c>
      <c r="K1715" t="s">
        <v>96</v>
      </c>
      <c r="L1715" t="s">
        <v>119</v>
      </c>
      <c r="M1715" t="s">
        <v>124</v>
      </c>
      <c r="N1715" t="s">
        <v>51</v>
      </c>
      <c r="O1715">
        <v>0</v>
      </c>
      <c r="P1715">
        <v>78541</v>
      </c>
      <c r="Q1715">
        <f t="shared" si="29"/>
        <v>7.8541E-2</v>
      </c>
      <c r="R1715">
        <v>43252</v>
      </c>
      <c r="S1715" t="s">
        <v>122</v>
      </c>
    </row>
    <row r="1716" spans="1:19">
      <c r="A1716">
        <v>60000447</v>
      </c>
      <c r="B1716">
        <v>29</v>
      </c>
      <c r="C1716" t="s">
        <v>18</v>
      </c>
      <c r="D1716" t="s">
        <v>40</v>
      </c>
      <c r="E1716" t="s">
        <v>52</v>
      </c>
      <c r="F1716" t="s">
        <v>35</v>
      </c>
      <c r="G1716" s="23">
        <v>0.3</v>
      </c>
      <c r="H1716" t="s">
        <v>53</v>
      </c>
      <c r="I1716" t="s">
        <v>37</v>
      </c>
      <c r="J1716" t="s">
        <v>61</v>
      </c>
      <c r="K1716" t="s">
        <v>60</v>
      </c>
      <c r="L1716" t="s">
        <v>26</v>
      </c>
      <c r="M1716" t="s">
        <v>124</v>
      </c>
      <c r="N1716" t="s">
        <v>28</v>
      </c>
      <c r="O1716">
        <v>0</v>
      </c>
      <c r="P1716">
        <v>79092</v>
      </c>
      <c r="Q1716">
        <f t="shared" si="29"/>
        <v>7.9091999999999996E-2</v>
      </c>
      <c r="R1716">
        <v>43252</v>
      </c>
      <c r="S1716" t="s">
        <v>122</v>
      </c>
    </row>
    <row r="1717" spans="1:19">
      <c r="A1717">
        <v>60000448</v>
      </c>
      <c r="B1717">
        <v>64</v>
      </c>
      <c r="C1717" t="s">
        <v>18</v>
      </c>
      <c r="D1717" t="s">
        <v>40</v>
      </c>
      <c r="E1717" t="s">
        <v>75</v>
      </c>
      <c r="F1717" t="s">
        <v>120</v>
      </c>
      <c r="G1717" s="23">
        <v>0.18</v>
      </c>
      <c r="H1717" t="s">
        <v>22</v>
      </c>
      <c r="I1717" t="s">
        <v>68</v>
      </c>
      <c r="J1717" t="s">
        <v>69</v>
      </c>
      <c r="K1717" t="s">
        <v>97</v>
      </c>
      <c r="L1717" t="s">
        <v>26</v>
      </c>
      <c r="M1717" t="s">
        <v>124</v>
      </c>
      <c r="N1717" t="s">
        <v>28</v>
      </c>
      <c r="O1717">
        <v>7</v>
      </c>
      <c r="P1717">
        <v>76003</v>
      </c>
      <c r="Q1717">
        <f t="shared" si="29"/>
        <v>7.6003000000000001E-2</v>
      </c>
      <c r="R1717">
        <v>43252</v>
      </c>
      <c r="S1717" t="s">
        <v>122</v>
      </c>
    </row>
    <row r="1718" spans="1:19">
      <c r="A1718">
        <v>60000449</v>
      </c>
      <c r="B1718">
        <v>44</v>
      </c>
      <c r="C1718" t="s">
        <v>33</v>
      </c>
      <c r="D1718" t="s">
        <v>19</v>
      </c>
      <c r="E1718" t="s">
        <v>44</v>
      </c>
      <c r="F1718" t="s">
        <v>21</v>
      </c>
      <c r="G1718" s="23">
        <v>0.34</v>
      </c>
      <c r="H1718" t="s">
        <v>42</v>
      </c>
      <c r="I1718" t="s">
        <v>49</v>
      </c>
      <c r="J1718" t="s">
        <v>31</v>
      </c>
      <c r="K1718" t="s">
        <v>84</v>
      </c>
      <c r="L1718" t="s">
        <v>121</v>
      </c>
      <c r="M1718" t="s">
        <v>124</v>
      </c>
      <c r="N1718" t="s">
        <v>51</v>
      </c>
      <c r="O1718">
        <v>6</v>
      </c>
      <c r="P1718">
        <v>46543</v>
      </c>
      <c r="Q1718">
        <f t="shared" si="29"/>
        <v>4.6543000000000001E-2</v>
      </c>
      <c r="R1718">
        <v>43252</v>
      </c>
      <c r="S1718" t="s">
        <v>122</v>
      </c>
    </row>
    <row r="1719" spans="1:19">
      <c r="A1719">
        <v>60000450</v>
      </c>
      <c r="B1719">
        <v>29</v>
      </c>
      <c r="C1719" t="s">
        <v>33</v>
      </c>
      <c r="D1719" t="s">
        <v>40</v>
      </c>
      <c r="E1719" t="s">
        <v>44</v>
      </c>
      <c r="F1719" t="s">
        <v>21</v>
      </c>
      <c r="G1719" s="23">
        <v>0.18</v>
      </c>
      <c r="H1719" t="s">
        <v>22</v>
      </c>
      <c r="I1719" t="s">
        <v>62</v>
      </c>
      <c r="J1719" t="s">
        <v>54</v>
      </c>
      <c r="K1719" t="s">
        <v>99</v>
      </c>
      <c r="L1719" t="s">
        <v>119</v>
      </c>
      <c r="M1719" t="s">
        <v>124</v>
      </c>
      <c r="N1719" t="s">
        <v>51</v>
      </c>
      <c r="O1719">
        <v>0</v>
      </c>
      <c r="P1719">
        <v>81088</v>
      </c>
      <c r="Q1719">
        <f t="shared" si="29"/>
        <v>8.1087999999999993E-2</v>
      </c>
      <c r="R1719">
        <v>43252</v>
      </c>
      <c r="S1719" t="s">
        <v>122</v>
      </c>
    </row>
    <row r="1720" spans="1:19">
      <c r="A1720">
        <v>60000451</v>
      </c>
      <c r="B1720">
        <v>48</v>
      </c>
      <c r="C1720" t="s">
        <v>33</v>
      </c>
      <c r="D1720" t="s">
        <v>40</v>
      </c>
      <c r="E1720" t="s">
        <v>67</v>
      </c>
      <c r="F1720" t="s">
        <v>21</v>
      </c>
      <c r="G1720" s="23">
        <v>0.32</v>
      </c>
      <c r="H1720" t="s">
        <v>42</v>
      </c>
      <c r="I1720" t="s">
        <v>83</v>
      </c>
      <c r="J1720" t="s">
        <v>38</v>
      </c>
      <c r="K1720" t="s">
        <v>96</v>
      </c>
      <c r="L1720" t="s">
        <v>119</v>
      </c>
      <c r="M1720" t="s">
        <v>124</v>
      </c>
      <c r="N1720" t="s">
        <v>51</v>
      </c>
      <c r="O1720">
        <v>1</v>
      </c>
      <c r="P1720">
        <v>69209</v>
      </c>
      <c r="Q1720">
        <f t="shared" si="29"/>
        <v>6.9209000000000007E-2</v>
      </c>
      <c r="R1720">
        <v>43252</v>
      </c>
      <c r="S1720" t="s">
        <v>122</v>
      </c>
    </row>
    <row r="1721" spans="1:19">
      <c r="A1721">
        <v>60000452</v>
      </c>
      <c r="B1721">
        <v>23</v>
      </c>
      <c r="C1721" t="s">
        <v>18</v>
      </c>
      <c r="D1721" t="s">
        <v>40</v>
      </c>
      <c r="E1721" t="s">
        <v>67</v>
      </c>
      <c r="F1721" t="s">
        <v>35</v>
      </c>
      <c r="G1721" s="23">
        <v>0.31</v>
      </c>
      <c r="H1721" t="s">
        <v>53</v>
      </c>
      <c r="I1721" t="s">
        <v>76</v>
      </c>
      <c r="J1721" t="s">
        <v>24</v>
      </c>
      <c r="K1721" t="s">
        <v>116</v>
      </c>
      <c r="L1721" t="s">
        <v>121</v>
      </c>
      <c r="M1721" t="s">
        <v>124</v>
      </c>
      <c r="N1721" t="s">
        <v>28</v>
      </c>
      <c r="O1721">
        <v>2</v>
      </c>
      <c r="P1721">
        <v>33431</v>
      </c>
      <c r="Q1721">
        <f t="shared" si="29"/>
        <v>3.3431000000000002E-2</v>
      </c>
      <c r="R1721">
        <v>43252</v>
      </c>
      <c r="S1721" t="s">
        <v>122</v>
      </c>
    </row>
    <row r="1722" spans="1:19">
      <c r="A1722">
        <v>60000453</v>
      </c>
      <c r="B1722">
        <v>38</v>
      </c>
      <c r="C1722" t="s">
        <v>18</v>
      </c>
      <c r="D1722" t="s">
        <v>19</v>
      </c>
      <c r="E1722" t="s">
        <v>56</v>
      </c>
      <c r="F1722" t="s">
        <v>35</v>
      </c>
      <c r="G1722" s="23">
        <v>0.17</v>
      </c>
      <c r="H1722" t="s">
        <v>22</v>
      </c>
      <c r="I1722" t="s">
        <v>80</v>
      </c>
      <c r="J1722" t="s">
        <v>58</v>
      </c>
      <c r="K1722" t="s">
        <v>96</v>
      </c>
      <c r="L1722" t="s">
        <v>119</v>
      </c>
      <c r="M1722" t="s">
        <v>124</v>
      </c>
      <c r="N1722" t="s">
        <v>51</v>
      </c>
      <c r="O1722">
        <v>0</v>
      </c>
      <c r="P1722">
        <v>59716</v>
      </c>
      <c r="Q1722">
        <f t="shared" si="29"/>
        <v>5.9715999999999998E-2</v>
      </c>
      <c r="R1722">
        <v>43252</v>
      </c>
      <c r="S1722" t="s">
        <v>122</v>
      </c>
    </row>
    <row r="1723" spans="1:19">
      <c r="A1723">
        <v>60000454</v>
      </c>
      <c r="B1723">
        <v>27</v>
      </c>
      <c r="C1723" t="s">
        <v>18</v>
      </c>
      <c r="D1723" t="s">
        <v>19</v>
      </c>
      <c r="E1723" t="s">
        <v>56</v>
      </c>
      <c r="F1723" t="s">
        <v>35</v>
      </c>
      <c r="G1723" s="23">
        <v>0.32</v>
      </c>
      <c r="H1723" t="s">
        <v>42</v>
      </c>
      <c r="I1723" t="s">
        <v>23</v>
      </c>
      <c r="J1723" t="s">
        <v>66</v>
      </c>
      <c r="K1723" t="s">
        <v>49</v>
      </c>
      <c r="L1723" t="s">
        <v>119</v>
      </c>
      <c r="M1723" t="s">
        <v>124</v>
      </c>
      <c r="N1723" t="s">
        <v>28</v>
      </c>
      <c r="O1723">
        <v>4</v>
      </c>
      <c r="P1723">
        <v>84839</v>
      </c>
      <c r="Q1723">
        <f t="shared" si="29"/>
        <v>8.4838999999999998E-2</v>
      </c>
      <c r="R1723">
        <v>43252</v>
      </c>
      <c r="S1723" t="s">
        <v>122</v>
      </c>
    </row>
    <row r="1724" spans="1:19">
      <c r="A1724">
        <v>60000455</v>
      </c>
      <c r="B1724">
        <v>57</v>
      </c>
      <c r="C1724" t="s">
        <v>33</v>
      </c>
      <c r="D1724" t="s">
        <v>40</v>
      </c>
      <c r="E1724" t="s">
        <v>72</v>
      </c>
      <c r="F1724" t="s">
        <v>120</v>
      </c>
      <c r="G1724" s="23">
        <v>0.35</v>
      </c>
      <c r="H1724" t="s">
        <v>42</v>
      </c>
      <c r="I1724" t="s">
        <v>73</v>
      </c>
      <c r="J1724" t="s">
        <v>24</v>
      </c>
      <c r="K1724" t="s">
        <v>47</v>
      </c>
      <c r="L1724" t="s">
        <v>26</v>
      </c>
      <c r="M1724" t="s">
        <v>124</v>
      </c>
      <c r="N1724" t="s">
        <v>51</v>
      </c>
      <c r="O1724">
        <v>0</v>
      </c>
      <c r="P1724">
        <v>52981</v>
      </c>
      <c r="Q1724">
        <f t="shared" si="29"/>
        <v>5.2981E-2</v>
      </c>
      <c r="R1724">
        <v>43252</v>
      </c>
      <c r="S1724" t="s">
        <v>122</v>
      </c>
    </row>
    <row r="1725" spans="1:19">
      <c r="A1725">
        <v>60000456</v>
      </c>
      <c r="B1725">
        <v>27</v>
      </c>
      <c r="C1725" t="s">
        <v>18</v>
      </c>
      <c r="D1725" t="s">
        <v>19</v>
      </c>
      <c r="E1725" t="s">
        <v>56</v>
      </c>
      <c r="F1725" t="s">
        <v>21</v>
      </c>
      <c r="G1725" s="23">
        <v>0.25</v>
      </c>
      <c r="H1725" t="s">
        <v>53</v>
      </c>
      <c r="I1725" t="s">
        <v>68</v>
      </c>
      <c r="J1725" t="s">
        <v>54</v>
      </c>
      <c r="K1725" t="s">
        <v>65</v>
      </c>
      <c r="L1725" t="s">
        <v>26</v>
      </c>
      <c r="M1725" t="s">
        <v>124</v>
      </c>
      <c r="N1725" t="s">
        <v>28</v>
      </c>
      <c r="O1725">
        <v>0</v>
      </c>
      <c r="P1725">
        <v>75264</v>
      </c>
      <c r="Q1725">
        <f t="shared" si="29"/>
        <v>7.5263999999999998E-2</v>
      </c>
      <c r="R1725">
        <v>43252</v>
      </c>
      <c r="S1725" t="s">
        <v>122</v>
      </c>
    </row>
    <row r="1726" spans="1:19">
      <c r="A1726">
        <v>60000457</v>
      </c>
      <c r="B1726">
        <v>54</v>
      </c>
      <c r="C1726" t="s">
        <v>18</v>
      </c>
      <c r="D1726" t="s">
        <v>40</v>
      </c>
      <c r="E1726" t="s">
        <v>56</v>
      </c>
      <c r="F1726" t="s">
        <v>35</v>
      </c>
      <c r="G1726" s="23">
        <v>0.17</v>
      </c>
      <c r="H1726" t="s">
        <v>22</v>
      </c>
      <c r="I1726" t="s">
        <v>80</v>
      </c>
      <c r="J1726" t="s">
        <v>54</v>
      </c>
      <c r="K1726" t="s">
        <v>114</v>
      </c>
      <c r="L1726" t="s">
        <v>121</v>
      </c>
      <c r="M1726" t="s">
        <v>124</v>
      </c>
      <c r="N1726" t="s">
        <v>51</v>
      </c>
      <c r="O1726">
        <v>0</v>
      </c>
      <c r="P1726">
        <v>40112</v>
      </c>
      <c r="Q1726">
        <f t="shared" si="29"/>
        <v>4.0112000000000002E-2</v>
      </c>
      <c r="R1726">
        <v>43252</v>
      </c>
      <c r="S1726" t="s">
        <v>122</v>
      </c>
    </row>
    <row r="1727" spans="1:19">
      <c r="A1727">
        <v>60000458</v>
      </c>
      <c r="B1727">
        <v>31</v>
      </c>
      <c r="C1727" t="s">
        <v>18</v>
      </c>
      <c r="D1727" t="s">
        <v>40</v>
      </c>
      <c r="E1727" t="s">
        <v>72</v>
      </c>
      <c r="F1727" t="s">
        <v>120</v>
      </c>
      <c r="G1727" s="23">
        <v>0.32</v>
      </c>
      <c r="H1727" t="s">
        <v>42</v>
      </c>
      <c r="I1727" t="s">
        <v>76</v>
      </c>
      <c r="J1727" t="s">
        <v>74</v>
      </c>
      <c r="K1727" t="s">
        <v>25</v>
      </c>
      <c r="L1727" t="s">
        <v>121</v>
      </c>
      <c r="M1727" t="s">
        <v>124</v>
      </c>
      <c r="N1727" t="s">
        <v>28</v>
      </c>
      <c r="O1727">
        <v>1</v>
      </c>
      <c r="P1727">
        <v>35550</v>
      </c>
      <c r="Q1727">
        <f t="shared" si="29"/>
        <v>3.5549999999999998E-2</v>
      </c>
      <c r="R1727">
        <v>43252</v>
      </c>
      <c r="S1727" t="s">
        <v>122</v>
      </c>
    </row>
    <row r="1728" spans="1:19">
      <c r="A1728">
        <v>60000459</v>
      </c>
      <c r="B1728">
        <v>21</v>
      </c>
      <c r="C1728" t="s">
        <v>33</v>
      </c>
      <c r="D1728" t="s">
        <v>40</v>
      </c>
      <c r="E1728" t="s">
        <v>48</v>
      </c>
      <c r="F1728" t="s">
        <v>120</v>
      </c>
      <c r="G1728" s="23">
        <v>0.13</v>
      </c>
      <c r="H1728" t="s">
        <v>22</v>
      </c>
      <c r="I1728" t="s">
        <v>70</v>
      </c>
      <c r="J1728" t="s">
        <v>66</v>
      </c>
      <c r="K1728" t="s">
        <v>79</v>
      </c>
      <c r="L1728" t="s">
        <v>26</v>
      </c>
      <c r="M1728" t="s">
        <v>124</v>
      </c>
      <c r="N1728" t="s">
        <v>28</v>
      </c>
      <c r="O1728">
        <v>0</v>
      </c>
      <c r="P1728">
        <v>31234</v>
      </c>
      <c r="Q1728">
        <f t="shared" si="29"/>
        <v>3.1234000000000001E-2</v>
      </c>
      <c r="R1728">
        <v>43252</v>
      </c>
      <c r="S1728" t="s">
        <v>122</v>
      </c>
    </row>
    <row r="1729" spans="1:19">
      <c r="A1729">
        <v>60000460</v>
      </c>
      <c r="B1729">
        <v>24</v>
      </c>
      <c r="C1729" t="s">
        <v>18</v>
      </c>
      <c r="D1729" t="s">
        <v>19</v>
      </c>
      <c r="E1729" t="s">
        <v>48</v>
      </c>
      <c r="F1729" t="s">
        <v>21</v>
      </c>
      <c r="G1729" s="23">
        <v>0.15</v>
      </c>
      <c r="H1729" t="s">
        <v>22</v>
      </c>
      <c r="I1729" t="s">
        <v>83</v>
      </c>
      <c r="J1729" t="s">
        <v>46</v>
      </c>
      <c r="K1729" t="s">
        <v>47</v>
      </c>
      <c r="L1729" t="s">
        <v>26</v>
      </c>
      <c r="M1729" t="s">
        <v>124</v>
      </c>
      <c r="N1729" t="s">
        <v>51</v>
      </c>
      <c r="O1729">
        <v>5</v>
      </c>
      <c r="P1729">
        <v>47650</v>
      </c>
      <c r="Q1729">
        <f t="shared" si="29"/>
        <v>4.7649999999999998E-2</v>
      </c>
      <c r="R1729">
        <v>43252</v>
      </c>
      <c r="S1729" t="s">
        <v>122</v>
      </c>
    </row>
    <row r="1730" spans="1:19">
      <c r="A1730">
        <v>60000461</v>
      </c>
      <c r="B1730">
        <v>61</v>
      </c>
      <c r="C1730" t="s">
        <v>18</v>
      </c>
      <c r="D1730" t="s">
        <v>19</v>
      </c>
      <c r="E1730" t="s">
        <v>64</v>
      </c>
      <c r="F1730" t="s">
        <v>120</v>
      </c>
      <c r="G1730" s="23">
        <v>0.28999999999999998</v>
      </c>
      <c r="H1730" t="s">
        <v>53</v>
      </c>
      <c r="I1730" t="s">
        <v>68</v>
      </c>
      <c r="J1730" t="s">
        <v>24</v>
      </c>
      <c r="K1730" t="s">
        <v>25</v>
      </c>
      <c r="L1730" t="s">
        <v>119</v>
      </c>
      <c r="M1730" t="s">
        <v>124</v>
      </c>
      <c r="N1730" t="s">
        <v>28</v>
      </c>
      <c r="O1730">
        <v>0</v>
      </c>
      <c r="P1730">
        <v>74390</v>
      </c>
      <c r="Q1730">
        <f t="shared" si="29"/>
        <v>7.4389999999999998E-2</v>
      </c>
      <c r="R1730">
        <v>43252</v>
      </c>
      <c r="S1730" t="s">
        <v>122</v>
      </c>
    </row>
    <row r="1731" spans="1:19">
      <c r="A1731">
        <v>60000462</v>
      </c>
      <c r="B1731">
        <v>52</v>
      </c>
      <c r="C1731" t="s">
        <v>33</v>
      </c>
      <c r="D1731" t="s">
        <v>40</v>
      </c>
      <c r="E1731" t="s">
        <v>67</v>
      </c>
      <c r="F1731" t="s">
        <v>35</v>
      </c>
      <c r="G1731" s="23">
        <v>0.27</v>
      </c>
      <c r="H1731" t="s">
        <v>53</v>
      </c>
      <c r="I1731" t="s">
        <v>86</v>
      </c>
      <c r="J1731" t="s">
        <v>54</v>
      </c>
      <c r="K1731" t="s">
        <v>98</v>
      </c>
      <c r="L1731" t="s">
        <v>121</v>
      </c>
      <c r="M1731" t="s">
        <v>124</v>
      </c>
      <c r="N1731" t="s">
        <v>28</v>
      </c>
      <c r="O1731">
        <v>1</v>
      </c>
      <c r="P1731">
        <v>31964</v>
      </c>
      <c r="Q1731">
        <f t="shared" si="29"/>
        <v>3.1963999999999999E-2</v>
      </c>
      <c r="R1731">
        <v>43252</v>
      </c>
      <c r="S1731" t="s">
        <v>122</v>
      </c>
    </row>
    <row r="1732" spans="1:19">
      <c r="A1732">
        <v>60000463</v>
      </c>
      <c r="B1732">
        <v>62</v>
      </c>
      <c r="C1732" t="s">
        <v>33</v>
      </c>
      <c r="D1732" t="s">
        <v>40</v>
      </c>
      <c r="E1732" t="s">
        <v>20</v>
      </c>
      <c r="F1732" t="s">
        <v>35</v>
      </c>
      <c r="G1732" s="23">
        <v>0.18</v>
      </c>
      <c r="H1732" t="s">
        <v>22</v>
      </c>
      <c r="I1732" t="s">
        <v>70</v>
      </c>
      <c r="J1732" t="s">
        <v>91</v>
      </c>
      <c r="K1732" t="s">
        <v>39</v>
      </c>
      <c r="L1732" t="s">
        <v>121</v>
      </c>
      <c r="M1732" t="s">
        <v>124</v>
      </c>
      <c r="N1732" t="s">
        <v>28</v>
      </c>
      <c r="O1732">
        <v>0</v>
      </c>
      <c r="P1732">
        <v>36758</v>
      </c>
      <c r="Q1732">
        <f t="shared" ref="Q1732:Q1795" si="30">+P1732/1000000</f>
        <v>3.6757999999999999E-2</v>
      </c>
      <c r="R1732">
        <v>43252</v>
      </c>
      <c r="S1732" t="s">
        <v>122</v>
      </c>
    </row>
    <row r="1733" spans="1:19">
      <c r="A1733">
        <v>60000464</v>
      </c>
      <c r="B1733">
        <v>29</v>
      </c>
      <c r="C1733" t="s">
        <v>18</v>
      </c>
      <c r="D1733" t="s">
        <v>40</v>
      </c>
      <c r="E1733" t="s">
        <v>44</v>
      </c>
      <c r="F1733" t="s">
        <v>21</v>
      </c>
      <c r="G1733" s="23">
        <v>0.2</v>
      </c>
      <c r="H1733" t="s">
        <v>29</v>
      </c>
      <c r="I1733" t="s">
        <v>70</v>
      </c>
      <c r="J1733" t="s">
        <v>88</v>
      </c>
      <c r="K1733" t="s">
        <v>101</v>
      </c>
      <c r="L1733" t="s">
        <v>119</v>
      </c>
      <c r="M1733" t="s">
        <v>124</v>
      </c>
      <c r="N1733" t="s">
        <v>51</v>
      </c>
      <c r="O1733">
        <v>3</v>
      </c>
      <c r="P1733">
        <v>74360</v>
      </c>
      <c r="Q1733">
        <f t="shared" si="30"/>
        <v>7.4359999999999996E-2</v>
      </c>
      <c r="R1733">
        <v>43252</v>
      </c>
      <c r="S1733" t="s">
        <v>122</v>
      </c>
    </row>
    <row r="1734" spans="1:19">
      <c r="A1734">
        <v>60000465</v>
      </c>
      <c r="B1734">
        <v>53</v>
      </c>
      <c r="C1734" t="s">
        <v>33</v>
      </c>
      <c r="D1734" t="s">
        <v>40</v>
      </c>
      <c r="E1734" t="s">
        <v>52</v>
      </c>
      <c r="F1734" t="s">
        <v>35</v>
      </c>
      <c r="G1734" s="23">
        <v>0.15</v>
      </c>
      <c r="H1734" t="s">
        <v>22</v>
      </c>
      <c r="I1734" t="s">
        <v>23</v>
      </c>
      <c r="J1734" t="s">
        <v>54</v>
      </c>
      <c r="K1734" t="s">
        <v>115</v>
      </c>
      <c r="L1734" t="s">
        <v>121</v>
      </c>
      <c r="M1734" t="s">
        <v>124</v>
      </c>
      <c r="N1734" t="s">
        <v>51</v>
      </c>
      <c r="O1734">
        <v>6</v>
      </c>
      <c r="P1734">
        <v>38342</v>
      </c>
      <c r="Q1734">
        <f t="shared" si="30"/>
        <v>3.8342000000000001E-2</v>
      </c>
      <c r="R1734">
        <v>43252</v>
      </c>
      <c r="S1734" t="s">
        <v>122</v>
      </c>
    </row>
    <row r="1735" spans="1:19">
      <c r="A1735">
        <v>60000466</v>
      </c>
      <c r="B1735">
        <v>34</v>
      </c>
      <c r="C1735" t="s">
        <v>33</v>
      </c>
      <c r="D1735" t="s">
        <v>19</v>
      </c>
      <c r="E1735" t="s">
        <v>20</v>
      </c>
      <c r="F1735" t="s">
        <v>35</v>
      </c>
      <c r="G1735" s="23">
        <v>0.25</v>
      </c>
      <c r="H1735" t="s">
        <v>53</v>
      </c>
      <c r="I1735" t="s">
        <v>68</v>
      </c>
      <c r="J1735" t="s">
        <v>74</v>
      </c>
      <c r="K1735" t="s">
        <v>84</v>
      </c>
      <c r="L1735" t="s">
        <v>121</v>
      </c>
      <c r="M1735" t="s">
        <v>124</v>
      </c>
      <c r="N1735" t="s">
        <v>28</v>
      </c>
      <c r="O1735">
        <v>0</v>
      </c>
      <c r="P1735">
        <v>23348</v>
      </c>
      <c r="Q1735">
        <f t="shared" si="30"/>
        <v>2.3348000000000001E-2</v>
      </c>
      <c r="R1735">
        <v>43252</v>
      </c>
      <c r="S1735" t="s">
        <v>122</v>
      </c>
    </row>
    <row r="1736" spans="1:19">
      <c r="A1736">
        <v>60000467</v>
      </c>
      <c r="B1736">
        <v>23</v>
      </c>
      <c r="C1736" t="s">
        <v>33</v>
      </c>
      <c r="D1736" t="s">
        <v>19</v>
      </c>
      <c r="E1736" t="s">
        <v>67</v>
      </c>
      <c r="F1736" t="s">
        <v>35</v>
      </c>
      <c r="G1736" s="23">
        <v>0.1</v>
      </c>
      <c r="H1736" t="s">
        <v>36</v>
      </c>
      <c r="I1736" t="s">
        <v>37</v>
      </c>
      <c r="J1736" t="s">
        <v>69</v>
      </c>
      <c r="K1736" t="s">
        <v>94</v>
      </c>
      <c r="L1736" t="s">
        <v>121</v>
      </c>
      <c r="M1736" t="s">
        <v>124</v>
      </c>
      <c r="N1736" t="s">
        <v>51</v>
      </c>
      <c r="O1736">
        <v>0</v>
      </c>
      <c r="P1736">
        <v>59192</v>
      </c>
      <c r="Q1736">
        <f t="shared" si="30"/>
        <v>5.9192000000000002E-2</v>
      </c>
      <c r="R1736">
        <v>43252</v>
      </c>
      <c r="S1736" t="s">
        <v>122</v>
      </c>
    </row>
    <row r="1737" spans="1:19">
      <c r="A1737">
        <v>60000468</v>
      </c>
      <c r="B1737">
        <v>46</v>
      </c>
      <c r="C1737" t="s">
        <v>18</v>
      </c>
      <c r="D1737" t="s">
        <v>19</v>
      </c>
      <c r="E1737" t="s">
        <v>56</v>
      </c>
      <c r="F1737" t="s">
        <v>21</v>
      </c>
      <c r="G1737" s="23">
        <v>0.13</v>
      </c>
      <c r="H1737" t="s">
        <v>22</v>
      </c>
      <c r="I1737" t="s">
        <v>65</v>
      </c>
      <c r="J1737" t="s">
        <v>38</v>
      </c>
      <c r="K1737" t="s">
        <v>25</v>
      </c>
      <c r="L1737" t="s">
        <v>119</v>
      </c>
      <c r="M1737" t="s">
        <v>124</v>
      </c>
      <c r="N1737" t="s">
        <v>28</v>
      </c>
      <c r="O1737">
        <v>6</v>
      </c>
      <c r="P1737">
        <v>84233</v>
      </c>
      <c r="Q1737">
        <f t="shared" si="30"/>
        <v>8.4233000000000002E-2</v>
      </c>
      <c r="R1737">
        <v>43252</v>
      </c>
      <c r="S1737" t="s">
        <v>122</v>
      </c>
    </row>
    <row r="1738" spans="1:19">
      <c r="A1738">
        <v>60000469</v>
      </c>
      <c r="B1738">
        <v>53</v>
      </c>
      <c r="C1738" t="s">
        <v>18</v>
      </c>
      <c r="D1738" t="s">
        <v>40</v>
      </c>
      <c r="E1738" t="s">
        <v>85</v>
      </c>
      <c r="F1738" t="s">
        <v>21</v>
      </c>
      <c r="G1738" s="23">
        <v>0.28000000000000003</v>
      </c>
      <c r="H1738" t="s">
        <v>53</v>
      </c>
      <c r="I1738" t="s">
        <v>23</v>
      </c>
      <c r="J1738" t="s">
        <v>78</v>
      </c>
      <c r="K1738" t="s">
        <v>49</v>
      </c>
      <c r="L1738" t="s">
        <v>26</v>
      </c>
      <c r="M1738" t="s">
        <v>124</v>
      </c>
      <c r="N1738" t="s">
        <v>28</v>
      </c>
      <c r="O1738">
        <v>6</v>
      </c>
      <c r="P1738">
        <v>68066</v>
      </c>
      <c r="Q1738">
        <f t="shared" si="30"/>
        <v>6.8066000000000002E-2</v>
      </c>
      <c r="R1738">
        <v>43252</v>
      </c>
      <c r="S1738" t="s">
        <v>122</v>
      </c>
    </row>
    <row r="1739" spans="1:19">
      <c r="A1739">
        <v>60000470</v>
      </c>
      <c r="B1739">
        <v>58</v>
      </c>
      <c r="C1739" t="s">
        <v>33</v>
      </c>
      <c r="D1739" t="s">
        <v>19</v>
      </c>
      <c r="E1739" t="s">
        <v>41</v>
      </c>
      <c r="F1739" t="s">
        <v>21</v>
      </c>
      <c r="G1739" s="23">
        <v>0.23</v>
      </c>
      <c r="H1739" t="s">
        <v>29</v>
      </c>
      <c r="I1739" t="s">
        <v>49</v>
      </c>
      <c r="J1739" t="s">
        <v>78</v>
      </c>
      <c r="K1739" t="s">
        <v>111</v>
      </c>
      <c r="L1739" t="s">
        <v>121</v>
      </c>
      <c r="M1739" t="s">
        <v>124</v>
      </c>
      <c r="N1739" t="s">
        <v>51</v>
      </c>
      <c r="O1739">
        <v>6</v>
      </c>
      <c r="P1739">
        <v>76494</v>
      </c>
      <c r="Q1739">
        <f t="shared" si="30"/>
        <v>7.6494000000000006E-2</v>
      </c>
      <c r="R1739">
        <v>43252</v>
      </c>
      <c r="S1739" t="s">
        <v>122</v>
      </c>
    </row>
    <row r="1740" spans="1:19">
      <c r="A1740">
        <v>60000471</v>
      </c>
      <c r="B1740">
        <v>49</v>
      </c>
      <c r="C1740" t="s">
        <v>33</v>
      </c>
      <c r="D1740" t="s">
        <v>19</v>
      </c>
      <c r="E1740" t="s">
        <v>52</v>
      </c>
      <c r="F1740" t="s">
        <v>120</v>
      </c>
      <c r="G1740" s="23">
        <v>0.13</v>
      </c>
      <c r="H1740" t="s">
        <v>22</v>
      </c>
      <c r="I1740" t="s">
        <v>68</v>
      </c>
      <c r="J1740" t="s">
        <v>58</v>
      </c>
      <c r="K1740" t="s">
        <v>97</v>
      </c>
      <c r="L1740" t="s">
        <v>121</v>
      </c>
      <c r="M1740" t="s">
        <v>124</v>
      </c>
      <c r="N1740" t="s">
        <v>28</v>
      </c>
      <c r="O1740">
        <v>6</v>
      </c>
      <c r="P1740">
        <v>34053</v>
      </c>
      <c r="Q1740">
        <f t="shared" si="30"/>
        <v>3.4053E-2</v>
      </c>
      <c r="R1740">
        <v>43252</v>
      </c>
      <c r="S1740" t="s">
        <v>122</v>
      </c>
    </row>
    <row r="1741" spans="1:19">
      <c r="A1741">
        <v>60000472</v>
      </c>
      <c r="B1741">
        <v>45</v>
      </c>
      <c r="C1741" t="s">
        <v>33</v>
      </c>
      <c r="D1741" t="s">
        <v>19</v>
      </c>
      <c r="E1741" t="s">
        <v>85</v>
      </c>
      <c r="F1741" t="s">
        <v>35</v>
      </c>
      <c r="G1741" s="23">
        <v>0.32</v>
      </c>
      <c r="H1741" t="s">
        <v>42</v>
      </c>
      <c r="I1741" t="s">
        <v>23</v>
      </c>
      <c r="J1741" t="s">
        <v>38</v>
      </c>
      <c r="K1741" t="s">
        <v>106</v>
      </c>
      <c r="L1741" t="s">
        <v>121</v>
      </c>
      <c r="M1741" t="s">
        <v>124</v>
      </c>
      <c r="N1741" t="s">
        <v>51</v>
      </c>
      <c r="O1741">
        <v>0</v>
      </c>
      <c r="P1741">
        <v>79293</v>
      </c>
      <c r="Q1741">
        <f t="shared" si="30"/>
        <v>7.9293000000000002E-2</v>
      </c>
      <c r="R1741">
        <v>43252</v>
      </c>
      <c r="S1741" t="s">
        <v>122</v>
      </c>
    </row>
    <row r="1742" spans="1:19">
      <c r="A1742">
        <v>60000473</v>
      </c>
      <c r="B1742">
        <v>37</v>
      </c>
      <c r="C1742" t="s">
        <v>33</v>
      </c>
      <c r="D1742" t="s">
        <v>40</v>
      </c>
      <c r="E1742" t="s">
        <v>85</v>
      </c>
      <c r="F1742" t="s">
        <v>35</v>
      </c>
      <c r="G1742" s="23">
        <v>0.23</v>
      </c>
      <c r="H1742" t="s">
        <v>29</v>
      </c>
      <c r="I1742" t="s">
        <v>80</v>
      </c>
      <c r="J1742" t="s">
        <v>38</v>
      </c>
      <c r="K1742" t="s">
        <v>107</v>
      </c>
      <c r="L1742" t="s">
        <v>119</v>
      </c>
      <c r="M1742" t="s">
        <v>124</v>
      </c>
      <c r="N1742" t="s">
        <v>28</v>
      </c>
      <c r="O1742">
        <v>0</v>
      </c>
      <c r="P1742">
        <v>25683</v>
      </c>
      <c r="Q1742">
        <f t="shared" si="30"/>
        <v>2.5683000000000001E-2</v>
      </c>
      <c r="R1742">
        <v>43252</v>
      </c>
      <c r="S1742" t="s">
        <v>122</v>
      </c>
    </row>
    <row r="1743" spans="1:19">
      <c r="A1743">
        <v>60000474</v>
      </c>
      <c r="B1743">
        <v>28</v>
      </c>
      <c r="C1743" t="s">
        <v>33</v>
      </c>
      <c r="D1743" t="s">
        <v>19</v>
      </c>
      <c r="E1743" t="s">
        <v>85</v>
      </c>
      <c r="F1743" t="s">
        <v>21</v>
      </c>
      <c r="G1743" s="23">
        <v>0.15</v>
      </c>
      <c r="H1743" t="s">
        <v>22</v>
      </c>
      <c r="I1743" t="s">
        <v>30</v>
      </c>
      <c r="J1743" t="s">
        <v>58</v>
      </c>
      <c r="K1743" t="s">
        <v>105</v>
      </c>
      <c r="L1743" t="s">
        <v>121</v>
      </c>
      <c r="M1743" t="s">
        <v>124</v>
      </c>
      <c r="N1743" t="s">
        <v>28</v>
      </c>
      <c r="O1743">
        <v>0</v>
      </c>
      <c r="P1743">
        <v>57179</v>
      </c>
      <c r="Q1743">
        <f t="shared" si="30"/>
        <v>5.7179000000000001E-2</v>
      </c>
      <c r="R1743">
        <v>43252</v>
      </c>
      <c r="S1743" t="s">
        <v>122</v>
      </c>
    </row>
    <row r="1744" spans="1:19">
      <c r="A1744">
        <v>60000475</v>
      </c>
      <c r="B1744">
        <v>45</v>
      </c>
      <c r="C1744" t="s">
        <v>33</v>
      </c>
      <c r="D1744" t="s">
        <v>40</v>
      </c>
      <c r="E1744" t="s">
        <v>44</v>
      </c>
      <c r="F1744" t="s">
        <v>35</v>
      </c>
      <c r="G1744" s="23">
        <v>0.2</v>
      </c>
      <c r="H1744" t="s">
        <v>29</v>
      </c>
      <c r="I1744" t="s">
        <v>73</v>
      </c>
      <c r="J1744" t="s">
        <v>78</v>
      </c>
      <c r="K1744" t="s">
        <v>59</v>
      </c>
      <c r="L1744" t="s">
        <v>121</v>
      </c>
      <c r="M1744" t="s">
        <v>124</v>
      </c>
      <c r="N1744" t="s">
        <v>51</v>
      </c>
      <c r="O1744">
        <v>3</v>
      </c>
      <c r="P1744">
        <v>75455</v>
      </c>
      <c r="Q1744">
        <f t="shared" si="30"/>
        <v>7.5454999999999994E-2</v>
      </c>
      <c r="R1744">
        <v>43252</v>
      </c>
      <c r="S1744" t="s">
        <v>122</v>
      </c>
    </row>
    <row r="1745" spans="1:19">
      <c r="A1745">
        <v>60000476</v>
      </c>
      <c r="B1745">
        <v>46</v>
      </c>
      <c r="C1745" t="s">
        <v>33</v>
      </c>
      <c r="D1745" t="s">
        <v>19</v>
      </c>
      <c r="E1745" t="s">
        <v>64</v>
      </c>
      <c r="F1745" t="s">
        <v>120</v>
      </c>
      <c r="G1745" s="23">
        <v>0.31</v>
      </c>
      <c r="H1745" t="s">
        <v>53</v>
      </c>
      <c r="I1745" t="s">
        <v>73</v>
      </c>
      <c r="J1745" t="s">
        <v>24</v>
      </c>
      <c r="K1745" t="s">
        <v>105</v>
      </c>
      <c r="L1745" t="s">
        <v>119</v>
      </c>
      <c r="M1745" t="s">
        <v>124</v>
      </c>
      <c r="N1745" t="s">
        <v>28</v>
      </c>
      <c r="O1745">
        <v>3</v>
      </c>
      <c r="P1745">
        <v>84609</v>
      </c>
      <c r="Q1745">
        <f t="shared" si="30"/>
        <v>8.4609000000000004E-2</v>
      </c>
      <c r="R1745">
        <v>43252</v>
      </c>
      <c r="S1745" t="s">
        <v>122</v>
      </c>
    </row>
    <row r="1746" spans="1:19">
      <c r="A1746">
        <v>60000477</v>
      </c>
      <c r="B1746">
        <v>50</v>
      </c>
      <c r="C1746" t="s">
        <v>18</v>
      </c>
      <c r="D1746" t="s">
        <v>40</v>
      </c>
      <c r="E1746" t="s">
        <v>72</v>
      </c>
      <c r="F1746" t="s">
        <v>35</v>
      </c>
      <c r="G1746" s="23">
        <v>0.11</v>
      </c>
      <c r="H1746" t="s">
        <v>36</v>
      </c>
      <c r="I1746" t="s">
        <v>68</v>
      </c>
      <c r="J1746" t="s">
        <v>78</v>
      </c>
      <c r="K1746" t="s">
        <v>104</v>
      </c>
      <c r="L1746" t="s">
        <v>26</v>
      </c>
      <c r="M1746" t="s">
        <v>124</v>
      </c>
      <c r="N1746" t="s">
        <v>28</v>
      </c>
      <c r="O1746">
        <v>5</v>
      </c>
      <c r="P1746">
        <v>55080</v>
      </c>
      <c r="Q1746">
        <f t="shared" si="30"/>
        <v>5.5079999999999997E-2</v>
      </c>
      <c r="R1746">
        <v>43252</v>
      </c>
      <c r="S1746" t="s">
        <v>122</v>
      </c>
    </row>
    <row r="1747" spans="1:19">
      <c r="A1747">
        <v>60000478</v>
      </c>
      <c r="B1747">
        <v>25</v>
      </c>
      <c r="C1747" t="s">
        <v>33</v>
      </c>
      <c r="D1747" t="s">
        <v>19</v>
      </c>
      <c r="E1747" t="s">
        <v>52</v>
      </c>
      <c r="F1747" t="s">
        <v>21</v>
      </c>
      <c r="G1747" s="23">
        <v>0.35</v>
      </c>
      <c r="H1747" t="s">
        <v>42</v>
      </c>
      <c r="I1747" t="s">
        <v>57</v>
      </c>
      <c r="J1747" t="s">
        <v>74</v>
      </c>
      <c r="K1747" t="s">
        <v>49</v>
      </c>
      <c r="L1747" t="s">
        <v>26</v>
      </c>
      <c r="M1747" t="s">
        <v>124</v>
      </c>
      <c r="N1747" t="s">
        <v>28</v>
      </c>
      <c r="O1747">
        <v>3</v>
      </c>
      <c r="P1747">
        <v>56686</v>
      </c>
      <c r="Q1747">
        <f t="shared" si="30"/>
        <v>5.6686E-2</v>
      </c>
      <c r="R1747">
        <v>43252</v>
      </c>
      <c r="S1747" t="s">
        <v>122</v>
      </c>
    </row>
    <row r="1748" spans="1:19">
      <c r="A1748">
        <v>60000479</v>
      </c>
      <c r="B1748">
        <v>38</v>
      </c>
      <c r="C1748" t="s">
        <v>33</v>
      </c>
      <c r="D1748" t="s">
        <v>19</v>
      </c>
      <c r="E1748" t="s">
        <v>20</v>
      </c>
      <c r="F1748" t="s">
        <v>21</v>
      </c>
      <c r="G1748" s="23">
        <v>0.35</v>
      </c>
      <c r="H1748" t="s">
        <v>42</v>
      </c>
      <c r="I1748" t="s">
        <v>86</v>
      </c>
      <c r="J1748" t="s">
        <v>78</v>
      </c>
      <c r="K1748" t="s">
        <v>49</v>
      </c>
      <c r="L1748" t="s">
        <v>26</v>
      </c>
      <c r="M1748" t="s">
        <v>124</v>
      </c>
      <c r="N1748" t="s">
        <v>51</v>
      </c>
      <c r="O1748">
        <v>5</v>
      </c>
      <c r="P1748">
        <v>61577</v>
      </c>
      <c r="Q1748">
        <f t="shared" si="30"/>
        <v>6.1577E-2</v>
      </c>
      <c r="R1748">
        <v>43252</v>
      </c>
      <c r="S1748" t="s">
        <v>122</v>
      </c>
    </row>
    <row r="1749" spans="1:19">
      <c r="A1749">
        <v>60000480</v>
      </c>
      <c r="B1749">
        <v>38</v>
      </c>
      <c r="C1749" t="s">
        <v>33</v>
      </c>
      <c r="D1749" t="s">
        <v>19</v>
      </c>
      <c r="E1749" t="s">
        <v>85</v>
      </c>
      <c r="F1749" t="s">
        <v>35</v>
      </c>
      <c r="G1749" s="23">
        <v>0.2</v>
      </c>
      <c r="H1749" t="s">
        <v>29</v>
      </c>
      <c r="I1749" t="s">
        <v>80</v>
      </c>
      <c r="J1749" t="s">
        <v>38</v>
      </c>
      <c r="K1749" t="s">
        <v>97</v>
      </c>
      <c r="L1749" t="s">
        <v>26</v>
      </c>
      <c r="M1749" t="s">
        <v>124</v>
      </c>
      <c r="N1749" t="s">
        <v>28</v>
      </c>
      <c r="O1749">
        <v>0</v>
      </c>
      <c r="P1749">
        <v>56751</v>
      </c>
      <c r="Q1749">
        <f t="shared" si="30"/>
        <v>5.6751000000000003E-2</v>
      </c>
      <c r="R1749">
        <v>43252</v>
      </c>
      <c r="S1749" t="s">
        <v>122</v>
      </c>
    </row>
    <row r="1750" spans="1:19">
      <c r="A1750">
        <v>60000481</v>
      </c>
      <c r="B1750">
        <v>45</v>
      </c>
      <c r="C1750" t="s">
        <v>18</v>
      </c>
      <c r="D1750" t="s">
        <v>19</v>
      </c>
      <c r="E1750" t="s">
        <v>34</v>
      </c>
      <c r="F1750" t="s">
        <v>21</v>
      </c>
      <c r="G1750" s="23">
        <v>0.32</v>
      </c>
      <c r="H1750" t="s">
        <v>42</v>
      </c>
      <c r="I1750" t="s">
        <v>76</v>
      </c>
      <c r="J1750" t="s">
        <v>31</v>
      </c>
      <c r="K1750" t="s">
        <v>108</v>
      </c>
      <c r="L1750" t="s">
        <v>119</v>
      </c>
      <c r="M1750" t="s">
        <v>124</v>
      </c>
      <c r="N1750" t="s">
        <v>28</v>
      </c>
      <c r="O1750">
        <v>3</v>
      </c>
      <c r="P1750">
        <v>68563</v>
      </c>
      <c r="Q1750">
        <f t="shared" si="30"/>
        <v>6.8562999999999999E-2</v>
      </c>
      <c r="R1750">
        <v>43252</v>
      </c>
      <c r="S1750" t="s">
        <v>122</v>
      </c>
    </row>
    <row r="1751" spans="1:19">
      <c r="A1751">
        <v>60000482</v>
      </c>
      <c r="B1751">
        <v>48</v>
      </c>
      <c r="C1751" t="s">
        <v>18</v>
      </c>
      <c r="D1751" t="s">
        <v>19</v>
      </c>
      <c r="E1751" t="s">
        <v>20</v>
      </c>
      <c r="F1751" t="s">
        <v>21</v>
      </c>
      <c r="G1751" s="23">
        <v>0.31</v>
      </c>
      <c r="H1751" t="s">
        <v>53</v>
      </c>
      <c r="I1751" t="s">
        <v>73</v>
      </c>
      <c r="J1751" t="s">
        <v>38</v>
      </c>
      <c r="K1751" t="s">
        <v>114</v>
      </c>
      <c r="L1751" t="s">
        <v>26</v>
      </c>
      <c r="M1751" t="s">
        <v>124</v>
      </c>
      <c r="N1751" t="s">
        <v>51</v>
      </c>
      <c r="O1751">
        <v>3</v>
      </c>
      <c r="P1751">
        <v>71105</v>
      </c>
      <c r="Q1751">
        <f t="shared" si="30"/>
        <v>7.1105000000000002E-2</v>
      </c>
      <c r="R1751">
        <v>43252</v>
      </c>
      <c r="S1751" t="s">
        <v>122</v>
      </c>
    </row>
    <row r="1752" spans="1:19">
      <c r="A1752">
        <v>60000483</v>
      </c>
      <c r="B1752">
        <v>57</v>
      </c>
      <c r="C1752" t="s">
        <v>33</v>
      </c>
      <c r="D1752" t="s">
        <v>40</v>
      </c>
      <c r="E1752" t="s">
        <v>64</v>
      </c>
      <c r="F1752" t="s">
        <v>35</v>
      </c>
      <c r="G1752" s="23">
        <v>0.35</v>
      </c>
      <c r="H1752" t="s">
        <v>42</v>
      </c>
      <c r="I1752" t="s">
        <v>57</v>
      </c>
      <c r="J1752" t="s">
        <v>38</v>
      </c>
      <c r="K1752" t="s">
        <v>89</v>
      </c>
      <c r="L1752" t="s">
        <v>119</v>
      </c>
      <c r="M1752" t="s">
        <v>124</v>
      </c>
      <c r="N1752" t="s">
        <v>51</v>
      </c>
      <c r="O1752">
        <v>1</v>
      </c>
      <c r="P1752">
        <v>60253</v>
      </c>
      <c r="Q1752">
        <f t="shared" si="30"/>
        <v>6.0253000000000001E-2</v>
      </c>
      <c r="R1752">
        <v>43252</v>
      </c>
      <c r="S1752" t="s">
        <v>122</v>
      </c>
    </row>
    <row r="1753" spans="1:19">
      <c r="A1753">
        <v>60000484</v>
      </c>
      <c r="B1753">
        <v>60</v>
      </c>
      <c r="C1753" t="s">
        <v>33</v>
      </c>
      <c r="D1753" t="s">
        <v>19</v>
      </c>
      <c r="E1753" t="s">
        <v>85</v>
      </c>
      <c r="F1753" t="s">
        <v>21</v>
      </c>
      <c r="G1753" s="23">
        <v>0.3</v>
      </c>
      <c r="H1753" t="s">
        <v>53</v>
      </c>
      <c r="I1753" t="s">
        <v>37</v>
      </c>
      <c r="J1753" t="s">
        <v>58</v>
      </c>
      <c r="K1753" t="s">
        <v>99</v>
      </c>
      <c r="L1753" t="s">
        <v>119</v>
      </c>
      <c r="M1753" t="s">
        <v>124</v>
      </c>
      <c r="N1753" t="s">
        <v>28</v>
      </c>
      <c r="O1753">
        <v>1</v>
      </c>
      <c r="P1753">
        <v>80860</v>
      </c>
      <c r="Q1753">
        <f t="shared" si="30"/>
        <v>8.0860000000000001E-2</v>
      </c>
      <c r="R1753">
        <v>43252</v>
      </c>
      <c r="S1753" t="s">
        <v>122</v>
      </c>
    </row>
    <row r="1754" spans="1:19">
      <c r="A1754">
        <v>60000485</v>
      </c>
      <c r="B1754">
        <v>33</v>
      </c>
      <c r="C1754" t="s">
        <v>18</v>
      </c>
      <c r="D1754" t="s">
        <v>40</v>
      </c>
      <c r="E1754" t="s">
        <v>48</v>
      </c>
      <c r="F1754" t="s">
        <v>21</v>
      </c>
      <c r="G1754" s="23">
        <v>0.11</v>
      </c>
      <c r="H1754" t="s">
        <v>36</v>
      </c>
      <c r="I1754" t="s">
        <v>62</v>
      </c>
      <c r="J1754" t="s">
        <v>58</v>
      </c>
      <c r="K1754" t="s">
        <v>107</v>
      </c>
      <c r="L1754" t="s">
        <v>119</v>
      </c>
      <c r="M1754" t="s">
        <v>124</v>
      </c>
      <c r="N1754" t="s">
        <v>28</v>
      </c>
      <c r="O1754">
        <v>0</v>
      </c>
      <c r="P1754">
        <v>48374</v>
      </c>
      <c r="Q1754">
        <f t="shared" si="30"/>
        <v>4.8374E-2</v>
      </c>
      <c r="R1754">
        <v>43252</v>
      </c>
      <c r="S1754" t="s">
        <v>122</v>
      </c>
    </row>
    <row r="1755" spans="1:19">
      <c r="A1755">
        <v>60000486</v>
      </c>
      <c r="B1755">
        <v>61</v>
      </c>
      <c r="C1755" t="s">
        <v>18</v>
      </c>
      <c r="D1755" t="s">
        <v>19</v>
      </c>
      <c r="E1755" t="s">
        <v>56</v>
      </c>
      <c r="F1755" t="s">
        <v>21</v>
      </c>
      <c r="G1755" s="23">
        <v>0.14000000000000001</v>
      </c>
      <c r="H1755" t="s">
        <v>22</v>
      </c>
      <c r="I1755" t="s">
        <v>80</v>
      </c>
      <c r="J1755" t="s">
        <v>54</v>
      </c>
      <c r="K1755" t="s">
        <v>50</v>
      </c>
      <c r="L1755" t="s">
        <v>121</v>
      </c>
      <c r="M1755" t="s">
        <v>124</v>
      </c>
      <c r="N1755" t="s">
        <v>51</v>
      </c>
      <c r="O1755">
        <v>0</v>
      </c>
      <c r="P1755">
        <v>51538</v>
      </c>
      <c r="Q1755">
        <f t="shared" si="30"/>
        <v>5.1538E-2</v>
      </c>
      <c r="R1755">
        <v>43252</v>
      </c>
      <c r="S1755" t="s">
        <v>122</v>
      </c>
    </row>
    <row r="1756" spans="1:19">
      <c r="A1756">
        <v>60000487</v>
      </c>
      <c r="B1756">
        <v>40</v>
      </c>
      <c r="C1756" t="s">
        <v>33</v>
      </c>
      <c r="D1756" t="s">
        <v>40</v>
      </c>
      <c r="E1756" t="s">
        <v>67</v>
      </c>
      <c r="F1756" t="s">
        <v>35</v>
      </c>
      <c r="G1756" s="23">
        <v>0.18</v>
      </c>
      <c r="H1756" t="s">
        <v>22</v>
      </c>
      <c r="I1756" t="s">
        <v>83</v>
      </c>
      <c r="J1756" t="s">
        <v>88</v>
      </c>
      <c r="K1756" t="s">
        <v>100</v>
      </c>
      <c r="L1756" t="s">
        <v>119</v>
      </c>
      <c r="M1756" t="s">
        <v>124</v>
      </c>
      <c r="N1756" t="s">
        <v>28</v>
      </c>
      <c r="O1756">
        <v>1</v>
      </c>
      <c r="P1756">
        <v>39944</v>
      </c>
      <c r="Q1756">
        <f t="shared" si="30"/>
        <v>3.9944E-2</v>
      </c>
      <c r="R1756">
        <v>43252</v>
      </c>
      <c r="S1756" t="s">
        <v>122</v>
      </c>
    </row>
    <row r="1757" spans="1:19">
      <c r="A1757">
        <v>60000488</v>
      </c>
      <c r="B1757">
        <v>63</v>
      </c>
      <c r="C1757" t="s">
        <v>18</v>
      </c>
      <c r="D1757" t="s">
        <v>19</v>
      </c>
      <c r="E1757" t="s">
        <v>56</v>
      </c>
      <c r="F1757" t="s">
        <v>35</v>
      </c>
      <c r="G1757" s="23">
        <v>0.11</v>
      </c>
      <c r="H1757" t="s">
        <v>36</v>
      </c>
      <c r="I1757" t="s">
        <v>30</v>
      </c>
      <c r="J1757" t="s">
        <v>38</v>
      </c>
      <c r="K1757" t="s">
        <v>97</v>
      </c>
      <c r="L1757" t="s">
        <v>26</v>
      </c>
      <c r="M1757" t="s">
        <v>124</v>
      </c>
      <c r="N1757" t="s">
        <v>28</v>
      </c>
      <c r="O1757">
        <v>2</v>
      </c>
      <c r="P1757">
        <v>84587</v>
      </c>
      <c r="Q1757">
        <f t="shared" si="30"/>
        <v>8.4586999999999996E-2</v>
      </c>
      <c r="R1757">
        <v>43252</v>
      </c>
      <c r="S1757" t="s">
        <v>122</v>
      </c>
    </row>
    <row r="1758" spans="1:19">
      <c r="A1758">
        <v>60000489</v>
      </c>
      <c r="B1758">
        <v>42</v>
      </c>
      <c r="C1758" t="s">
        <v>33</v>
      </c>
      <c r="D1758" t="s">
        <v>40</v>
      </c>
      <c r="E1758" t="s">
        <v>20</v>
      </c>
      <c r="F1758" t="s">
        <v>120</v>
      </c>
      <c r="G1758" s="23">
        <v>0.36</v>
      </c>
      <c r="H1758" t="s">
        <v>42</v>
      </c>
      <c r="I1758" t="s">
        <v>60</v>
      </c>
      <c r="J1758" t="s">
        <v>31</v>
      </c>
      <c r="K1758" t="s">
        <v>82</v>
      </c>
      <c r="L1758" t="s">
        <v>119</v>
      </c>
      <c r="M1758" t="s">
        <v>124</v>
      </c>
      <c r="N1758" t="s">
        <v>51</v>
      </c>
      <c r="O1758">
        <v>0</v>
      </c>
      <c r="P1758">
        <v>30344</v>
      </c>
      <c r="Q1758">
        <f t="shared" si="30"/>
        <v>3.0343999999999999E-2</v>
      </c>
      <c r="R1758">
        <v>43252</v>
      </c>
      <c r="S1758" t="s">
        <v>122</v>
      </c>
    </row>
    <row r="1759" spans="1:19">
      <c r="A1759">
        <v>60000490</v>
      </c>
      <c r="B1759">
        <v>39</v>
      </c>
      <c r="C1759" t="s">
        <v>18</v>
      </c>
      <c r="D1759" t="s">
        <v>19</v>
      </c>
      <c r="E1759" t="s">
        <v>56</v>
      </c>
      <c r="F1759" t="s">
        <v>120</v>
      </c>
      <c r="G1759" s="23">
        <v>0.24</v>
      </c>
      <c r="H1759" t="s">
        <v>29</v>
      </c>
      <c r="I1759" t="s">
        <v>70</v>
      </c>
      <c r="J1759" t="s">
        <v>61</v>
      </c>
      <c r="K1759" t="s">
        <v>118</v>
      </c>
      <c r="L1759" t="s">
        <v>119</v>
      </c>
      <c r="M1759" t="s">
        <v>124</v>
      </c>
      <c r="N1759" t="s">
        <v>28</v>
      </c>
      <c r="O1759">
        <v>2</v>
      </c>
      <c r="P1759">
        <v>37773</v>
      </c>
      <c r="Q1759">
        <f t="shared" si="30"/>
        <v>3.7773000000000001E-2</v>
      </c>
      <c r="R1759">
        <v>43252</v>
      </c>
      <c r="S1759" t="s">
        <v>122</v>
      </c>
    </row>
    <row r="1760" spans="1:19">
      <c r="A1760">
        <v>60000491</v>
      </c>
      <c r="B1760">
        <v>50</v>
      </c>
      <c r="C1760" t="s">
        <v>33</v>
      </c>
      <c r="D1760" t="s">
        <v>19</v>
      </c>
      <c r="E1760" t="s">
        <v>20</v>
      </c>
      <c r="F1760" t="s">
        <v>21</v>
      </c>
      <c r="G1760" s="23">
        <v>0.32</v>
      </c>
      <c r="H1760" t="s">
        <v>42</v>
      </c>
      <c r="I1760" t="s">
        <v>60</v>
      </c>
      <c r="J1760" t="s">
        <v>74</v>
      </c>
      <c r="K1760" t="s">
        <v>90</v>
      </c>
      <c r="L1760" t="s">
        <v>119</v>
      </c>
      <c r="M1760" t="s">
        <v>124</v>
      </c>
      <c r="N1760" t="s">
        <v>28</v>
      </c>
      <c r="O1760">
        <v>7</v>
      </c>
      <c r="P1760">
        <v>54503</v>
      </c>
      <c r="Q1760">
        <f t="shared" si="30"/>
        <v>5.4503000000000003E-2</v>
      </c>
      <c r="R1760">
        <v>43252</v>
      </c>
      <c r="S1760" t="s">
        <v>122</v>
      </c>
    </row>
    <row r="1761" spans="1:19">
      <c r="A1761">
        <v>60000492</v>
      </c>
      <c r="B1761">
        <v>33</v>
      </c>
      <c r="C1761" t="s">
        <v>18</v>
      </c>
      <c r="D1761" t="s">
        <v>19</v>
      </c>
      <c r="E1761" t="s">
        <v>52</v>
      </c>
      <c r="F1761" t="s">
        <v>120</v>
      </c>
      <c r="G1761" s="23">
        <v>0.17</v>
      </c>
      <c r="H1761" t="s">
        <v>22</v>
      </c>
      <c r="I1761" t="s">
        <v>73</v>
      </c>
      <c r="J1761" t="s">
        <v>54</v>
      </c>
      <c r="K1761" t="s">
        <v>43</v>
      </c>
      <c r="L1761" t="s">
        <v>119</v>
      </c>
      <c r="M1761" t="s">
        <v>124</v>
      </c>
      <c r="N1761" t="s">
        <v>51</v>
      </c>
      <c r="O1761">
        <v>2</v>
      </c>
      <c r="P1761">
        <v>69843</v>
      </c>
      <c r="Q1761">
        <f t="shared" si="30"/>
        <v>6.9843000000000002E-2</v>
      </c>
      <c r="R1761">
        <v>43252</v>
      </c>
      <c r="S1761" t="s">
        <v>122</v>
      </c>
    </row>
    <row r="1762" spans="1:19">
      <c r="A1762">
        <v>60000493</v>
      </c>
      <c r="B1762">
        <v>58</v>
      </c>
      <c r="C1762" t="s">
        <v>18</v>
      </c>
      <c r="D1762" t="s">
        <v>40</v>
      </c>
      <c r="E1762" t="s">
        <v>44</v>
      </c>
      <c r="F1762" t="s">
        <v>35</v>
      </c>
      <c r="G1762" s="23">
        <v>0.26</v>
      </c>
      <c r="H1762" t="s">
        <v>53</v>
      </c>
      <c r="I1762" t="s">
        <v>37</v>
      </c>
      <c r="J1762" t="s">
        <v>74</v>
      </c>
      <c r="K1762" t="s">
        <v>60</v>
      </c>
      <c r="L1762" t="s">
        <v>119</v>
      </c>
      <c r="M1762" t="s">
        <v>124</v>
      </c>
      <c r="N1762" t="s">
        <v>51</v>
      </c>
      <c r="O1762">
        <v>2</v>
      </c>
      <c r="P1762">
        <v>52179</v>
      </c>
      <c r="Q1762">
        <f t="shared" si="30"/>
        <v>5.2179000000000003E-2</v>
      </c>
      <c r="R1762">
        <v>43252</v>
      </c>
      <c r="S1762" t="s">
        <v>122</v>
      </c>
    </row>
    <row r="1763" spans="1:19">
      <c r="A1763">
        <v>60000494</v>
      </c>
      <c r="B1763">
        <v>51</v>
      </c>
      <c r="C1763" t="s">
        <v>18</v>
      </c>
      <c r="D1763" t="s">
        <v>19</v>
      </c>
      <c r="E1763" t="s">
        <v>67</v>
      </c>
      <c r="F1763" t="s">
        <v>120</v>
      </c>
      <c r="G1763" s="23">
        <v>0.28999999999999998</v>
      </c>
      <c r="H1763" t="s">
        <v>53</v>
      </c>
      <c r="I1763" t="s">
        <v>45</v>
      </c>
      <c r="J1763" t="s">
        <v>46</v>
      </c>
      <c r="K1763" t="s">
        <v>83</v>
      </c>
      <c r="L1763" t="s">
        <v>26</v>
      </c>
      <c r="M1763" t="s">
        <v>124</v>
      </c>
      <c r="N1763" t="s">
        <v>51</v>
      </c>
      <c r="O1763">
        <v>0</v>
      </c>
      <c r="P1763">
        <v>74828</v>
      </c>
      <c r="Q1763">
        <f t="shared" si="30"/>
        <v>7.4828000000000006E-2</v>
      </c>
      <c r="R1763">
        <v>43252</v>
      </c>
      <c r="S1763" t="s">
        <v>122</v>
      </c>
    </row>
    <row r="1764" spans="1:19">
      <c r="A1764">
        <v>60000495</v>
      </c>
      <c r="B1764">
        <v>55</v>
      </c>
      <c r="C1764" t="s">
        <v>18</v>
      </c>
      <c r="D1764" t="s">
        <v>40</v>
      </c>
      <c r="E1764" t="s">
        <v>34</v>
      </c>
      <c r="F1764" t="s">
        <v>35</v>
      </c>
      <c r="G1764" s="23">
        <v>0.1</v>
      </c>
      <c r="H1764" t="s">
        <v>36</v>
      </c>
      <c r="I1764" t="s">
        <v>30</v>
      </c>
      <c r="J1764" t="s">
        <v>69</v>
      </c>
      <c r="K1764" t="s">
        <v>81</v>
      </c>
      <c r="L1764" t="s">
        <v>119</v>
      </c>
      <c r="M1764" t="s">
        <v>124</v>
      </c>
      <c r="N1764" t="s">
        <v>28</v>
      </c>
      <c r="O1764">
        <v>0</v>
      </c>
      <c r="P1764">
        <v>33616</v>
      </c>
      <c r="Q1764">
        <f t="shared" si="30"/>
        <v>3.3616E-2</v>
      </c>
      <c r="R1764">
        <v>43252</v>
      </c>
      <c r="S1764" t="s">
        <v>122</v>
      </c>
    </row>
    <row r="1765" spans="1:19">
      <c r="A1765">
        <v>60000496</v>
      </c>
      <c r="B1765">
        <v>20</v>
      </c>
      <c r="C1765" t="s">
        <v>18</v>
      </c>
      <c r="D1765" t="s">
        <v>40</v>
      </c>
      <c r="E1765" t="s">
        <v>44</v>
      </c>
      <c r="F1765" t="s">
        <v>21</v>
      </c>
      <c r="G1765" s="23">
        <v>0.18</v>
      </c>
      <c r="H1765" t="s">
        <v>22</v>
      </c>
      <c r="I1765" t="s">
        <v>76</v>
      </c>
      <c r="J1765" t="s">
        <v>88</v>
      </c>
      <c r="K1765" t="s">
        <v>110</v>
      </c>
      <c r="L1765" t="s">
        <v>121</v>
      </c>
      <c r="M1765" t="s">
        <v>124</v>
      </c>
      <c r="N1765" t="s">
        <v>28</v>
      </c>
      <c r="O1765">
        <v>0</v>
      </c>
      <c r="P1765">
        <v>26557</v>
      </c>
      <c r="Q1765">
        <f t="shared" si="30"/>
        <v>2.6557000000000001E-2</v>
      </c>
      <c r="R1765">
        <v>43252</v>
      </c>
      <c r="S1765" t="s">
        <v>122</v>
      </c>
    </row>
    <row r="1766" spans="1:19">
      <c r="A1766">
        <v>60000497</v>
      </c>
      <c r="B1766">
        <v>31</v>
      </c>
      <c r="C1766" t="s">
        <v>18</v>
      </c>
      <c r="D1766" t="s">
        <v>40</v>
      </c>
      <c r="E1766" t="s">
        <v>67</v>
      </c>
      <c r="F1766" t="s">
        <v>21</v>
      </c>
      <c r="G1766" s="23">
        <v>0.3</v>
      </c>
      <c r="H1766" t="s">
        <v>53</v>
      </c>
      <c r="I1766" t="s">
        <v>86</v>
      </c>
      <c r="J1766" t="s">
        <v>58</v>
      </c>
      <c r="K1766" t="s">
        <v>112</v>
      </c>
      <c r="L1766" t="s">
        <v>26</v>
      </c>
      <c r="M1766" t="s">
        <v>124</v>
      </c>
      <c r="N1766" t="s">
        <v>28</v>
      </c>
      <c r="O1766">
        <v>0</v>
      </c>
      <c r="P1766">
        <v>62858</v>
      </c>
      <c r="Q1766">
        <f t="shared" si="30"/>
        <v>6.2857999999999997E-2</v>
      </c>
      <c r="R1766">
        <v>43252</v>
      </c>
      <c r="S1766" t="s">
        <v>122</v>
      </c>
    </row>
    <row r="1767" spans="1:19">
      <c r="A1767">
        <v>60000498</v>
      </c>
      <c r="B1767">
        <v>22</v>
      </c>
      <c r="C1767" t="s">
        <v>33</v>
      </c>
      <c r="D1767" t="s">
        <v>40</v>
      </c>
      <c r="E1767" t="s">
        <v>41</v>
      </c>
      <c r="F1767" t="s">
        <v>21</v>
      </c>
      <c r="G1767" s="23">
        <v>0.33</v>
      </c>
      <c r="H1767" t="s">
        <v>42</v>
      </c>
      <c r="I1767" t="s">
        <v>68</v>
      </c>
      <c r="J1767" t="s">
        <v>78</v>
      </c>
      <c r="K1767" t="s">
        <v>111</v>
      </c>
      <c r="L1767" t="s">
        <v>119</v>
      </c>
      <c r="M1767" t="s">
        <v>124</v>
      </c>
      <c r="N1767" t="s">
        <v>28</v>
      </c>
      <c r="O1767">
        <v>1</v>
      </c>
      <c r="P1767">
        <v>61560</v>
      </c>
      <c r="Q1767">
        <f t="shared" si="30"/>
        <v>6.1559999999999997E-2</v>
      </c>
      <c r="R1767">
        <v>43252</v>
      </c>
      <c r="S1767" t="s">
        <v>122</v>
      </c>
    </row>
    <row r="1768" spans="1:19">
      <c r="A1768">
        <v>60000499</v>
      </c>
      <c r="B1768">
        <v>49</v>
      </c>
      <c r="C1768" t="s">
        <v>33</v>
      </c>
      <c r="D1768" t="s">
        <v>19</v>
      </c>
      <c r="E1768" t="s">
        <v>41</v>
      </c>
      <c r="F1768" t="s">
        <v>21</v>
      </c>
      <c r="G1768" s="23">
        <v>0.18</v>
      </c>
      <c r="H1768" t="s">
        <v>22</v>
      </c>
      <c r="I1768" t="s">
        <v>73</v>
      </c>
      <c r="J1768" t="s">
        <v>58</v>
      </c>
      <c r="K1768" t="s">
        <v>71</v>
      </c>
      <c r="L1768" t="s">
        <v>121</v>
      </c>
      <c r="M1768" t="s">
        <v>124</v>
      </c>
      <c r="N1768" t="s">
        <v>28</v>
      </c>
      <c r="O1768">
        <v>0</v>
      </c>
      <c r="P1768">
        <v>79005</v>
      </c>
      <c r="Q1768">
        <f t="shared" si="30"/>
        <v>7.9005000000000006E-2</v>
      </c>
      <c r="R1768">
        <v>43252</v>
      </c>
      <c r="S1768" t="s">
        <v>122</v>
      </c>
    </row>
    <row r="1769" spans="1:19">
      <c r="A1769">
        <v>60000500</v>
      </c>
      <c r="B1769">
        <v>42</v>
      </c>
      <c r="C1769" t="s">
        <v>33</v>
      </c>
      <c r="D1769" t="s">
        <v>40</v>
      </c>
      <c r="E1769" t="s">
        <v>41</v>
      </c>
      <c r="F1769" t="s">
        <v>35</v>
      </c>
      <c r="G1769" s="23">
        <v>0.28000000000000003</v>
      </c>
      <c r="H1769" t="s">
        <v>53</v>
      </c>
      <c r="I1769" t="s">
        <v>73</v>
      </c>
      <c r="J1769" t="s">
        <v>46</v>
      </c>
      <c r="K1769" t="s">
        <v>114</v>
      </c>
      <c r="L1769" t="s">
        <v>119</v>
      </c>
      <c r="M1769" t="s">
        <v>124</v>
      </c>
      <c r="N1769" t="s">
        <v>28</v>
      </c>
      <c r="O1769">
        <v>0</v>
      </c>
      <c r="P1769">
        <v>28323</v>
      </c>
      <c r="Q1769">
        <f t="shared" si="30"/>
        <v>2.8323000000000001E-2</v>
      </c>
      <c r="R1769">
        <v>43252</v>
      </c>
      <c r="S1769" t="s">
        <v>122</v>
      </c>
    </row>
    <row r="1770" spans="1:19">
      <c r="A1770">
        <v>60000501</v>
      </c>
      <c r="B1770">
        <v>37</v>
      </c>
      <c r="C1770" t="s">
        <v>33</v>
      </c>
      <c r="D1770" t="s">
        <v>19</v>
      </c>
      <c r="E1770" t="s">
        <v>67</v>
      </c>
      <c r="F1770" t="s">
        <v>120</v>
      </c>
      <c r="G1770" s="23">
        <v>0.18</v>
      </c>
      <c r="H1770" t="s">
        <v>22</v>
      </c>
      <c r="I1770" t="s">
        <v>57</v>
      </c>
      <c r="J1770" t="s">
        <v>38</v>
      </c>
      <c r="K1770" t="s">
        <v>59</v>
      </c>
      <c r="L1770" t="s">
        <v>121</v>
      </c>
      <c r="M1770" t="s">
        <v>124</v>
      </c>
      <c r="N1770" t="s">
        <v>51</v>
      </c>
      <c r="O1770">
        <v>4</v>
      </c>
      <c r="P1770">
        <v>52056</v>
      </c>
      <c r="Q1770">
        <f t="shared" si="30"/>
        <v>5.2055999999999998E-2</v>
      </c>
      <c r="R1770">
        <v>43252</v>
      </c>
      <c r="S1770" t="s">
        <v>122</v>
      </c>
    </row>
    <row r="1771" spans="1:19">
      <c r="A1771">
        <v>60000502</v>
      </c>
      <c r="B1771">
        <v>62</v>
      </c>
      <c r="C1771" t="s">
        <v>18</v>
      </c>
      <c r="D1771" t="s">
        <v>40</v>
      </c>
      <c r="E1771" t="s">
        <v>67</v>
      </c>
      <c r="F1771" t="s">
        <v>35</v>
      </c>
      <c r="G1771" s="23">
        <v>0.31</v>
      </c>
      <c r="H1771" t="s">
        <v>53</v>
      </c>
      <c r="I1771" t="s">
        <v>49</v>
      </c>
      <c r="J1771" t="s">
        <v>74</v>
      </c>
      <c r="K1771" t="s">
        <v>113</v>
      </c>
      <c r="L1771" t="s">
        <v>119</v>
      </c>
      <c r="M1771" t="s">
        <v>124</v>
      </c>
      <c r="N1771" t="s">
        <v>28</v>
      </c>
      <c r="O1771">
        <v>0</v>
      </c>
      <c r="P1771">
        <v>39339</v>
      </c>
      <c r="Q1771">
        <f t="shared" si="30"/>
        <v>3.9338999999999999E-2</v>
      </c>
      <c r="R1771">
        <v>43252</v>
      </c>
      <c r="S1771" t="s">
        <v>122</v>
      </c>
    </row>
    <row r="1772" spans="1:19">
      <c r="A1772">
        <v>60000503</v>
      </c>
      <c r="B1772">
        <v>24</v>
      </c>
      <c r="C1772" t="s">
        <v>33</v>
      </c>
      <c r="D1772" t="s">
        <v>40</v>
      </c>
      <c r="E1772" t="s">
        <v>44</v>
      </c>
      <c r="F1772" t="s">
        <v>35</v>
      </c>
      <c r="G1772" s="23">
        <v>0.27</v>
      </c>
      <c r="H1772" t="s">
        <v>53</v>
      </c>
      <c r="I1772" t="s">
        <v>86</v>
      </c>
      <c r="J1772" t="s">
        <v>38</v>
      </c>
      <c r="K1772" t="s">
        <v>50</v>
      </c>
      <c r="L1772" t="s">
        <v>119</v>
      </c>
      <c r="M1772" t="s">
        <v>124</v>
      </c>
      <c r="N1772" t="s">
        <v>51</v>
      </c>
      <c r="O1772">
        <v>0</v>
      </c>
      <c r="P1772">
        <v>41199</v>
      </c>
      <c r="Q1772">
        <f t="shared" si="30"/>
        <v>4.1199E-2</v>
      </c>
      <c r="R1772">
        <v>43252</v>
      </c>
      <c r="S1772" t="s">
        <v>122</v>
      </c>
    </row>
    <row r="1773" spans="1:19">
      <c r="A1773">
        <v>60000504</v>
      </c>
      <c r="B1773">
        <v>24</v>
      </c>
      <c r="C1773" t="s">
        <v>33</v>
      </c>
      <c r="D1773" t="s">
        <v>40</v>
      </c>
      <c r="E1773" t="s">
        <v>48</v>
      </c>
      <c r="F1773" t="s">
        <v>120</v>
      </c>
      <c r="G1773" s="23">
        <v>0.17</v>
      </c>
      <c r="H1773" t="s">
        <v>22</v>
      </c>
      <c r="I1773" t="s">
        <v>80</v>
      </c>
      <c r="J1773" t="s">
        <v>61</v>
      </c>
      <c r="K1773" t="s">
        <v>81</v>
      </c>
      <c r="L1773" t="s">
        <v>26</v>
      </c>
      <c r="M1773" t="s">
        <v>124</v>
      </c>
      <c r="N1773" t="s">
        <v>51</v>
      </c>
      <c r="O1773">
        <v>0</v>
      </c>
      <c r="P1773">
        <v>49602</v>
      </c>
      <c r="Q1773">
        <f t="shared" si="30"/>
        <v>4.9602E-2</v>
      </c>
      <c r="R1773">
        <v>43252</v>
      </c>
      <c r="S1773" t="s">
        <v>122</v>
      </c>
    </row>
    <row r="1774" spans="1:19">
      <c r="A1774">
        <v>60000505</v>
      </c>
      <c r="B1774">
        <v>52</v>
      </c>
      <c r="C1774" t="s">
        <v>18</v>
      </c>
      <c r="D1774" t="s">
        <v>40</v>
      </c>
      <c r="E1774" t="s">
        <v>85</v>
      </c>
      <c r="F1774" t="s">
        <v>35</v>
      </c>
      <c r="G1774" s="23">
        <v>0.2</v>
      </c>
      <c r="H1774" t="s">
        <v>29</v>
      </c>
      <c r="I1774" t="s">
        <v>30</v>
      </c>
      <c r="J1774" t="s">
        <v>46</v>
      </c>
      <c r="K1774" t="s">
        <v>25</v>
      </c>
      <c r="L1774" t="s">
        <v>26</v>
      </c>
      <c r="M1774" t="s">
        <v>124</v>
      </c>
      <c r="N1774" t="s">
        <v>51</v>
      </c>
      <c r="O1774">
        <v>0</v>
      </c>
      <c r="P1774">
        <v>36760</v>
      </c>
      <c r="Q1774">
        <f t="shared" si="30"/>
        <v>3.6760000000000001E-2</v>
      </c>
      <c r="R1774">
        <v>43252</v>
      </c>
      <c r="S1774" t="s">
        <v>122</v>
      </c>
    </row>
    <row r="1775" spans="1:19">
      <c r="A1775">
        <v>60000506</v>
      </c>
      <c r="B1775">
        <v>54</v>
      </c>
      <c r="C1775" t="s">
        <v>18</v>
      </c>
      <c r="D1775" t="s">
        <v>19</v>
      </c>
      <c r="E1775" t="s">
        <v>75</v>
      </c>
      <c r="F1775" t="s">
        <v>35</v>
      </c>
      <c r="G1775" s="23">
        <v>0.34</v>
      </c>
      <c r="H1775" t="s">
        <v>42</v>
      </c>
      <c r="I1775" t="s">
        <v>68</v>
      </c>
      <c r="J1775" t="s">
        <v>69</v>
      </c>
      <c r="K1775" t="s">
        <v>50</v>
      </c>
      <c r="L1775" t="s">
        <v>119</v>
      </c>
      <c r="M1775" t="s">
        <v>124</v>
      </c>
      <c r="N1775" t="s">
        <v>28</v>
      </c>
      <c r="O1775">
        <v>0</v>
      </c>
      <c r="P1775">
        <v>79375</v>
      </c>
      <c r="Q1775">
        <f t="shared" si="30"/>
        <v>7.9375000000000001E-2</v>
      </c>
      <c r="R1775">
        <v>43252</v>
      </c>
      <c r="S1775" t="s">
        <v>122</v>
      </c>
    </row>
    <row r="1776" spans="1:19">
      <c r="A1776">
        <v>60000507</v>
      </c>
      <c r="B1776">
        <v>23</v>
      </c>
      <c r="C1776" t="s">
        <v>18</v>
      </c>
      <c r="D1776" t="s">
        <v>19</v>
      </c>
      <c r="E1776" t="s">
        <v>20</v>
      </c>
      <c r="F1776" t="s">
        <v>35</v>
      </c>
      <c r="G1776" s="23">
        <v>0.28000000000000003</v>
      </c>
      <c r="H1776" t="s">
        <v>53</v>
      </c>
      <c r="I1776" t="s">
        <v>80</v>
      </c>
      <c r="J1776" t="s">
        <v>66</v>
      </c>
      <c r="K1776" t="s">
        <v>113</v>
      </c>
      <c r="L1776" t="s">
        <v>121</v>
      </c>
      <c r="M1776" t="s">
        <v>124</v>
      </c>
      <c r="N1776" t="s">
        <v>51</v>
      </c>
      <c r="O1776">
        <v>7</v>
      </c>
      <c r="P1776">
        <v>77696</v>
      </c>
      <c r="Q1776">
        <f t="shared" si="30"/>
        <v>7.7696000000000001E-2</v>
      </c>
      <c r="R1776">
        <v>43252</v>
      </c>
      <c r="S1776" t="s">
        <v>122</v>
      </c>
    </row>
    <row r="1777" spans="1:19">
      <c r="A1777">
        <v>60000508</v>
      </c>
      <c r="B1777">
        <v>37</v>
      </c>
      <c r="C1777" t="s">
        <v>33</v>
      </c>
      <c r="D1777" t="s">
        <v>19</v>
      </c>
      <c r="E1777" t="s">
        <v>52</v>
      </c>
      <c r="F1777" t="s">
        <v>120</v>
      </c>
      <c r="G1777" s="23">
        <v>0.35</v>
      </c>
      <c r="H1777" t="s">
        <v>42</v>
      </c>
      <c r="I1777" t="s">
        <v>70</v>
      </c>
      <c r="J1777" t="s">
        <v>78</v>
      </c>
      <c r="K1777" t="s">
        <v>99</v>
      </c>
      <c r="L1777" t="s">
        <v>121</v>
      </c>
      <c r="M1777" t="s">
        <v>124</v>
      </c>
      <c r="N1777" t="s">
        <v>28</v>
      </c>
      <c r="O1777">
        <v>0</v>
      </c>
      <c r="P1777">
        <v>81384</v>
      </c>
      <c r="Q1777">
        <f t="shared" si="30"/>
        <v>8.1383999999999998E-2</v>
      </c>
      <c r="R1777">
        <v>43252</v>
      </c>
      <c r="S1777" t="s">
        <v>122</v>
      </c>
    </row>
    <row r="1778" spans="1:19">
      <c r="A1778">
        <v>60000509</v>
      </c>
      <c r="B1778">
        <v>22</v>
      </c>
      <c r="C1778" t="s">
        <v>18</v>
      </c>
      <c r="D1778" t="s">
        <v>19</v>
      </c>
      <c r="E1778" t="s">
        <v>48</v>
      </c>
      <c r="F1778" t="s">
        <v>120</v>
      </c>
      <c r="G1778" s="23">
        <v>0.36</v>
      </c>
      <c r="H1778" t="s">
        <v>42</v>
      </c>
      <c r="I1778" t="s">
        <v>23</v>
      </c>
      <c r="J1778" t="s">
        <v>46</v>
      </c>
      <c r="K1778" t="s">
        <v>50</v>
      </c>
      <c r="L1778" t="s">
        <v>26</v>
      </c>
      <c r="M1778" t="s">
        <v>124</v>
      </c>
      <c r="N1778" t="s">
        <v>51</v>
      </c>
      <c r="O1778">
        <v>0</v>
      </c>
      <c r="P1778">
        <v>64585</v>
      </c>
      <c r="Q1778">
        <f t="shared" si="30"/>
        <v>6.4585000000000004E-2</v>
      </c>
      <c r="R1778">
        <v>43252</v>
      </c>
      <c r="S1778" t="s">
        <v>122</v>
      </c>
    </row>
    <row r="1779" spans="1:19">
      <c r="A1779">
        <v>60000510</v>
      </c>
      <c r="B1779">
        <v>22</v>
      </c>
      <c r="C1779" t="s">
        <v>33</v>
      </c>
      <c r="D1779" t="s">
        <v>19</v>
      </c>
      <c r="E1779" t="s">
        <v>64</v>
      </c>
      <c r="F1779" t="s">
        <v>35</v>
      </c>
      <c r="G1779" s="23">
        <v>0.38</v>
      </c>
      <c r="H1779" t="s">
        <v>42</v>
      </c>
      <c r="I1779" t="s">
        <v>65</v>
      </c>
      <c r="J1779" t="s">
        <v>74</v>
      </c>
      <c r="K1779" t="s">
        <v>65</v>
      </c>
      <c r="L1779" t="s">
        <v>119</v>
      </c>
      <c r="M1779" t="s">
        <v>124</v>
      </c>
      <c r="N1779" t="s">
        <v>51</v>
      </c>
      <c r="O1779">
        <v>6</v>
      </c>
      <c r="P1779">
        <v>26416</v>
      </c>
      <c r="Q1779">
        <f t="shared" si="30"/>
        <v>2.6415999999999999E-2</v>
      </c>
      <c r="R1779">
        <v>43252</v>
      </c>
      <c r="S1779" t="s">
        <v>122</v>
      </c>
    </row>
    <row r="1780" spans="1:19">
      <c r="A1780">
        <v>60000511</v>
      </c>
      <c r="B1780">
        <v>29</v>
      </c>
      <c r="C1780" t="s">
        <v>33</v>
      </c>
      <c r="D1780" t="s">
        <v>40</v>
      </c>
      <c r="E1780" t="s">
        <v>72</v>
      </c>
      <c r="F1780" t="s">
        <v>120</v>
      </c>
      <c r="G1780" s="23">
        <v>0.27</v>
      </c>
      <c r="H1780" t="s">
        <v>53</v>
      </c>
      <c r="I1780" t="s">
        <v>65</v>
      </c>
      <c r="J1780" t="s">
        <v>66</v>
      </c>
      <c r="K1780" t="s">
        <v>94</v>
      </c>
      <c r="L1780" t="s">
        <v>119</v>
      </c>
      <c r="M1780" t="s">
        <v>124</v>
      </c>
      <c r="N1780" t="s">
        <v>51</v>
      </c>
      <c r="O1780">
        <v>2</v>
      </c>
      <c r="P1780">
        <v>64046</v>
      </c>
      <c r="Q1780">
        <f t="shared" si="30"/>
        <v>6.4046000000000006E-2</v>
      </c>
      <c r="R1780">
        <v>43252</v>
      </c>
      <c r="S1780" t="s">
        <v>122</v>
      </c>
    </row>
    <row r="1781" spans="1:19">
      <c r="A1781">
        <v>60000512</v>
      </c>
      <c r="B1781">
        <v>38</v>
      </c>
      <c r="C1781" t="s">
        <v>18</v>
      </c>
      <c r="D1781" t="s">
        <v>40</v>
      </c>
      <c r="E1781" t="s">
        <v>44</v>
      </c>
      <c r="F1781" t="s">
        <v>35</v>
      </c>
      <c r="G1781" s="23">
        <v>0.35</v>
      </c>
      <c r="H1781" t="s">
        <v>42</v>
      </c>
      <c r="I1781" t="s">
        <v>23</v>
      </c>
      <c r="J1781" t="s">
        <v>46</v>
      </c>
      <c r="K1781" t="s">
        <v>112</v>
      </c>
      <c r="L1781" t="s">
        <v>121</v>
      </c>
      <c r="M1781" t="s">
        <v>124</v>
      </c>
      <c r="N1781" t="s">
        <v>51</v>
      </c>
      <c r="O1781">
        <v>7</v>
      </c>
      <c r="P1781">
        <v>24939</v>
      </c>
      <c r="Q1781">
        <f t="shared" si="30"/>
        <v>2.4938999999999999E-2</v>
      </c>
      <c r="R1781">
        <v>43252</v>
      </c>
      <c r="S1781" t="s">
        <v>122</v>
      </c>
    </row>
    <row r="1782" spans="1:19">
      <c r="A1782">
        <v>60000513</v>
      </c>
      <c r="B1782">
        <v>64</v>
      </c>
      <c r="C1782" t="s">
        <v>18</v>
      </c>
      <c r="D1782" t="s">
        <v>19</v>
      </c>
      <c r="E1782" t="s">
        <v>72</v>
      </c>
      <c r="F1782" t="s">
        <v>35</v>
      </c>
      <c r="G1782" s="23">
        <v>0.35</v>
      </c>
      <c r="H1782" t="s">
        <v>42</v>
      </c>
      <c r="I1782" t="s">
        <v>68</v>
      </c>
      <c r="J1782" t="s">
        <v>38</v>
      </c>
      <c r="K1782" t="s">
        <v>49</v>
      </c>
      <c r="L1782" t="s">
        <v>26</v>
      </c>
      <c r="M1782" t="s">
        <v>124</v>
      </c>
      <c r="N1782" t="s">
        <v>51</v>
      </c>
      <c r="O1782">
        <v>0</v>
      </c>
      <c r="P1782">
        <v>79838</v>
      </c>
      <c r="Q1782">
        <f t="shared" si="30"/>
        <v>7.9838000000000006E-2</v>
      </c>
      <c r="R1782">
        <v>43252</v>
      </c>
      <c r="S1782" t="s">
        <v>122</v>
      </c>
    </row>
    <row r="1783" spans="1:19">
      <c r="A1783">
        <v>60000514</v>
      </c>
      <c r="B1783">
        <v>59</v>
      </c>
      <c r="C1783" t="s">
        <v>18</v>
      </c>
      <c r="D1783" t="s">
        <v>40</v>
      </c>
      <c r="E1783" t="s">
        <v>67</v>
      </c>
      <c r="F1783" t="s">
        <v>21</v>
      </c>
      <c r="G1783" s="23">
        <v>0.19</v>
      </c>
      <c r="H1783" t="s">
        <v>29</v>
      </c>
      <c r="I1783" t="s">
        <v>30</v>
      </c>
      <c r="J1783" t="s">
        <v>38</v>
      </c>
      <c r="K1783" t="s">
        <v>108</v>
      </c>
      <c r="L1783" t="s">
        <v>26</v>
      </c>
      <c r="M1783" t="s">
        <v>124</v>
      </c>
      <c r="N1783" t="s">
        <v>28</v>
      </c>
      <c r="O1783">
        <v>7</v>
      </c>
      <c r="P1783">
        <v>28883</v>
      </c>
      <c r="Q1783">
        <f t="shared" si="30"/>
        <v>2.8882999999999999E-2</v>
      </c>
      <c r="R1783">
        <v>43252</v>
      </c>
      <c r="S1783" t="s">
        <v>122</v>
      </c>
    </row>
    <row r="1784" spans="1:19">
      <c r="A1784">
        <v>60000515</v>
      </c>
      <c r="B1784">
        <v>58</v>
      </c>
      <c r="C1784" t="s">
        <v>18</v>
      </c>
      <c r="D1784" t="s">
        <v>40</v>
      </c>
      <c r="E1784" t="s">
        <v>67</v>
      </c>
      <c r="F1784" t="s">
        <v>35</v>
      </c>
      <c r="G1784" s="23">
        <v>0.25</v>
      </c>
      <c r="H1784" t="s">
        <v>53</v>
      </c>
      <c r="I1784" t="s">
        <v>86</v>
      </c>
      <c r="J1784" t="s">
        <v>31</v>
      </c>
      <c r="K1784" t="s">
        <v>99</v>
      </c>
      <c r="L1784" t="s">
        <v>119</v>
      </c>
      <c r="M1784" t="s">
        <v>124</v>
      </c>
      <c r="N1784" t="s">
        <v>51</v>
      </c>
      <c r="O1784">
        <v>0</v>
      </c>
      <c r="P1784">
        <v>82172</v>
      </c>
      <c r="Q1784">
        <f t="shared" si="30"/>
        <v>8.2171999999999995E-2</v>
      </c>
      <c r="R1784">
        <v>43252</v>
      </c>
      <c r="S1784" t="s">
        <v>122</v>
      </c>
    </row>
    <row r="1785" spans="1:19">
      <c r="A1785">
        <v>60000516</v>
      </c>
      <c r="B1785">
        <v>22</v>
      </c>
      <c r="C1785" t="s">
        <v>18</v>
      </c>
      <c r="D1785" t="s">
        <v>19</v>
      </c>
      <c r="E1785" t="s">
        <v>64</v>
      </c>
      <c r="F1785" t="s">
        <v>21</v>
      </c>
      <c r="G1785" s="23">
        <v>0.18</v>
      </c>
      <c r="H1785" t="s">
        <v>22</v>
      </c>
      <c r="I1785" t="s">
        <v>60</v>
      </c>
      <c r="J1785" t="s">
        <v>24</v>
      </c>
      <c r="K1785" t="s">
        <v>84</v>
      </c>
      <c r="L1785" t="s">
        <v>119</v>
      </c>
      <c r="M1785" t="s">
        <v>124</v>
      </c>
      <c r="N1785" t="s">
        <v>51</v>
      </c>
      <c r="O1785">
        <v>0</v>
      </c>
      <c r="P1785">
        <v>49849</v>
      </c>
      <c r="Q1785">
        <f t="shared" si="30"/>
        <v>4.9848999999999997E-2</v>
      </c>
      <c r="R1785">
        <v>43252</v>
      </c>
      <c r="S1785" t="s">
        <v>122</v>
      </c>
    </row>
    <row r="1786" spans="1:19">
      <c r="A1786">
        <v>60000517</v>
      </c>
      <c r="B1786">
        <v>22</v>
      </c>
      <c r="C1786" t="s">
        <v>18</v>
      </c>
      <c r="D1786" t="s">
        <v>40</v>
      </c>
      <c r="E1786" t="s">
        <v>56</v>
      </c>
      <c r="F1786" t="s">
        <v>120</v>
      </c>
      <c r="G1786" s="23">
        <v>0.16</v>
      </c>
      <c r="H1786" t="s">
        <v>22</v>
      </c>
      <c r="I1786" t="s">
        <v>68</v>
      </c>
      <c r="J1786" t="s">
        <v>74</v>
      </c>
      <c r="K1786" t="s">
        <v>111</v>
      </c>
      <c r="L1786" t="s">
        <v>119</v>
      </c>
      <c r="M1786" t="s">
        <v>124</v>
      </c>
      <c r="N1786" t="s">
        <v>28</v>
      </c>
      <c r="O1786">
        <v>0</v>
      </c>
      <c r="P1786">
        <v>55350</v>
      </c>
      <c r="Q1786">
        <f t="shared" si="30"/>
        <v>5.5350000000000003E-2</v>
      </c>
      <c r="R1786">
        <v>43252</v>
      </c>
      <c r="S1786" t="s">
        <v>122</v>
      </c>
    </row>
    <row r="1787" spans="1:19">
      <c r="A1787">
        <v>60000518</v>
      </c>
      <c r="B1787">
        <v>45</v>
      </c>
      <c r="C1787" t="s">
        <v>18</v>
      </c>
      <c r="D1787" t="s">
        <v>19</v>
      </c>
      <c r="E1787" t="s">
        <v>75</v>
      </c>
      <c r="F1787" t="s">
        <v>21</v>
      </c>
      <c r="G1787" s="23">
        <v>0.28000000000000003</v>
      </c>
      <c r="H1787" t="s">
        <v>53</v>
      </c>
      <c r="I1787" t="s">
        <v>86</v>
      </c>
      <c r="J1787" t="s">
        <v>61</v>
      </c>
      <c r="K1787" t="s">
        <v>79</v>
      </c>
      <c r="L1787" t="s">
        <v>121</v>
      </c>
      <c r="M1787" t="s">
        <v>124</v>
      </c>
      <c r="N1787" t="s">
        <v>51</v>
      </c>
      <c r="O1787">
        <v>3</v>
      </c>
      <c r="P1787">
        <v>78750</v>
      </c>
      <c r="Q1787">
        <f t="shared" si="30"/>
        <v>7.8750000000000001E-2</v>
      </c>
      <c r="R1787">
        <v>43252</v>
      </c>
      <c r="S1787" t="s">
        <v>122</v>
      </c>
    </row>
    <row r="1788" spans="1:19">
      <c r="A1788">
        <v>60000519</v>
      </c>
      <c r="B1788">
        <v>26</v>
      </c>
      <c r="C1788" t="s">
        <v>33</v>
      </c>
      <c r="D1788" t="s">
        <v>19</v>
      </c>
      <c r="E1788" t="s">
        <v>44</v>
      </c>
      <c r="F1788" t="s">
        <v>21</v>
      </c>
      <c r="G1788" s="23">
        <v>0.17</v>
      </c>
      <c r="H1788" t="s">
        <v>22</v>
      </c>
      <c r="I1788" t="s">
        <v>73</v>
      </c>
      <c r="J1788" t="s">
        <v>66</v>
      </c>
      <c r="K1788" t="s">
        <v>65</v>
      </c>
      <c r="L1788" t="s">
        <v>119</v>
      </c>
      <c r="M1788" t="s">
        <v>124</v>
      </c>
      <c r="N1788" t="s">
        <v>51</v>
      </c>
      <c r="O1788">
        <v>3</v>
      </c>
      <c r="P1788">
        <v>76139</v>
      </c>
      <c r="Q1788">
        <f t="shared" si="30"/>
        <v>7.6138999999999998E-2</v>
      </c>
      <c r="R1788">
        <v>43252</v>
      </c>
      <c r="S1788" t="s">
        <v>122</v>
      </c>
    </row>
    <row r="1789" spans="1:19">
      <c r="A1789">
        <v>60000520</v>
      </c>
      <c r="B1789">
        <v>54</v>
      </c>
      <c r="C1789" t="s">
        <v>33</v>
      </c>
      <c r="D1789" t="s">
        <v>19</v>
      </c>
      <c r="E1789" t="s">
        <v>44</v>
      </c>
      <c r="F1789" t="s">
        <v>120</v>
      </c>
      <c r="G1789" s="23">
        <v>0.32</v>
      </c>
      <c r="H1789" t="s">
        <v>42</v>
      </c>
      <c r="I1789" t="s">
        <v>45</v>
      </c>
      <c r="J1789" t="s">
        <v>38</v>
      </c>
      <c r="K1789" t="s">
        <v>79</v>
      </c>
      <c r="L1789" t="s">
        <v>26</v>
      </c>
      <c r="M1789" t="s">
        <v>124</v>
      </c>
      <c r="N1789" t="s">
        <v>28</v>
      </c>
      <c r="O1789">
        <v>7</v>
      </c>
      <c r="P1789">
        <v>44697</v>
      </c>
      <c r="Q1789">
        <f t="shared" si="30"/>
        <v>4.4697000000000001E-2</v>
      </c>
      <c r="R1789">
        <v>43252</v>
      </c>
      <c r="S1789" t="s">
        <v>122</v>
      </c>
    </row>
    <row r="1790" spans="1:19">
      <c r="A1790">
        <v>60000521</v>
      </c>
      <c r="B1790">
        <v>32</v>
      </c>
      <c r="C1790" t="s">
        <v>33</v>
      </c>
      <c r="D1790" t="s">
        <v>19</v>
      </c>
      <c r="E1790" t="s">
        <v>34</v>
      </c>
      <c r="F1790" t="s">
        <v>21</v>
      </c>
      <c r="G1790" s="23">
        <v>0.32</v>
      </c>
      <c r="H1790" t="s">
        <v>42</v>
      </c>
      <c r="I1790" t="s">
        <v>57</v>
      </c>
      <c r="J1790" t="s">
        <v>78</v>
      </c>
      <c r="K1790" t="s">
        <v>118</v>
      </c>
      <c r="L1790" t="s">
        <v>26</v>
      </c>
      <c r="M1790" t="s">
        <v>124</v>
      </c>
      <c r="N1790" t="s">
        <v>51</v>
      </c>
      <c r="O1790">
        <v>3</v>
      </c>
      <c r="P1790">
        <v>29148</v>
      </c>
      <c r="Q1790">
        <f t="shared" si="30"/>
        <v>2.9148E-2</v>
      </c>
      <c r="R1790">
        <v>43252</v>
      </c>
      <c r="S1790" t="s">
        <v>122</v>
      </c>
    </row>
    <row r="1791" spans="1:19">
      <c r="A1791">
        <v>60000522</v>
      </c>
      <c r="B1791">
        <v>26</v>
      </c>
      <c r="C1791" t="s">
        <v>33</v>
      </c>
      <c r="D1791" t="s">
        <v>40</v>
      </c>
      <c r="E1791" t="s">
        <v>56</v>
      </c>
      <c r="F1791" t="s">
        <v>35</v>
      </c>
      <c r="G1791" s="23">
        <v>0.3</v>
      </c>
      <c r="H1791" t="s">
        <v>53</v>
      </c>
      <c r="I1791" t="s">
        <v>49</v>
      </c>
      <c r="J1791" t="s">
        <v>66</v>
      </c>
      <c r="K1791" t="s">
        <v>104</v>
      </c>
      <c r="L1791" t="s">
        <v>119</v>
      </c>
      <c r="M1791" t="s">
        <v>124</v>
      </c>
      <c r="N1791" t="s">
        <v>28</v>
      </c>
      <c r="O1791">
        <v>7</v>
      </c>
      <c r="P1791">
        <v>46375</v>
      </c>
      <c r="Q1791">
        <f t="shared" si="30"/>
        <v>4.6375E-2</v>
      </c>
      <c r="R1791">
        <v>43252</v>
      </c>
      <c r="S1791" t="s">
        <v>122</v>
      </c>
    </row>
    <row r="1792" spans="1:19">
      <c r="A1792">
        <v>60000523</v>
      </c>
      <c r="B1792">
        <v>32</v>
      </c>
      <c r="C1792" t="s">
        <v>18</v>
      </c>
      <c r="D1792" t="s">
        <v>40</v>
      </c>
      <c r="E1792" t="s">
        <v>85</v>
      </c>
      <c r="F1792" t="s">
        <v>21</v>
      </c>
      <c r="G1792" s="23">
        <v>0.1</v>
      </c>
      <c r="H1792" t="s">
        <v>36</v>
      </c>
      <c r="I1792" t="s">
        <v>60</v>
      </c>
      <c r="J1792" t="s">
        <v>78</v>
      </c>
      <c r="K1792" t="s">
        <v>94</v>
      </c>
      <c r="L1792" t="s">
        <v>26</v>
      </c>
      <c r="M1792" t="s">
        <v>124</v>
      </c>
      <c r="N1792" t="s">
        <v>51</v>
      </c>
      <c r="O1792">
        <v>6</v>
      </c>
      <c r="P1792">
        <v>46883</v>
      </c>
      <c r="Q1792">
        <f t="shared" si="30"/>
        <v>4.6883000000000001E-2</v>
      </c>
      <c r="R1792">
        <v>43252</v>
      </c>
      <c r="S1792" t="s">
        <v>122</v>
      </c>
    </row>
    <row r="1793" spans="1:19">
      <c r="A1793">
        <v>60000524</v>
      </c>
      <c r="B1793">
        <v>47</v>
      </c>
      <c r="C1793" t="s">
        <v>33</v>
      </c>
      <c r="D1793" t="s">
        <v>19</v>
      </c>
      <c r="E1793" t="s">
        <v>44</v>
      </c>
      <c r="F1793" t="s">
        <v>35</v>
      </c>
      <c r="G1793" s="23">
        <v>0.22</v>
      </c>
      <c r="H1793" t="s">
        <v>29</v>
      </c>
      <c r="I1793" t="s">
        <v>80</v>
      </c>
      <c r="J1793" t="s">
        <v>54</v>
      </c>
      <c r="K1793" t="s">
        <v>82</v>
      </c>
      <c r="L1793" t="s">
        <v>121</v>
      </c>
      <c r="M1793" t="s">
        <v>124</v>
      </c>
      <c r="N1793" t="s">
        <v>51</v>
      </c>
      <c r="O1793">
        <v>0</v>
      </c>
      <c r="P1793">
        <v>35596</v>
      </c>
      <c r="Q1793">
        <f t="shared" si="30"/>
        <v>3.5596000000000003E-2</v>
      </c>
      <c r="R1793">
        <v>43252</v>
      </c>
      <c r="S1793" t="s">
        <v>122</v>
      </c>
    </row>
    <row r="1794" spans="1:19">
      <c r="A1794">
        <v>60000525</v>
      </c>
      <c r="B1794">
        <v>28</v>
      </c>
      <c r="C1794" t="s">
        <v>33</v>
      </c>
      <c r="D1794" t="s">
        <v>40</v>
      </c>
      <c r="E1794" t="s">
        <v>75</v>
      </c>
      <c r="F1794" t="s">
        <v>35</v>
      </c>
      <c r="G1794" s="23">
        <v>0.37</v>
      </c>
      <c r="H1794" t="s">
        <v>42</v>
      </c>
      <c r="I1794" t="s">
        <v>45</v>
      </c>
      <c r="J1794" t="s">
        <v>78</v>
      </c>
      <c r="K1794" t="s">
        <v>99</v>
      </c>
      <c r="L1794" t="s">
        <v>26</v>
      </c>
      <c r="M1794" t="s">
        <v>124</v>
      </c>
      <c r="N1794" t="s">
        <v>51</v>
      </c>
      <c r="O1794">
        <v>4</v>
      </c>
      <c r="P1794">
        <v>47797</v>
      </c>
      <c r="Q1794">
        <f t="shared" si="30"/>
        <v>4.7796999999999999E-2</v>
      </c>
      <c r="R1794">
        <v>43252</v>
      </c>
      <c r="S1794" t="s">
        <v>122</v>
      </c>
    </row>
    <row r="1795" spans="1:19">
      <c r="A1795">
        <v>60000526</v>
      </c>
      <c r="B1795">
        <v>49</v>
      </c>
      <c r="C1795" t="s">
        <v>18</v>
      </c>
      <c r="D1795" t="s">
        <v>40</v>
      </c>
      <c r="E1795" t="s">
        <v>75</v>
      </c>
      <c r="F1795" t="s">
        <v>35</v>
      </c>
      <c r="G1795" s="23">
        <v>0.13</v>
      </c>
      <c r="H1795" t="s">
        <v>22</v>
      </c>
      <c r="I1795" t="s">
        <v>49</v>
      </c>
      <c r="J1795" t="s">
        <v>46</v>
      </c>
      <c r="K1795" t="s">
        <v>63</v>
      </c>
      <c r="L1795" t="s">
        <v>119</v>
      </c>
      <c r="M1795" t="s">
        <v>124</v>
      </c>
      <c r="N1795" t="s">
        <v>28</v>
      </c>
      <c r="O1795">
        <v>7</v>
      </c>
      <c r="P1795">
        <v>84205</v>
      </c>
      <c r="Q1795">
        <f t="shared" si="30"/>
        <v>8.4205000000000002E-2</v>
      </c>
      <c r="R1795">
        <v>43252</v>
      </c>
      <c r="S1795" t="s">
        <v>122</v>
      </c>
    </row>
    <row r="1796" spans="1:19">
      <c r="A1796">
        <v>60000527</v>
      </c>
      <c r="B1796">
        <v>27</v>
      </c>
      <c r="C1796" t="s">
        <v>33</v>
      </c>
      <c r="D1796" t="s">
        <v>40</v>
      </c>
      <c r="E1796" t="s">
        <v>72</v>
      </c>
      <c r="F1796" t="s">
        <v>35</v>
      </c>
      <c r="G1796" s="23">
        <v>0.31</v>
      </c>
      <c r="H1796" t="s">
        <v>53</v>
      </c>
      <c r="I1796" t="s">
        <v>65</v>
      </c>
      <c r="J1796" t="s">
        <v>69</v>
      </c>
      <c r="K1796" t="s">
        <v>55</v>
      </c>
      <c r="L1796" t="s">
        <v>121</v>
      </c>
      <c r="M1796" t="s">
        <v>124</v>
      </c>
      <c r="N1796" t="s">
        <v>51</v>
      </c>
      <c r="O1796">
        <v>0</v>
      </c>
      <c r="P1796">
        <v>40117</v>
      </c>
      <c r="Q1796">
        <f t="shared" ref="Q1796:Q1859" si="31">+P1796/1000000</f>
        <v>4.0117E-2</v>
      </c>
      <c r="R1796">
        <v>43252</v>
      </c>
      <c r="S1796" t="s">
        <v>122</v>
      </c>
    </row>
    <row r="1797" spans="1:19">
      <c r="A1797">
        <v>60000528</v>
      </c>
      <c r="B1797">
        <v>55</v>
      </c>
      <c r="C1797" t="s">
        <v>18</v>
      </c>
      <c r="D1797" t="s">
        <v>19</v>
      </c>
      <c r="E1797" t="s">
        <v>20</v>
      </c>
      <c r="F1797" t="s">
        <v>35</v>
      </c>
      <c r="G1797" s="23">
        <v>0.24</v>
      </c>
      <c r="H1797" t="s">
        <v>29</v>
      </c>
      <c r="I1797" t="s">
        <v>49</v>
      </c>
      <c r="J1797" t="s">
        <v>46</v>
      </c>
      <c r="K1797" t="s">
        <v>90</v>
      </c>
      <c r="L1797" t="s">
        <v>119</v>
      </c>
      <c r="M1797" t="s">
        <v>124</v>
      </c>
      <c r="N1797" t="s">
        <v>28</v>
      </c>
      <c r="O1797">
        <v>0</v>
      </c>
      <c r="P1797">
        <v>41802</v>
      </c>
      <c r="Q1797">
        <f t="shared" si="31"/>
        <v>4.1801999999999999E-2</v>
      </c>
      <c r="R1797">
        <v>43252</v>
      </c>
      <c r="S1797" t="s">
        <v>122</v>
      </c>
    </row>
    <row r="1798" spans="1:19">
      <c r="A1798">
        <v>60000529</v>
      </c>
      <c r="B1798">
        <v>27</v>
      </c>
      <c r="C1798" t="s">
        <v>18</v>
      </c>
      <c r="D1798" t="s">
        <v>19</v>
      </c>
      <c r="E1798" t="s">
        <v>67</v>
      </c>
      <c r="F1798" t="s">
        <v>35</v>
      </c>
      <c r="G1798" s="23">
        <v>0.34</v>
      </c>
      <c r="H1798" t="s">
        <v>42</v>
      </c>
      <c r="I1798" t="s">
        <v>86</v>
      </c>
      <c r="J1798" t="s">
        <v>69</v>
      </c>
      <c r="K1798" t="s">
        <v>39</v>
      </c>
      <c r="L1798" t="s">
        <v>26</v>
      </c>
      <c r="M1798" t="s">
        <v>124</v>
      </c>
      <c r="N1798" t="s">
        <v>51</v>
      </c>
      <c r="O1798">
        <v>0</v>
      </c>
      <c r="P1798">
        <v>69085</v>
      </c>
      <c r="Q1798">
        <f t="shared" si="31"/>
        <v>6.9084999999999994E-2</v>
      </c>
      <c r="R1798">
        <v>43252</v>
      </c>
      <c r="S1798" t="s">
        <v>122</v>
      </c>
    </row>
    <row r="1799" spans="1:19">
      <c r="A1799">
        <v>60000530</v>
      </c>
      <c r="B1799">
        <v>27</v>
      </c>
      <c r="C1799" t="s">
        <v>18</v>
      </c>
      <c r="D1799" t="s">
        <v>40</v>
      </c>
      <c r="E1799" t="s">
        <v>56</v>
      </c>
      <c r="F1799" t="s">
        <v>35</v>
      </c>
      <c r="G1799" s="23">
        <v>0.38</v>
      </c>
      <c r="H1799" t="s">
        <v>42</v>
      </c>
      <c r="I1799" t="s">
        <v>65</v>
      </c>
      <c r="J1799" t="s">
        <v>54</v>
      </c>
      <c r="K1799" t="s">
        <v>106</v>
      </c>
      <c r="L1799" t="s">
        <v>119</v>
      </c>
      <c r="M1799" t="s">
        <v>124</v>
      </c>
      <c r="N1799" t="s">
        <v>51</v>
      </c>
      <c r="O1799">
        <v>6</v>
      </c>
      <c r="P1799">
        <v>51061</v>
      </c>
      <c r="Q1799">
        <f t="shared" si="31"/>
        <v>5.1061000000000002E-2</v>
      </c>
      <c r="R1799">
        <v>43252</v>
      </c>
      <c r="S1799" t="s">
        <v>122</v>
      </c>
    </row>
    <row r="1800" spans="1:19">
      <c r="A1800">
        <v>60000531</v>
      </c>
      <c r="B1800">
        <v>27</v>
      </c>
      <c r="C1800" t="s">
        <v>18</v>
      </c>
      <c r="D1800" t="s">
        <v>40</v>
      </c>
      <c r="E1800" t="s">
        <v>67</v>
      </c>
      <c r="F1800" t="s">
        <v>35</v>
      </c>
      <c r="G1800" s="23">
        <v>0.14000000000000001</v>
      </c>
      <c r="H1800" t="s">
        <v>22</v>
      </c>
      <c r="I1800" t="s">
        <v>68</v>
      </c>
      <c r="J1800" t="s">
        <v>46</v>
      </c>
      <c r="K1800" t="s">
        <v>95</v>
      </c>
      <c r="L1800" t="s">
        <v>26</v>
      </c>
      <c r="M1800" t="s">
        <v>124</v>
      </c>
      <c r="N1800" t="s">
        <v>28</v>
      </c>
      <c r="O1800">
        <v>2</v>
      </c>
      <c r="P1800">
        <v>83923</v>
      </c>
      <c r="Q1800">
        <f t="shared" si="31"/>
        <v>8.3922999999999998E-2</v>
      </c>
      <c r="R1800">
        <v>43252</v>
      </c>
      <c r="S1800" t="s">
        <v>122</v>
      </c>
    </row>
    <row r="1801" spans="1:19">
      <c r="A1801">
        <v>60000532</v>
      </c>
      <c r="B1801">
        <v>20</v>
      </c>
      <c r="C1801" t="s">
        <v>33</v>
      </c>
      <c r="D1801" t="s">
        <v>19</v>
      </c>
      <c r="E1801" t="s">
        <v>20</v>
      </c>
      <c r="F1801" t="s">
        <v>21</v>
      </c>
      <c r="G1801" s="23">
        <v>0.35</v>
      </c>
      <c r="H1801" t="s">
        <v>42</v>
      </c>
      <c r="I1801" t="s">
        <v>30</v>
      </c>
      <c r="J1801" t="s">
        <v>78</v>
      </c>
      <c r="K1801" t="s">
        <v>55</v>
      </c>
      <c r="L1801" t="s">
        <v>119</v>
      </c>
      <c r="M1801" t="s">
        <v>124</v>
      </c>
      <c r="N1801" t="s">
        <v>51</v>
      </c>
      <c r="O1801">
        <v>0</v>
      </c>
      <c r="P1801">
        <v>58922</v>
      </c>
      <c r="Q1801">
        <f t="shared" si="31"/>
        <v>5.8922000000000002E-2</v>
      </c>
      <c r="R1801">
        <v>43252</v>
      </c>
      <c r="S1801" t="s">
        <v>122</v>
      </c>
    </row>
    <row r="1802" spans="1:19">
      <c r="A1802">
        <v>60000533</v>
      </c>
      <c r="B1802">
        <v>26</v>
      </c>
      <c r="C1802" t="s">
        <v>33</v>
      </c>
      <c r="D1802" t="s">
        <v>40</v>
      </c>
      <c r="E1802" t="s">
        <v>75</v>
      </c>
      <c r="F1802" t="s">
        <v>21</v>
      </c>
      <c r="G1802" s="23">
        <v>0.24</v>
      </c>
      <c r="H1802" t="s">
        <v>29</v>
      </c>
      <c r="I1802" t="s">
        <v>68</v>
      </c>
      <c r="J1802" t="s">
        <v>66</v>
      </c>
      <c r="K1802" t="s">
        <v>47</v>
      </c>
      <c r="L1802" t="s">
        <v>26</v>
      </c>
      <c r="M1802" t="s">
        <v>124</v>
      </c>
      <c r="N1802" t="s">
        <v>28</v>
      </c>
      <c r="O1802">
        <v>0</v>
      </c>
      <c r="P1802">
        <v>51571</v>
      </c>
      <c r="Q1802">
        <f t="shared" si="31"/>
        <v>5.1570999999999999E-2</v>
      </c>
      <c r="R1802">
        <v>43252</v>
      </c>
      <c r="S1802" t="s">
        <v>122</v>
      </c>
    </row>
    <row r="1803" spans="1:19">
      <c r="A1803">
        <v>60000534</v>
      </c>
      <c r="B1803">
        <v>51</v>
      </c>
      <c r="C1803" t="s">
        <v>18</v>
      </c>
      <c r="D1803" t="s">
        <v>19</v>
      </c>
      <c r="E1803" t="s">
        <v>20</v>
      </c>
      <c r="F1803" t="s">
        <v>35</v>
      </c>
      <c r="G1803" s="23">
        <v>0.25</v>
      </c>
      <c r="H1803" t="s">
        <v>53</v>
      </c>
      <c r="I1803" t="s">
        <v>30</v>
      </c>
      <c r="J1803" t="s">
        <v>38</v>
      </c>
      <c r="K1803" t="s">
        <v>105</v>
      </c>
      <c r="L1803" t="s">
        <v>121</v>
      </c>
      <c r="M1803" t="s">
        <v>124</v>
      </c>
      <c r="N1803" t="s">
        <v>51</v>
      </c>
      <c r="O1803">
        <v>5</v>
      </c>
      <c r="P1803">
        <v>71370</v>
      </c>
      <c r="Q1803">
        <f t="shared" si="31"/>
        <v>7.1370000000000003E-2</v>
      </c>
      <c r="R1803">
        <v>43252</v>
      </c>
      <c r="S1803" t="s">
        <v>122</v>
      </c>
    </row>
    <row r="1804" spans="1:19">
      <c r="A1804">
        <v>60000535</v>
      </c>
      <c r="B1804">
        <v>45</v>
      </c>
      <c r="C1804" t="s">
        <v>18</v>
      </c>
      <c r="D1804" t="s">
        <v>19</v>
      </c>
      <c r="E1804" t="s">
        <v>56</v>
      </c>
      <c r="F1804" t="s">
        <v>35</v>
      </c>
      <c r="G1804" s="23">
        <v>0.15</v>
      </c>
      <c r="H1804" t="s">
        <v>22</v>
      </c>
      <c r="I1804" t="s">
        <v>62</v>
      </c>
      <c r="J1804" t="s">
        <v>46</v>
      </c>
      <c r="K1804" t="s">
        <v>104</v>
      </c>
      <c r="L1804" t="s">
        <v>119</v>
      </c>
      <c r="M1804" t="s">
        <v>124</v>
      </c>
      <c r="N1804" t="s">
        <v>28</v>
      </c>
      <c r="O1804">
        <v>0</v>
      </c>
      <c r="P1804">
        <v>82397</v>
      </c>
      <c r="Q1804">
        <f t="shared" si="31"/>
        <v>8.2396999999999998E-2</v>
      </c>
      <c r="R1804">
        <v>43252</v>
      </c>
      <c r="S1804" t="s">
        <v>122</v>
      </c>
    </row>
    <row r="1805" spans="1:19">
      <c r="A1805">
        <v>60000536</v>
      </c>
      <c r="B1805">
        <v>25</v>
      </c>
      <c r="C1805" t="s">
        <v>33</v>
      </c>
      <c r="D1805" t="s">
        <v>40</v>
      </c>
      <c r="E1805" t="s">
        <v>64</v>
      </c>
      <c r="F1805" t="s">
        <v>120</v>
      </c>
      <c r="G1805" s="23">
        <v>0.23</v>
      </c>
      <c r="H1805" t="s">
        <v>29</v>
      </c>
      <c r="I1805" t="s">
        <v>30</v>
      </c>
      <c r="J1805" t="s">
        <v>58</v>
      </c>
      <c r="K1805" t="s">
        <v>92</v>
      </c>
      <c r="L1805" t="s">
        <v>26</v>
      </c>
      <c r="M1805" t="s">
        <v>124</v>
      </c>
      <c r="N1805" t="s">
        <v>51</v>
      </c>
      <c r="O1805">
        <v>1</v>
      </c>
      <c r="P1805">
        <v>27825</v>
      </c>
      <c r="Q1805">
        <f t="shared" si="31"/>
        <v>2.7824999999999999E-2</v>
      </c>
      <c r="R1805">
        <v>43252</v>
      </c>
      <c r="S1805" t="s">
        <v>122</v>
      </c>
    </row>
    <row r="1806" spans="1:19">
      <c r="A1806">
        <v>60000537</v>
      </c>
      <c r="B1806">
        <v>29</v>
      </c>
      <c r="C1806" t="s">
        <v>33</v>
      </c>
      <c r="D1806" t="s">
        <v>19</v>
      </c>
      <c r="E1806" t="s">
        <v>34</v>
      </c>
      <c r="F1806" t="s">
        <v>21</v>
      </c>
      <c r="G1806" s="23">
        <v>0.24</v>
      </c>
      <c r="H1806" t="s">
        <v>29</v>
      </c>
      <c r="I1806" t="s">
        <v>68</v>
      </c>
      <c r="J1806" t="s">
        <v>38</v>
      </c>
      <c r="K1806" t="s">
        <v>114</v>
      </c>
      <c r="L1806" t="s">
        <v>119</v>
      </c>
      <c r="M1806" t="s">
        <v>124</v>
      </c>
      <c r="N1806" t="s">
        <v>51</v>
      </c>
      <c r="O1806">
        <v>0</v>
      </c>
      <c r="P1806">
        <v>58041</v>
      </c>
      <c r="Q1806">
        <f t="shared" si="31"/>
        <v>5.8041000000000002E-2</v>
      </c>
      <c r="R1806">
        <v>43252</v>
      </c>
      <c r="S1806" t="s">
        <v>122</v>
      </c>
    </row>
    <row r="1807" spans="1:19">
      <c r="A1807">
        <v>60000538</v>
      </c>
      <c r="B1807">
        <v>40</v>
      </c>
      <c r="C1807" t="s">
        <v>33</v>
      </c>
      <c r="D1807" t="s">
        <v>19</v>
      </c>
      <c r="E1807" t="s">
        <v>52</v>
      </c>
      <c r="F1807" t="s">
        <v>35</v>
      </c>
      <c r="G1807" s="23">
        <v>0.12</v>
      </c>
      <c r="H1807" t="s">
        <v>22</v>
      </c>
      <c r="I1807" t="s">
        <v>70</v>
      </c>
      <c r="J1807" t="s">
        <v>66</v>
      </c>
      <c r="K1807" t="s">
        <v>108</v>
      </c>
      <c r="L1807" t="s">
        <v>26</v>
      </c>
      <c r="M1807" t="s">
        <v>124</v>
      </c>
      <c r="N1807" t="s">
        <v>51</v>
      </c>
      <c r="O1807">
        <v>6</v>
      </c>
      <c r="P1807">
        <v>80139</v>
      </c>
      <c r="Q1807">
        <f t="shared" si="31"/>
        <v>8.0139000000000002E-2</v>
      </c>
      <c r="R1807">
        <v>43252</v>
      </c>
      <c r="S1807" t="s">
        <v>122</v>
      </c>
    </row>
    <row r="1808" spans="1:19">
      <c r="A1808">
        <v>60000539</v>
      </c>
      <c r="B1808">
        <v>53</v>
      </c>
      <c r="C1808" t="s">
        <v>33</v>
      </c>
      <c r="D1808" t="s">
        <v>40</v>
      </c>
      <c r="E1808" t="s">
        <v>72</v>
      </c>
      <c r="F1808" t="s">
        <v>21</v>
      </c>
      <c r="G1808" s="23">
        <v>0.14000000000000001</v>
      </c>
      <c r="H1808" t="s">
        <v>22</v>
      </c>
      <c r="I1808" t="s">
        <v>65</v>
      </c>
      <c r="J1808" t="s">
        <v>38</v>
      </c>
      <c r="K1808" t="s">
        <v>112</v>
      </c>
      <c r="L1808" t="s">
        <v>121</v>
      </c>
      <c r="M1808" t="s">
        <v>124</v>
      </c>
      <c r="N1808" t="s">
        <v>28</v>
      </c>
      <c r="O1808">
        <v>2</v>
      </c>
      <c r="P1808">
        <v>70328</v>
      </c>
      <c r="Q1808">
        <f t="shared" si="31"/>
        <v>7.0328000000000002E-2</v>
      </c>
      <c r="R1808">
        <v>43252</v>
      </c>
      <c r="S1808" t="s">
        <v>122</v>
      </c>
    </row>
    <row r="1809" spans="1:19">
      <c r="A1809">
        <v>60000540</v>
      </c>
      <c r="B1809">
        <v>50</v>
      </c>
      <c r="C1809" t="s">
        <v>33</v>
      </c>
      <c r="D1809" t="s">
        <v>40</v>
      </c>
      <c r="E1809" t="s">
        <v>20</v>
      </c>
      <c r="F1809" t="s">
        <v>120</v>
      </c>
      <c r="G1809" s="23">
        <v>0.2</v>
      </c>
      <c r="H1809" t="s">
        <v>29</v>
      </c>
      <c r="I1809" t="s">
        <v>70</v>
      </c>
      <c r="J1809" t="s">
        <v>74</v>
      </c>
      <c r="K1809" t="s">
        <v>59</v>
      </c>
      <c r="L1809" t="s">
        <v>26</v>
      </c>
      <c r="M1809" t="s">
        <v>124</v>
      </c>
      <c r="N1809" t="s">
        <v>51</v>
      </c>
      <c r="O1809">
        <v>0</v>
      </c>
      <c r="P1809">
        <v>39091</v>
      </c>
      <c r="Q1809">
        <f t="shared" si="31"/>
        <v>3.9091000000000001E-2</v>
      </c>
      <c r="R1809">
        <v>43252</v>
      </c>
      <c r="S1809" t="s">
        <v>122</v>
      </c>
    </row>
    <row r="1810" spans="1:19">
      <c r="A1810">
        <v>60000541</v>
      </c>
      <c r="B1810">
        <v>21</v>
      </c>
      <c r="C1810" t="s">
        <v>18</v>
      </c>
      <c r="D1810" t="s">
        <v>19</v>
      </c>
      <c r="E1810" t="s">
        <v>44</v>
      </c>
      <c r="F1810" t="s">
        <v>35</v>
      </c>
      <c r="G1810" s="23">
        <v>0.31</v>
      </c>
      <c r="H1810" t="s">
        <v>53</v>
      </c>
      <c r="I1810" t="s">
        <v>83</v>
      </c>
      <c r="J1810" t="s">
        <v>66</v>
      </c>
      <c r="K1810" t="s">
        <v>43</v>
      </c>
      <c r="L1810" t="s">
        <v>121</v>
      </c>
      <c r="M1810" t="s">
        <v>124</v>
      </c>
      <c r="N1810" t="s">
        <v>28</v>
      </c>
      <c r="O1810">
        <v>0</v>
      </c>
      <c r="P1810">
        <v>57443</v>
      </c>
      <c r="Q1810">
        <f t="shared" si="31"/>
        <v>5.7443000000000001E-2</v>
      </c>
      <c r="R1810">
        <v>43252</v>
      </c>
      <c r="S1810" t="s">
        <v>122</v>
      </c>
    </row>
    <row r="1811" spans="1:19">
      <c r="A1811">
        <v>60000542</v>
      </c>
      <c r="B1811">
        <v>52</v>
      </c>
      <c r="C1811" t="s">
        <v>18</v>
      </c>
      <c r="D1811" t="s">
        <v>40</v>
      </c>
      <c r="E1811" t="s">
        <v>72</v>
      </c>
      <c r="F1811" t="s">
        <v>35</v>
      </c>
      <c r="G1811" s="23">
        <v>0.37</v>
      </c>
      <c r="H1811" t="s">
        <v>42</v>
      </c>
      <c r="I1811" t="s">
        <v>68</v>
      </c>
      <c r="J1811" t="s">
        <v>66</v>
      </c>
      <c r="K1811" t="s">
        <v>113</v>
      </c>
      <c r="L1811" t="s">
        <v>119</v>
      </c>
      <c r="M1811" t="s">
        <v>124</v>
      </c>
      <c r="N1811" t="s">
        <v>51</v>
      </c>
      <c r="O1811">
        <v>0</v>
      </c>
      <c r="P1811">
        <v>37654</v>
      </c>
      <c r="Q1811">
        <f t="shared" si="31"/>
        <v>3.7654E-2</v>
      </c>
      <c r="R1811">
        <v>43252</v>
      </c>
      <c r="S1811" t="s">
        <v>122</v>
      </c>
    </row>
    <row r="1812" spans="1:19">
      <c r="A1812">
        <v>60000543</v>
      </c>
      <c r="B1812">
        <v>56</v>
      </c>
      <c r="C1812" t="s">
        <v>18</v>
      </c>
      <c r="D1812" t="s">
        <v>40</v>
      </c>
      <c r="E1812" t="s">
        <v>48</v>
      </c>
      <c r="F1812" t="s">
        <v>35</v>
      </c>
      <c r="G1812" s="23">
        <v>0.31</v>
      </c>
      <c r="H1812" t="s">
        <v>53</v>
      </c>
      <c r="I1812" t="s">
        <v>45</v>
      </c>
      <c r="J1812" t="s">
        <v>91</v>
      </c>
      <c r="K1812" t="s">
        <v>102</v>
      </c>
      <c r="L1812" t="s">
        <v>119</v>
      </c>
      <c r="M1812" t="s">
        <v>124</v>
      </c>
      <c r="N1812" t="s">
        <v>28</v>
      </c>
      <c r="O1812">
        <v>0</v>
      </c>
      <c r="P1812">
        <v>76747</v>
      </c>
      <c r="Q1812">
        <f t="shared" si="31"/>
        <v>7.6746999999999996E-2</v>
      </c>
      <c r="R1812">
        <v>43252</v>
      </c>
      <c r="S1812" t="s">
        <v>122</v>
      </c>
    </row>
    <row r="1813" spans="1:19">
      <c r="A1813">
        <v>60000544</v>
      </c>
      <c r="B1813">
        <v>57</v>
      </c>
      <c r="C1813" t="s">
        <v>33</v>
      </c>
      <c r="D1813" t="s">
        <v>19</v>
      </c>
      <c r="E1813" t="s">
        <v>20</v>
      </c>
      <c r="F1813" t="s">
        <v>35</v>
      </c>
      <c r="G1813" s="23">
        <v>0.22</v>
      </c>
      <c r="H1813" t="s">
        <v>29</v>
      </c>
      <c r="I1813" t="s">
        <v>68</v>
      </c>
      <c r="J1813" t="s">
        <v>88</v>
      </c>
      <c r="K1813" t="s">
        <v>117</v>
      </c>
      <c r="L1813" t="s">
        <v>121</v>
      </c>
      <c r="M1813" t="s">
        <v>124</v>
      </c>
      <c r="N1813" t="s">
        <v>51</v>
      </c>
      <c r="O1813">
        <v>7</v>
      </c>
      <c r="P1813">
        <v>79615</v>
      </c>
      <c r="Q1813">
        <f t="shared" si="31"/>
        <v>7.9615000000000005E-2</v>
      </c>
      <c r="R1813">
        <v>43252</v>
      </c>
      <c r="S1813" t="s">
        <v>122</v>
      </c>
    </row>
    <row r="1814" spans="1:19">
      <c r="A1814">
        <v>60000545</v>
      </c>
      <c r="B1814">
        <v>36</v>
      </c>
      <c r="C1814" t="s">
        <v>18</v>
      </c>
      <c r="D1814" t="s">
        <v>40</v>
      </c>
      <c r="E1814" t="s">
        <v>85</v>
      </c>
      <c r="F1814" t="s">
        <v>21</v>
      </c>
      <c r="G1814" s="23">
        <v>0.18</v>
      </c>
      <c r="H1814" t="s">
        <v>22</v>
      </c>
      <c r="I1814" t="s">
        <v>30</v>
      </c>
      <c r="J1814" t="s">
        <v>88</v>
      </c>
      <c r="K1814" t="s">
        <v>63</v>
      </c>
      <c r="L1814" t="s">
        <v>119</v>
      </c>
      <c r="M1814" t="s">
        <v>124</v>
      </c>
      <c r="N1814" t="s">
        <v>28</v>
      </c>
      <c r="O1814">
        <v>0</v>
      </c>
      <c r="P1814">
        <v>51669</v>
      </c>
      <c r="Q1814">
        <f t="shared" si="31"/>
        <v>5.1669E-2</v>
      </c>
      <c r="R1814">
        <v>43252</v>
      </c>
      <c r="S1814" t="s">
        <v>122</v>
      </c>
    </row>
    <row r="1815" spans="1:19">
      <c r="A1815">
        <v>60000546</v>
      </c>
      <c r="B1815">
        <v>61</v>
      </c>
      <c r="C1815" t="s">
        <v>33</v>
      </c>
      <c r="D1815" t="s">
        <v>40</v>
      </c>
      <c r="E1815" t="s">
        <v>48</v>
      </c>
      <c r="F1815" t="s">
        <v>120</v>
      </c>
      <c r="G1815" s="23">
        <v>0.21</v>
      </c>
      <c r="H1815" t="s">
        <v>29</v>
      </c>
      <c r="I1815" t="s">
        <v>83</v>
      </c>
      <c r="J1815" t="s">
        <v>58</v>
      </c>
      <c r="K1815" t="s">
        <v>60</v>
      </c>
      <c r="L1815" t="s">
        <v>26</v>
      </c>
      <c r="M1815" t="s">
        <v>124</v>
      </c>
      <c r="N1815" t="s">
        <v>28</v>
      </c>
      <c r="O1815">
        <v>0</v>
      </c>
      <c r="P1815">
        <v>45235</v>
      </c>
      <c r="Q1815">
        <f t="shared" si="31"/>
        <v>4.5234999999999997E-2</v>
      </c>
      <c r="R1815">
        <v>43252</v>
      </c>
      <c r="S1815" t="s">
        <v>122</v>
      </c>
    </row>
    <row r="1816" spans="1:19">
      <c r="A1816">
        <v>60000547</v>
      </c>
      <c r="B1816">
        <v>64</v>
      </c>
      <c r="C1816" t="s">
        <v>33</v>
      </c>
      <c r="D1816" t="s">
        <v>19</v>
      </c>
      <c r="E1816" t="s">
        <v>75</v>
      </c>
      <c r="F1816" t="s">
        <v>120</v>
      </c>
      <c r="G1816" s="23">
        <v>0.33</v>
      </c>
      <c r="H1816" t="s">
        <v>42</v>
      </c>
      <c r="I1816" t="s">
        <v>45</v>
      </c>
      <c r="J1816" t="s">
        <v>58</v>
      </c>
      <c r="K1816" t="s">
        <v>112</v>
      </c>
      <c r="L1816" t="s">
        <v>121</v>
      </c>
      <c r="M1816" t="s">
        <v>124</v>
      </c>
      <c r="N1816" t="s">
        <v>51</v>
      </c>
      <c r="O1816">
        <v>0</v>
      </c>
      <c r="P1816">
        <v>69731</v>
      </c>
      <c r="Q1816">
        <f t="shared" si="31"/>
        <v>6.9731000000000001E-2</v>
      </c>
      <c r="R1816">
        <v>43252</v>
      </c>
      <c r="S1816" t="s">
        <v>122</v>
      </c>
    </row>
    <row r="1817" spans="1:19">
      <c r="A1817">
        <v>60000548</v>
      </c>
      <c r="B1817">
        <v>51</v>
      </c>
      <c r="C1817" t="s">
        <v>33</v>
      </c>
      <c r="D1817" t="s">
        <v>19</v>
      </c>
      <c r="E1817" t="s">
        <v>48</v>
      </c>
      <c r="F1817" t="s">
        <v>35</v>
      </c>
      <c r="G1817" s="23">
        <v>0.17</v>
      </c>
      <c r="H1817" t="s">
        <v>22</v>
      </c>
      <c r="I1817" t="s">
        <v>30</v>
      </c>
      <c r="J1817" t="s">
        <v>66</v>
      </c>
      <c r="K1817" t="s">
        <v>106</v>
      </c>
      <c r="L1817" t="s">
        <v>119</v>
      </c>
      <c r="M1817" t="s">
        <v>124</v>
      </c>
      <c r="N1817" t="s">
        <v>51</v>
      </c>
      <c r="O1817">
        <v>0</v>
      </c>
      <c r="P1817">
        <v>40946</v>
      </c>
      <c r="Q1817">
        <f t="shared" si="31"/>
        <v>4.0946000000000003E-2</v>
      </c>
      <c r="R1817">
        <v>43252</v>
      </c>
      <c r="S1817" t="s">
        <v>122</v>
      </c>
    </row>
    <row r="1818" spans="1:19">
      <c r="A1818">
        <v>60000549</v>
      </c>
      <c r="B1818">
        <v>54</v>
      </c>
      <c r="C1818" t="s">
        <v>18</v>
      </c>
      <c r="D1818" t="s">
        <v>19</v>
      </c>
      <c r="E1818" t="s">
        <v>34</v>
      </c>
      <c r="F1818" t="s">
        <v>21</v>
      </c>
      <c r="G1818" s="23">
        <v>0.33</v>
      </c>
      <c r="H1818" t="s">
        <v>42</v>
      </c>
      <c r="I1818" t="s">
        <v>68</v>
      </c>
      <c r="J1818" t="s">
        <v>38</v>
      </c>
      <c r="K1818" t="s">
        <v>87</v>
      </c>
      <c r="L1818" t="s">
        <v>121</v>
      </c>
      <c r="M1818" t="s">
        <v>124</v>
      </c>
      <c r="N1818" t="s">
        <v>51</v>
      </c>
      <c r="O1818">
        <v>0</v>
      </c>
      <c r="P1818">
        <v>69945</v>
      </c>
      <c r="Q1818">
        <f t="shared" si="31"/>
        <v>6.9944999999999993E-2</v>
      </c>
      <c r="R1818">
        <v>43252</v>
      </c>
      <c r="S1818" t="s">
        <v>122</v>
      </c>
    </row>
    <row r="1819" spans="1:19">
      <c r="A1819">
        <v>60000550</v>
      </c>
      <c r="B1819">
        <v>23</v>
      </c>
      <c r="C1819" t="s">
        <v>18</v>
      </c>
      <c r="D1819" t="s">
        <v>40</v>
      </c>
      <c r="E1819" t="s">
        <v>75</v>
      </c>
      <c r="F1819" t="s">
        <v>21</v>
      </c>
      <c r="G1819" s="23">
        <v>0.33</v>
      </c>
      <c r="H1819" t="s">
        <v>42</v>
      </c>
      <c r="I1819" t="s">
        <v>57</v>
      </c>
      <c r="J1819" t="s">
        <v>46</v>
      </c>
      <c r="K1819" t="s">
        <v>55</v>
      </c>
      <c r="L1819" t="s">
        <v>26</v>
      </c>
      <c r="M1819" t="s">
        <v>124</v>
      </c>
      <c r="N1819" t="s">
        <v>51</v>
      </c>
      <c r="O1819">
        <v>0</v>
      </c>
      <c r="P1819">
        <v>67008</v>
      </c>
      <c r="Q1819">
        <f t="shared" si="31"/>
        <v>6.7007999999999998E-2</v>
      </c>
      <c r="R1819">
        <v>43252</v>
      </c>
      <c r="S1819" t="s">
        <v>122</v>
      </c>
    </row>
    <row r="1820" spans="1:19">
      <c r="A1820">
        <v>60000551</v>
      </c>
      <c r="B1820">
        <v>21</v>
      </c>
      <c r="C1820" t="s">
        <v>33</v>
      </c>
      <c r="D1820" t="s">
        <v>19</v>
      </c>
      <c r="E1820" t="s">
        <v>75</v>
      </c>
      <c r="F1820" t="s">
        <v>120</v>
      </c>
      <c r="G1820" s="23">
        <v>0.21</v>
      </c>
      <c r="H1820" t="s">
        <v>29</v>
      </c>
      <c r="I1820" t="s">
        <v>83</v>
      </c>
      <c r="J1820" t="s">
        <v>58</v>
      </c>
      <c r="K1820" t="s">
        <v>62</v>
      </c>
      <c r="L1820" t="s">
        <v>26</v>
      </c>
      <c r="M1820" t="s">
        <v>124</v>
      </c>
      <c r="N1820" t="s">
        <v>51</v>
      </c>
      <c r="O1820">
        <v>4</v>
      </c>
      <c r="P1820">
        <v>56667</v>
      </c>
      <c r="Q1820">
        <f t="shared" si="31"/>
        <v>5.6667000000000002E-2</v>
      </c>
      <c r="R1820">
        <v>43252</v>
      </c>
      <c r="S1820" t="s">
        <v>122</v>
      </c>
    </row>
    <row r="1821" spans="1:19">
      <c r="A1821">
        <v>60000552</v>
      </c>
      <c r="B1821">
        <v>61</v>
      </c>
      <c r="C1821" t="s">
        <v>18</v>
      </c>
      <c r="D1821" t="s">
        <v>40</v>
      </c>
      <c r="E1821" t="s">
        <v>75</v>
      </c>
      <c r="F1821" t="s">
        <v>120</v>
      </c>
      <c r="G1821" s="23">
        <v>0.28000000000000003</v>
      </c>
      <c r="H1821" t="s">
        <v>53</v>
      </c>
      <c r="I1821" t="s">
        <v>49</v>
      </c>
      <c r="J1821" t="s">
        <v>66</v>
      </c>
      <c r="K1821" t="s">
        <v>110</v>
      </c>
      <c r="L1821" t="s">
        <v>121</v>
      </c>
      <c r="M1821" t="s">
        <v>124</v>
      </c>
      <c r="N1821" t="s">
        <v>28</v>
      </c>
      <c r="O1821">
        <v>0</v>
      </c>
      <c r="P1821">
        <v>32042</v>
      </c>
      <c r="Q1821">
        <f t="shared" si="31"/>
        <v>3.2042000000000001E-2</v>
      </c>
      <c r="R1821">
        <v>43252</v>
      </c>
      <c r="S1821" t="s">
        <v>122</v>
      </c>
    </row>
    <row r="1822" spans="1:19">
      <c r="A1822">
        <v>60000553</v>
      </c>
      <c r="B1822">
        <v>28</v>
      </c>
      <c r="C1822" t="s">
        <v>33</v>
      </c>
      <c r="D1822" t="s">
        <v>19</v>
      </c>
      <c r="E1822" t="s">
        <v>72</v>
      </c>
      <c r="F1822" t="s">
        <v>35</v>
      </c>
      <c r="G1822" s="23">
        <v>0.35</v>
      </c>
      <c r="H1822" t="s">
        <v>42</v>
      </c>
      <c r="I1822" t="s">
        <v>45</v>
      </c>
      <c r="J1822" t="s">
        <v>54</v>
      </c>
      <c r="K1822" t="s">
        <v>118</v>
      </c>
      <c r="L1822" t="s">
        <v>26</v>
      </c>
      <c r="M1822" t="s">
        <v>124</v>
      </c>
      <c r="N1822" t="s">
        <v>28</v>
      </c>
      <c r="O1822">
        <v>7</v>
      </c>
      <c r="P1822">
        <v>57373</v>
      </c>
      <c r="Q1822">
        <f t="shared" si="31"/>
        <v>5.7373E-2</v>
      </c>
      <c r="R1822">
        <v>43252</v>
      </c>
      <c r="S1822" t="s">
        <v>122</v>
      </c>
    </row>
    <row r="1823" spans="1:19">
      <c r="A1823">
        <v>60000554</v>
      </c>
      <c r="B1823">
        <v>34</v>
      </c>
      <c r="C1823" t="s">
        <v>18</v>
      </c>
      <c r="D1823" t="s">
        <v>19</v>
      </c>
      <c r="E1823" t="s">
        <v>72</v>
      </c>
      <c r="F1823" t="s">
        <v>35</v>
      </c>
      <c r="G1823" s="23">
        <v>0.11</v>
      </c>
      <c r="H1823" t="s">
        <v>36</v>
      </c>
      <c r="I1823" t="s">
        <v>30</v>
      </c>
      <c r="J1823" t="s">
        <v>31</v>
      </c>
      <c r="K1823" t="s">
        <v>117</v>
      </c>
      <c r="L1823" t="s">
        <v>121</v>
      </c>
      <c r="M1823" t="s">
        <v>124</v>
      </c>
      <c r="N1823" t="s">
        <v>51</v>
      </c>
      <c r="O1823">
        <v>0</v>
      </c>
      <c r="P1823">
        <v>34399</v>
      </c>
      <c r="Q1823">
        <f t="shared" si="31"/>
        <v>3.4398999999999999E-2</v>
      </c>
      <c r="R1823">
        <v>43252</v>
      </c>
      <c r="S1823" t="s">
        <v>122</v>
      </c>
    </row>
    <row r="1824" spans="1:19">
      <c r="A1824">
        <v>60000555</v>
      </c>
      <c r="B1824">
        <v>29</v>
      </c>
      <c r="C1824" t="s">
        <v>18</v>
      </c>
      <c r="D1824" t="s">
        <v>40</v>
      </c>
      <c r="E1824" t="s">
        <v>56</v>
      </c>
      <c r="F1824" t="s">
        <v>21</v>
      </c>
      <c r="G1824" s="23">
        <v>0.38</v>
      </c>
      <c r="H1824" t="s">
        <v>42</v>
      </c>
      <c r="I1824" t="s">
        <v>37</v>
      </c>
      <c r="J1824" t="s">
        <v>88</v>
      </c>
      <c r="K1824" t="s">
        <v>90</v>
      </c>
      <c r="L1824" t="s">
        <v>119</v>
      </c>
      <c r="M1824" t="s">
        <v>124</v>
      </c>
      <c r="N1824" t="s">
        <v>51</v>
      </c>
      <c r="O1824">
        <v>0</v>
      </c>
      <c r="P1824">
        <v>65066</v>
      </c>
      <c r="Q1824">
        <f t="shared" si="31"/>
        <v>6.5065999999999999E-2</v>
      </c>
      <c r="R1824">
        <v>43252</v>
      </c>
      <c r="S1824" t="s">
        <v>122</v>
      </c>
    </row>
    <row r="1825" spans="1:19">
      <c r="A1825">
        <v>60000556</v>
      </c>
      <c r="B1825">
        <v>33</v>
      </c>
      <c r="C1825" t="s">
        <v>18</v>
      </c>
      <c r="D1825" t="s">
        <v>40</v>
      </c>
      <c r="E1825" t="s">
        <v>75</v>
      </c>
      <c r="F1825" t="s">
        <v>21</v>
      </c>
      <c r="G1825" s="23">
        <v>0.15</v>
      </c>
      <c r="H1825" t="s">
        <v>22</v>
      </c>
      <c r="I1825" t="s">
        <v>73</v>
      </c>
      <c r="J1825" t="s">
        <v>74</v>
      </c>
      <c r="K1825" t="s">
        <v>114</v>
      </c>
      <c r="L1825" t="s">
        <v>119</v>
      </c>
      <c r="M1825" t="s">
        <v>124</v>
      </c>
      <c r="N1825" t="s">
        <v>28</v>
      </c>
      <c r="O1825">
        <v>0</v>
      </c>
      <c r="P1825">
        <v>25621</v>
      </c>
      <c r="Q1825">
        <f t="shared" si="31"/>
        <v>2.5621000000000001E-2</v>
      </c>
      <c r="R1825">
        <v>43252</v>
      </c>
      <c r="S1825" t="s">
        <v>122</v>
      </c>
    </row>
    <row r="1826" spans="1:19">
      <c r="A1826">
        <v>60000557</v>
      </c>
      <c r="B1826">
        <v>28</v>
      </c>
      <c r="C1826" t="s">
        <v>33</v>
      </c>
      <c r="D1826" t="s">
        <v>40</v>
      </c>
      <c r="E1826" t="s">
        <v>72</v>
      </c>
      <c r="F1826" t="s">
        <v>120</v>
      </c>
      <c r="G1826" s="23">
        <v>0.23</v>
      </c>
      <c r="H1826" t="s">
        <v>29</v>
      </c>
      <c r="I1826" t="s">
        <v>57</v>
      </c>
      <c r="J1826" t="s">
        <v>74</v>
      </c>
      <c r="K1826" t="s">
        <v>109</v>
      </c>
      <c r="L1826" t="s">
        <v>26</v>
      </c>
      <c r="M1826" t="s">
        <v>124</v>
      </c>
      <c r="N1826" t="s">
        <v>51</v>
      </c>
      <c r="O1826">
        <v>7</v>
      </c>
      <c r="P1826">
        <v>81039</v>
      </c>
      <c r="Q1826">
        <f t="shared" si="31"/>
        <v>8.1039E-2</v>
      </c>
      <c r="R1826">
        <v>43252</v>
      </c>
      <c r="S1826" t="s">
        <v>122</v>
      </c>
    </row>
    <row r="1827" spans="1:19">
      <c r="A1827">
        <v>60000558</v>
      </c>
      <c r="B1827">
        <v>23</v>
      </c>
      <c r="C1827" t="s">
        <v>18</v>
      </c>
      <c r="D1827" t="s">
        <v>19</v>
      </c>
      <c r="E1827" t="s">
        <v>75</v>
      </c>
      <c r="F1827" t="s">
        <v>120</v>
      </c>
      <c r="G1827" s="23">
        <v>0.23</v>
      </c>
      <c r="H1827" t="s">
        <v>29</v>
      </c>
      <c r="I1827" t="s">
        <v>57</v>
      </c>
      <c r="J1827" t="s">
        <v>91</v>
      </c>
      <c r="K1827" t="s">
        <v>82</v>
      </c>
      <c r="L1827" t="s">
        <v>121</v>
      </c>
      <c r="M1827" t="s">
        <v>124</v>
      </c>
      <c r="N1827" t="s">
        <v>28</v>
      </c>
      <c r="O1827">
        <v>0</v>
      </c>
      <c r="P1827">
        <v>60055</v>
      </c>
      <c r="Q1827">
        <f t="shared" si="31"/>
        <v>6.0054999999999997E-2</v>
      </c>
      <c r="R1827">
        <v>43252</v>
      </c>
      <c r="S1827" t="s">
        <v>122</v>
      </c>
    </row>
    <row r="1828" spans="1:19">
      <c r="A1828">
        <v>60000559</v>
      </c>
      <c r="B1828">
        <v>24</v>
      </c>
      <c r="C1828" t="s">
        <v>18</v>
      </c>
      <c r="D1828" t="s">
        <v>19</v>
      </c>
      <c r="E1828" t="s">
        <v>44</v>
      </c>
      <c r="F1828" t="s">
        <v>35</v>
      </c>
      <c r="G1828" s="23">
        <v>0.31</v>
      </c>
      <c r="H1828" t="s">
        <v>53</v>
      </c>
      <c r="I1828" t="s">
        <v>80</v>
      </c>
      <c r="J1828" t="s">
        <v>78</v>
      </c>
      <c r="K1828" t="s">
        <v>100</v>
      </c>
      <c r="L1828" t="s">
        <v>119</v>
      </c>
      <c r="M1828" t="s">
        <v>124</v>
      </c>
      <c r="N1828" t="s">
        <v>51</v>
      </c>
      <c r="O1828">
        <v>4</v>
      </c>
      <c r="P1828">
        <v>59665</v>
      </c>
      <c r="Q1828">
        <f t="shared" si="31"/>
        <v>5.9665000000000003E-2</v>
      </c>
      <c r="R1828">
        <v>43252</v>
      </c>
      <c r="S1828" t="s">
        <v>122</v>
      </c>
    </row>
    <row r="1829" spans="1:19">
      <c r="A1829">
        <v>60000560</v>
      </c>
      <c r="B1829">
        <v>49</v>
      </c>
      <c r="C1829" t="s">
        <v>33</v>
      </c>
      <c r="D1829" t="s">
        <v>40</v>
      </c>
      <c r="E1829" t="s">
        <v>20</v>
      </c>
      <c r="F1829" t="s">
        <v>21</v>
      </c>
      <c r="G1829" s="23">
        <v>0.18</v>
      </c>
      <c r="H1829" t="s">
        <v>22</v>
      </c>
      <c r="I1829" t="s">
        <v>45</v>
      </c>
      <c r="J1829" t="s">
        <v>46</v>
      </c>
      <c r="K1829" t="s">
        <v>79</v>
      </c>
      <c r="L1829" t="s">
        <v>121</v>
      </c>
      <c r="M1829" t="s">
        <v>124</v>
      </c>
      <c r="N1829" t="s">
        <v>51</v>
      </c>
      <c r="O1829">
        <v>2</v>
      </c>
      <c r="P1829">
        <v>79766</v>
      </c>
      <c r="Q1829">
        <f t="shared" si="31"/>
        <v>7.9766000000000004E-2</v>
      </c>
      <c r="R1829">
        <v>43252</v>
      </c>
      <c r="S1829" t="s">
        <v>122</v>
      </c>
    </row>
    <row r="1830" spans="1:19">
      <c r="A1830">
        <v>60000561</v>
      </c>
      <c r="B1830">
        <v>44</v>
      </c>
      <c r="C1830" t="s">
        <v>33</v>
      </c>
      <c r="D1830" t="s">
        <v>19</v>
      </c>
      <c r="E1830" t="s">
        <v>41</v>
      </c>
      <c r="F1830" t="s">
        <v>21</v>
      </c>
      <c r="G1830" s="23">
        <v>0.26</v>
      </c>
      <c r="H1830" t="s">
        <v>53</v>
      </c>
      <c r="I1830" t="s">
        <v>62</v>
      </c>
      <c r="J1830" t="s">
        <v>61</v>
      </c>
      <c r="K1830" t="s">
        <v>109</v>
      </c>
      <c r="L1830" t="s">
        <v>26</v>
      </c>
      <c r="M1830" t="s">
        <v>124</v>
      </c>
      <c r="N1830" t="s">
        <v>28</v>
      </c>
      <c r="O1830">
        <v>0</v>
      </c>
      <c r="P1830">
        <v>72085</v>
      </c>
      <c r="Q1830">
        <f t="shared" si="31"/>
        <v>7.2084999999999996E-2</v>
      </c>
      <c r="R1830">
        <v>43252</v>
      </c>
      <c r="S1830" t="s">
        <v>122</v>
      </c>
    </row>
    <row r="1831" spans="1:19">
      <c r="A1831">
        <v>60000562</v>
      </c>
      <c r="B1831">
        <v>48</v>
      </c>
      <c r="C1831" t="s">
        <v>33</v>
      </c>
      <c r="D1831" t="s">
        <v>19</v>
      </c>
      <c r="E1831" t="s">
        <v>52</v>
      </c>
      <c r="F1831" t="s">
        <v>35</v>
      </c>
      <c r="G1831" s="23">
        <v>0.2</v>
      </c>
      <c r="H1831" t="s">
        <v>29</v>
      </c>
      <c r="I1831" t="s">
        <v>57</v>
      </c>
      <c r="J1831" t="s">
        <v>66</v>
      </c>
      <c r="K1831" t="s">
        <v>115</v>
      </c>
      <c r="L1831" t="s">
        <v>26</v>
      </c>
      <c r="M1831" t="s">
        <v>124</v>
      </c>
      <c r="N1831" t="s">
        <v>51</v>
      </c>
      <c r="O1831">
        <v>0</v>
      </c>
      <c r="P1831">
        <v>30210</v>
      </c>
      <c r="Q1831">
        <f t="shared" si="31"/>
        <v>3.0210000000000001E-2</v>
      </c>
      <c r="R1831">
        <v>43252</v>
      </c>
      <c r="S1831" t="s">
        <v>122</v>
      </c>
    </row>
    <row r="1832" spans="1:19">
      <c r="A1832">
        <v>60000563</v>
      </c>
      <c r="B1832">
        <v>63</v>
      </c>
      <c r="C1832" t="s">
        <v>33</v>
      </c>
      <c r="D1832" t="s">
        <v>19</v>
      </c>
      <c r="E1832" t="s">
        <v>72</v>
      </c>
      <c r="F1832" t="s">
        <v>21</v>
      </c>
      <c r="G1832" s="23">
        <v>0.34</v>
      </c>
      <c r="H1832" t="s">
        <v>42</v>
      </c>
      <c r="I1832" t="s">
        <v>68</v>
      </c>
      <c r="J1832" t="s">
        <v>54</v>
      </c>
      <c r="K1832" t="s">
        <v>107</v>
      </c>
      <c r="L1832" t="s">
        <v>119</v>
      </c>
      <c r="M1832" t="s">
        <v>124</v>
      </c>
      <c r="N1832" t="s">
        <v>28</v>
      </c>
      <c r="O1832">
        <v>2</v>
      </c>
      <c r="P1832">
        <v>71522</v>
      </c>
      <c r="Q1832">
        <f t="shared" si="31"/>
        <v>7.1522000000000002E-2</v>
      </c>
      <c r="R1832">
        <v>43252</v>
      </c>
      <c r="S1832" t="s">
        <v>122</v>
      </c>
    </row>
    <row r="1833" spans="1:19">
      <c r="A1833">
        <v>60000564</v>
      </c>
      <c r="B1833">
        <v>53</v>
      </c>
      <c r="C1833" t="s">
        <v>33</v>
      </c>
      <c r="D1833" t="s">
        <v>19</v>
      </c>
      <c r="E1833" t="s">
        <v>85</v>
      </c>
      <c r="F1833" t="s">
        <v>35</v>
      </c>
      <c r="G1833" s="23">
        <v>0.19</v>
      </c>
      <c r="H1833" t="s">
        <v>29</v>
      </c>
      <c r="I1833" t="s">
        <v>65</v>
      </c>
      <c r="J1833" t="s">
        <v>88</v>
      </c>
      <c r="K1833" t="s">
        <v>60</v>
      </c>
      <c r="L1833" t="s">
        <v>121</v>
      </c>
      <c r="M1833" t="s">
        <v>124</v>
      </c>
      <c r="N1833" t="s">
        <v>28</v>
      </c>
      <c r="O1833">
        <v>0</v>
      </c>
      <c r="P1833">
        <v>72112</v>
      </c>
      <c r="Q1833">
        <f t="shared" si="31"/>
        <v>7.2111999999999996E-2</v>
      </c>
      <c r="R1833">
        <v>43252</v>
      </c>
      <c r="S1833" t="s">
        <v>122</v>
      </c>
    </row>
    <row r="1834" spans="1:19">
      <c r="A1834">
        <v>60000565</v>
      </c>
      <c r="B1834">
        <v>33</v>
      </c>
      <c r="C1834" t="s">
        <v>33</v>
      </c>
      <c r="D1834" t="s">
        <v>19</v>
      </c>
      <c r="E1834" t="s">
        <v>34</v>
      </c>
      <c r="F1834" t="s">
        <v>21</v>
      </c>
      <c r="G1834" s="23">
        <v>0.1</v>
      </c>
      <c r="H1834" t="s">
        <v>36</v>
      </c>
      <c r="I1834" t="s">
        <v>70</v>
      </c>
      <c r="J1834" t="s">
        <v>69</v>
      </c>
      <c r="K1834" t="s">
        <v>97</v>
      </c>
      <c r="L1834" t="s">
        <v>26</v>
      </c>
      <c r="M1834" t="s">
        <v>124</v>
      </c>
      <c r="N1834" t="s">
        <v>28</v>
      </c>
      <c r="O1834">
        <v>2</v>
      </c>
      <c r="P1834">
        <v>23879</v>
      </c>
      <c r="Q1834">
        <f t="shared" si="31"/>
        <v>2.3879000000000001E-2</v>
      </c>
      <c r="R1834">
        <v>43252</v>
      </c>
      <c r="S1834" t="s">
        <v>122</v>
      </c>
    </row>
    <row r="1835" spans="1:19">
      <c r="A1835">
        <v>60000566</v>
      </c>
      <c r="B1835">
        <v>59</v>
      </c>
      <c r="C1835" t="s">
        <v>33</v>
      </c>
      <c r="D1835" t="s">
        <v>40</v>
      </c>
      <c r="E1835" t="s">
        <v>64</v>
      </c>
      <c r="F1835" t="s">
        <v>21</v>
      </c>
      <c r="G1835" s="23">
        <v>0.37</v>
      </c>
      <c r="H1835" t="s">
        <v>42</v>
      </c>
      <c r="I1835" t="s">
        <v>68</v>
      </c>
      <c r="J1835" t="s">
        <v>66</v>
      </c>
      <c r="K1835" t="s">
        <v>55</v>
      </c>
      <c r="L1835" t="s">
        <v>26</v>
      </c>
      <c r="M1835" t="s">
        <v>124</v>
      </c>
      <c r="N1835" t="s">
        <v>28</v>
      </c>
      <c r="O1835">
        <v>0</v>
      </c>
      <c r="P1835">
        <v>51537</v>
      </c>
      <c r="Q1835">
        <f t="shared" si="31"/>
        <v>5.1536999999999999E-2</v>
      </c>
      <c r="R1835">
        <v>43252</v>
      </c>
      <c r="S1835" t="s">
        <v>122</v>
      </c>
    </row>
    <row r="1836" spans="1:19">
      <c r="A1836">
        <v>60000567</v>
      </c>
      <c r="B1836">
        <v>41</v>
      </c>
      <c r="C1836" t="s">
        <v>18</v>
      </c>
      <c r="D1836" t="s">
        <v>40</v>
      </c>
      <c r="E1836" t="s">
        <v>64</v>
      </c>
      <c r="F1836" t="s">
        <v>21</v>
      </c>
      <c r="G1836" s="23">
        <v>0.36</v>
      </c>
      <c r="H1836" t="s">
        <v>42</v>
      </c>
      <c r="I1836" t="s">
        <v>80</v>
      </c>
      <c r="J1836" t="s">
        <v>91</v>
      </c>
      <c r="K1836" t="s">
        <v>95</v>
      </c>
      <c r="L1836" t="s">
        <v>121</v>
      </c>
      <c r="M1836" t="s">
        <v>124</v>
      </c>
      <c r="N1836" t="s">
        <v>51</v>
      </c>
      <c r="O1836">
        <v>0</v>
      </c>
      <c r="P1836">
        <v>73829</v>
      </c>
      <c r="Q1836">
        <f t="shared" si="31"/>
        <v>7.3829000000000006E-2</v>
      </c>
      <c r="R1836">
        <v>43252</v>
      </c>
      <c r="S1836" t="s">
        <v>122</v>
      </c>
    </row>
    <row r="1837" spans="1:19">
      <c r="A1837">
        <v>60000568</v>
      </c>
      <c r="B1837">
        <v>41</v>
      </c>
      <c r="C1837" t="s">
        <v>18</v>
      </c>
      <c r="D1837" t="s">
        <v>19</v>
      </c>
      <c r="E1837" t="s">
        <v>75</v>
      </c>
      <c r="F1837" t="s">
        <v>35</v>
      </c>
      <c r="G1837" s="23">
        <v>0.12</v>
      </c>
      <c r="H1837" t="s">
        <v>22</v>
      </c>
      <c r="I1837" t="s">
        <v>68</v>
      </c>
      <c r="J1837" t="s">
        <v>66</v>
      </c>
      <c r="K1837" t="s">
        <v>105</v>
      </c>
      <c r="L1837" t="s">
        <v>121</v>
      </c>
      <c r="M1837" t="s">
        <v>124</v>
      </c>
      <c r="N1837" t="s">
        <v>28</v>
      </c>
      <c r="O1837">
        <v>6</v>
      </c>
      <c r="P1837">
        <v>55684</v>
      </c>
      <c r="Q1837">
        <f t="shared" si="31"/>
        <v>5.5683999999999997E-2</v>
      </c>
      <c r="R1837">
        <v>43252</v>
      </c>
      <c r="S1837" t="s">
        <v>122</v>
      </c>
    </row>
    <row r="1838" spans="1:19">
      <c r="A1838">
        <v>60000569</v>
      </c>
      <c r="B1838">
        <v>52</v>
      </c>
      <c r="C1838" t="s">
        <v>33</v>
      </c>
      <c r="D1838" t="s">
        <v>19</v>
      </c>
      <c r="E1838" t="s">
        <v>52</v>
      </c>
      <c r="F1838" t="s">
        <v>35</v>
      </c>
      <c r="G1838" s="23">
        <v>0.34</v>
      </c>
      <c r="H1838" t="s">
        <v>42</v>
      </c>
      <c r="I1838" t="s">
        <v>70</v>
      </c>
      <c r="J1838" t="s">
        <v>69</v>
      </c>
      <c r="K1838" t="s">
        <v>83</v>
      </c>
      <c r="L1838" t="s">
        <v>121</v>
      </c>
      <c r="M1838" t="s">
        <v>124</v>
      </c>
      <c r="N1838" t="s">
        <v>51</v>
      </c>
      <c r="O1838">
        <v>1</v>
      </c>
      <c r="P1838">
        <v>66711</v>
      </c>
      <c r="Q1838">
        <f t="shared" si="31"/>
        <v>6.6711000000000006E-2</v>
      </c>
      <c r="R1838">
        <v>43252</v>
      </c>
      <c r="S1838" t="s">
        <v>122</v>
      </c>
    </row>
    <row r="1839" spans="1:19">
      <c r="A1839">
        <v>60000570</v>
      </c>
      <c r="B1839">
        <v>22</v>
      </c>
      <c r="C1839" t="s">
        <v>33</v>
      </c>
      <c r="D1839" t="s">
        <v>40</v>
      </c>
      <c r="E1839" t="s">
        <v>34</v>
      </c>
      <c r="F1839" t="s">
        <v>35</v>
      </c>
      <c r="G1839" s="23">
        <v>0.35</v>
      </c>
      <c r="H1839" t="s">
        <v>42</v>
      </c>
      <c r="I1839" t="s">
        <v>23</v>
      </c>
      <c r="J1839" t="s">
        <v>24</v>
      </c>
      <c r="K1839" t="s">
        <v>105</v>
      </c>
      <c r="L1839" t="s">
        <v>119</v>
      </c>
      <c r="M1839" t="s">
        <v>124</v>
      </c>
      <c r="N1839" t="s">
        <v>28</v>
      </c>
      <c r="O1839">
        <v>4</v>
      </c>
      <c r="P1839">
        <v>35715</v>
      </c>
      <c r="Q1839">
        <f t="shared" si="31"/>
        <v>3.5714999999999997E-2</v>
      </c>
      <c r="R1839">
        <v>43252</v>
      </c>
      <c r="S1839" t="s">
        <v>122</v>
      </c>
    </row>
    <row r="1840" spans="1:19">
      <c r="A1840">
        <v>60000571</v>
      </c>
      <c r="B1840">
        <v>31</v>
      </c>
      <c r="C1840" t="s">
        <v>33</v>
      </c>
      <c r="D1840" t="s">
        <v>19</v>
      </c>
      <c r="E1840" t="s">
        <v>41</v>
      </c>
      <c r="F1840" t="s">
        <v>120</v>
      </c>
      <c r="G1840" s="23">
        <v>0.38</v>
      </c>
      <c r="H1840" t="s">
        <v>42</v>
      </c>
      <c r="I1840" t="s">
        <v>37</v>
      </c>
      <c r="J1840" t="s">
        <v>46</v>
      </c>
      <c r="K1840" t="s">
        <v>113</v>
      </c>
      <c r="L1840" t="s">
        <v>26</v>
      </c>
      <c r="M1840" t="s">
        <v>124</v>
      </c>
      <c r="N1840" t="s">
        <v>28</v>
      </c>
      <c r="O1840">
        <v>5</v>
      </c>
      <c r="P1840">
        <v>74814</v>
      </c>
      <c r="Q1840">
        <f t="shared" si="31"/>
        <v>7.4814000000000005E-2</v>
      </c>
      <c r="R1840">
        <v>43252</v>
      </c>
      <c r="S1840" t="s">
        <v>122</v>
      </c>
    </row>
    <row r="1841" spans="1:19">
      <c r="A1841">
        <v>60000572</v>
      </c>
      <c r="B1841">
        <v>58</v>
      </c>
      <c r="C1841" t="s">
        <v>18</v>
      </c>
      <c r="D1841" t="s">
        <v>19</v>
      </c>
      <c r="E1841" t="s">
        <v>20</v>
      </c>
      <c r="F1841" t="s">
        <v>35</v>
      </c>
      <c r="G1841" s="23">
        <v>0.13</v>
      </c>
      <c r="H1841" t="s">
        <v>22</v>
      </c>
      <c r="I1841" t="s">
        <v>86</v>
      </c>
      <c r="J1841" t="s">
        <v>78</v>
      </c>
      <c r="K1841" t="s">
        <v>106</v>
      </c>
      <c r="L1841" t="s">
        <v>119</v>
      </c>
      <c r="M1841" t="s">
        <v>124</v>
      </c>
      <c r="N1841" t="s">
        <v>51</v>
      </c>
      <c r="O1841">
        <v>0</v>
      </c>
      <c r="P1841">
        <v>83368</v>
      </c>
      <c r="Q1841">
        <f t="shared" si="31"/>
        <v>8.3367999999999998E-2</v>
      </c>
      <c r="R1841">
        <v>43252</v>
      </c>
      <c r="S1841" t="s">
        <v>122</v>
      </c>
    </row>
    <row r="1842" spans="1:19">
      <c r="A1842">
        <v>60000573</v>
      </c>
      <c r="B1842">
        <v>44</v>
      </c>
      <c r="C1842" t="s">
        <v>18</v>
      </c>
      <c r="D1842" t="s">
        <v>19</v>
      </c>
      <c r="E1842" t="s">
        <v>52</v>
      </c>
      <c r="F1842" t="s">
        <v>120</v>
      </c>
      <c r="G1842" s="23">
        <v>0.13</v>
      </c>
      <c r="H1842" t="s">
        <v>22</v>
      </c>
      <c r="I1842" t="s">
        <v>60</v>
      </c>
      <c r="J1842" t="s">
        <v>69</v>
      </c>
      <c r="K1842" t="s">
        <v>43</v>
      </c>
      <c r="L1842" t="s">
        <v>121</v>
      </c>
      <c r="M1842" t="s">
        <v>124</v>
      </c>
      <c r="N1842" t="s">
        <v>51</v>
      </c>
      <c r="O1842">
        <v>0</v>
      </c>
      <c r="P1842">
        <v>37503</v>
      </c>
      <c r="Q1842">
        <f t="shared" si="31"/>
        <v>3.7503000000000002E-2</v>
      </c>
      <c r="R1842">
        <v>43252</v>
      </c>
      <c r="S1842" t="s">
        <v>122</v>
      </c>
    </row>
    <row r="1843" spans="1:19">
      <c r="A1843">
        <v>60000574</v>
      </c>
      <c r="B1843">
        <v>35</v>
      </c>
      <c r="C1843" t="s">
        <v>18</v>
      </c>
      <c r="D1843" t="s">
        <v>40</v>
      </c>
      <c r="E1843" t="s">
        <v>56</v>
      </c>
      <c r="F1843" t="s">
        <v>120</v>
      </c>
      <c r="G1843" s="23">
        <v>0.12</v>
      </c>
      <c r="H1843" t="s">
        <v>22</v>
      </c>
      <c r="I1843" t="s">
        <v>68</v>
      </c>
      <c r="J1843" t="s">
        <v>24</v>
      </c>
      <c r="K1843" t="s">
        <v>55</v>
      </c>
      <c r="L1843" t="s">
        <v>119</v>
      </c>
      <c r="M1843" t="s">
        <v>124</v>
      </c>
      <c r="N1843" t="s">
        <v>51</v>
      </c>
      <c r="O1843">
        <v>0</v>
      </c>
      <c r="P1843">
        <v>24263</v>
      </c>
      <c r="Q1843">
        <f t="shared" si="31"/>
        <v>2.4263E-2</v>
      </c>
      <c r="R1843">
        <v>43252</v>
      </c>
      <c r="S1843" t="s">
        <v>122</v>
      </c>
    </row>
    <row r="1844" spans="1:19">
      <c r="A1844">
        <v>60000575</v>
      </c>
      <c r="B1844">
        <v>43</v>
      </c>
      <c r="C1844" t="s">
        <v>33</v>
      </c>
      <c r="D1844" t="s">
        <v>19</v>
      </c>
      <c r="E1844" t="s">
        <v>67</v>
      </c>
      <c r="F1844" t="s">
        <v>120</v>
      </c>
      <c r="G1844" s="23">
        <v>0.14000000000000001</v>
      </c>
      <c r="H1844" t="s">
        <v>22</v>
      </c>
      <c r="I1844" t="s">
        <v>80</v>
      </c>
      <c r="J1844" t="s">
        <v>61</v>
      </c>
      <c r="K1844" t="s">
        <v>90</v>
      </c>
      <c r="L1844" t="s">
        <v>119</v>
      </c>
      <c r="M1844" t="s">
        <v>124</v>
      </c>
      <c r="N1844" t="s">
        <v>51</v>
      </c>
      <c r="O1844">
        <v>0</v>
      </c>
      <c r="P1844">
        <v>41770</v>
      </c>
      <c r="Q1844">
        <f t="shared" si="31"/>
        <v>4.1770000000000002E-2</v>
      </c>
      <c r="R1844">
        <v>43252</v>
      </c>
      <c r="S1844" t="s">
        <v>122</v>
      </c>
    </row>
    <row r="1845" spans="1:19">
      <c r="A1845">
        <v>60000576</v>
      </c>
      <c r="B1845">
        <v>30</v>
      </c>
      <c r="C1845" t="s">
        <v>18</v>
      </c>
      <c r="D1845" t="s">
        <v>19</v>
      </c>
      <c r="E1845" t="s">
        <v>56</v>
      </c>
      <c r="F1845" t="s">
        <v>21</v>
      </c>
      <c r="G1845" s="23">
        <v>0.3</v>
      </c>
      <c r="H1845" t="s">
        <v>53</v>
      </c>
      <c r="I1845" t="s">
        <v>83</v>
      </c>
      <c r="J1845" t="s">
        <v>88</v>
      </c>
      <c r="K1845" t="s">
        <v>89</v>
      </c>
      <c r="L1845" t="s">
        <v>26</v>
      </c>
      <c r="M1845" t="s">
        <v>124</v>
      </c>
      <c r="N1845" t="s">
        <v>51</v>
      </c>
      <c r="O1845">
        <v>0</v>
      </c>
      <c r="P1845">
        <v>55840</v>
      </c>
      <c r="Q1845">
        <f t="shared" si="31"/>
        <v>5.5840000000000001E-2</v>
      </c>
      <c r="R1845">
        <v>43252</v>
      </c>
      <c r="S1845" t="s">
        <v>122</v>
      </c>
    </row>
    <row r="1846" spans="1:19">
      <c r="A1846">
        <v>60000577</v>
      </c>
      <c r="B1846">
        <v>48</v>
      </c>
      <c r="C1846" t="s">
        <v>33</v>
      </c>
      <c r="D1846" t="s">
        <v>19</v>
      </c>
      <c r="E1846" t="s">
        <v>72</v>
      </c>
      <c r="F1846" t="s">
        <v>120</v>
      </c>
      <c r="G1846" s="23">
        <v>0.11</v>
      </c>
      <c r="H1846" t="s">
        <v>36</v>
      </c>
      <c r="I1846" t="s">
        <v>83</v>
      </c>
      <c r="J1846" t="s">
        <v>58</v>
      </c>
      <c r="K1846" t="s">
        <v>116</v>
      </c>
      <c r="L1846" t="s">
        <v>26</v>
      </c>
      <c r="M1846" t="s">
        <v>124</v>
      </c>
      <c r="N1846" t="s">
        <v>28</v>
      </c>
      <c r="O1846">
        <v>1</v>
      </c>
      <c r="P1846">
        <v>72353</v>
      </c>
      <c r="Q1846">
        <f t="shared" si="31"/>
        <v>7.2353000000000001E-2</v>
      </c>
      <c r="R1846">
        <v>43252</v>
      </c>
      <c r="S1846" t="s">
        <v>122</v>
      </c>
    </row>
    <row r="1847" spans="1:19">
      <c r="A1847">
        <v>60000578</v>
      </c>
      <c r="B1847">
        <v>54</v>
      </c>
      <c r="C1847" t="s">
        <v>33</v>
      </c>
      <c r="D1847" t="s">
        <v>19</v>
      </c>
      <c r="E1847" t="s">
        <v>34</v>
      </c>
      <c r="F1847" t="s">
        <v>35</v>
      </c>
      <c r="G1847" s="23">
        <v>0.36</v>
      </c>
      <c r="H1847" t="s">
        <v>42</v>
      </c>
      <c r="I1847" t="s">
        <v>45</v>
      </c>
      <c r="J1847" t="s">
        <v>66</v>
      </c>
      <c r="K1847" t="s">
        <v>118</v>
      </c>
      <c r="L1847" t="s">
        <v>119</v>
      </c>
      <c r="M1847" t="s">
        <v>124</v>
      </c>
      <c r="N1847" t="s">
        <v>51</v>
      </c>
      <c r="O1847">
        <v>6</v>
      </c>
      <c r="P1847">
        <v>40780</v>
      </c>
      <c r="Q1847">
        <f t="shared" si="31"/>
        <v>4.0779999999999997E-2</v>
      </c>
      <c r="R1847">
        <v>43252</v>
      </c>
      <c r="S1847" t="s">
        <v>122</v>
      </c>
    </row>
    <row r="1848" spans="1:19">
      <c r="A1848">
        <v>60000579</v>
      </c>
      <c r="B1848">
        <v>31</v>
      </c>
      <c r="C1848" t="s">
        <v>33</v>
      </c>
      <c r="D1848" t="s">
        <v>40</v>
      </c>
      <c r="E1848" t="s">
        <v>64</v>
      </c>
      <c r="F1848" t="s">
        <v>35</v>
      </c>
      <c r="G1848" s="23">
        <v>0.26</v>
      </c>
      <c r="H1848" t="s">
        <v>53</v>
      </c>
      <c r="I1848" t="s">
        <v>80</v>
      </c>
      <c r="J1848" t="s">
        <v>54</v>
      </c>
      <c r="K1848" t="s">
        <v>94</v>
      </c>
      <c r="L1848" t="s">
        <v>121</v>
      </c>
      <c r="M1848" t="s">
        <v>124</v>
      </c>
      <c r="N1848" t="s">
        <v>51</v>
      </c>
      <c r="O1848">
        <v>7</v>
      </c>
      <c r="P1848">
        <v>76617</v>
      </c>
      <c r="Q1848">
        <f t="shared" si="31"/>
        <v>7.6617000000000005E-2</v>
      </c>
      <c r="R1848">
        <v>43252</v>
      </c>
      <c r="S1848" t="s">
        <v>122</v>
      </c>
    </row>
    <row r="1849" spans="1:19">
      <c r="A1849">
        <v>60000580</v>
      </c>
      <c r="B1849">
        <v>46</v>
      </c>
      <c r="C1849" t="s">
        <v>18</v>
      </c>
      <c r="D1849" t="s">
        <v>40</v>
      </c>
      <c r="E1849" t="s">
        <v>52</v>
      </c>
      <c r="F1849" t="s">
        <v>21</v>
      </c>
      <c r="G1849" s="23">
        <v>0.15</v>
      </c>
      <c r="H1849" t="s">
        <v>22</v>
      </c>
      <c r="I1849" t="s">
        <v>70</v>
      </c>
      <c r="J1849" t="s">
        <v>46</v>
      </c>
      <c r="K1849" t="s">
        <v>77</v>
      </c>
      <c r="L1849" t="s">
        <v>26</v>
      </c>
      <c r="M1849" t="s">
        <v>124</v>
      </c>
      <c r="N1849" t="s">
        <v>51</v>
      </c>
      <c r="O1849">
        <v>0</v>
      </c>
      <c r="P1849">
        <v>68090</v>
      </c>
      <c r="Q1849">
        <f t="shared" si="31"/>
        <v>6.8089999999999998E-2</v>
      </c>
      <c r="R1849">
        <v>43252</v>
      </c>
      <c r="S1849" t="s">
        <v>122</v>
      </c>
    </row>
    <row r="1850" spans="1:19">
      <c r="A1850">
        <v>60000581</v>
      </c>
      <c r="B1850">
        <v>25</v>
      </c>
      <c r="C1850" t="s">
        <v>33</v>
      </c>
      <c r="D1850" t="s">
        <v>40</v>
      </c>
      <c r="E1850" t="s">
        <v>44</v>
      </c>
      <c r="F1850" t="s">
        <v>21</v>
      </c>
      <c r="G1850" s="23">
        <v>0.1</v>
      </c>
      <c r="H1850" t="s">
        <v>36</v>
      </c>
      <c r="I1850" t="s">
        <v>76</v>
      </c>
      <c r="J1850" t="s">
        <v>58</v>
      </c>
      <c r="K1850" t="s">
        <v>60</v>
      </c>
      <c r="L1850" t="s">
        <v>119</v>
      </c>
      <c r="M1850" t="s">
        <v>124</v>
      </c>
      <c r="N1850" t="s">
        <v>28</v>
      </c>
      <c r="O1850">
        <v>7</v>
      </c>
      <c r="P1850">
        <v>46276</v>
      </c>
      <c r="Q1850">
        <f t="shared" si="31"/>
        <v>4.6275999999999998E-2</v>
      </c>
      <c r="R1850">
        <v>43252</v>
      </c>
      <c r="S1850" t="s">
        <v>122</v>
      </c>
    </row>
    <row r="1851" spans="1:19">
      <c r="A1851">
        <v>60000582</v>
      </c>
      <c r="B1851">
        <v>27</v>
      </c>
      <c r="C1851" t="s">
        <v>33</v>
      </c>
      <c r="D1851" t="s">
        <v>19</v>
      </c>
      <c r="E1851" t="s">
        <v>75</v>
      </c>
      <c r="F1851" t="s">
        <v>21</v>
      </c>
      <c r="G1851" s="23">
        <v>0.11</v>
      </c>
      <c r="H1851" t="s">
        <v>36</v>
      </c>
      <c r="I1851" t="s">
        <v>76</v>
      </c>
      <c r="J1851" t="s">
        <v>91</v>
      </c>
      <c r="K1851" t="s">
        <v>110</v>
      </c>
      <c r="L1851" t="s">
        <v>26</v>
      </c>
      <c r="M1851" t="s">
        <v>124</v>
      </c>
      <c r="N1851" t="s">
        <v>28</v>
      </c>
      <c r="O1851">
        <v>7</v>
      </c>
      <c r="P1851">
        <v>41093</v>
      </c>
      <c r="Q1851">
        <f t="shared" si="31"/>
        <v>4.1092999999999998E-2</v>
      </c>
      <c r="R1851">
        <v>43252</v>
      </c>
      <c r="S1851" t="s">
        <v>122</v>
      </c>
    </row>
    <row r="1852" spans="1:19">
      <c r="A1852">
        <v>60000583</v>
      </c>
      <c r="B1852">
        <v>38</v>
      </c>
      <c r="C1852" t="s">
        <v>33</v>
      </c>
      <c r="D1852" t="s">
        <v>40</v>
      </c>
      <c r="E1852" t="s">
        <v>20</v>
      </c>
      <c r="F1852" t="s">
        <v>21</v>
      </c>
      <c r="G1852" s="23">
        <v>0.36</v>
      </c>
      <c r="H1852" t="s">
        <v>42</v>
      </c>
      <c r="I1852" t="s">
        <v>37</v>
      </c>
      <c r="J1852" t="s">
        <v>58</v>
      </c>
      <c r="K1852" t="s">
        <v>102</v>
      </c>
      <c r="L1852" t="s">
        <v>26</v>
      </c>
      <c r="M1852" t="s">
        <v>124</v>
      </c>
      <c r="N1852" t="s">
        <v>51</v>
      </c>
      <c r="O1852">
        <v>1</v>
      </c>
      <c r="P1852">
        <v>53884</v>
      </c>
      <c r="Q1852">
        <f t="shared" si="31"/>
        <v>5.3884000000000001E-2</v>
      </c>
      <c r="R1852">
        <v>43252</v>
      </c>
      <c r="S1852" t="s">
        <v>122</v>
      </c>
    </row>
    <row r="1853" spans="1:19">
      <c r="A1853">
        <v>60000584</v>
      </c>
      <c r="B1853">
        <v>31</v>
      </c>
      <c r="C1853" t="s">
        <v>18</v>
      </c>
      <c r="D1853" t="s">
        <v>19</v>
      </c>
      <c r="E1853" t="s">
        <v>20</v>
      </c>
      <c r="F1853" t="s">
        <v>35</v>
      </c>
      <c r="G1853" s="23">
        <v>0.32</v>
      </c>
      <c r="H1853" t="s">
        <v>42</v>
      </c>
      <c r="I1853" t="s">
        <v>30</v>
      </c>
      <c r="J1853" t="s">
        <v>88</v>
      </c>
      <c r="K1853" t="s">
        <v>77</v>
      </c>
      <c r="L1853" t="s">
        <v>119</v>
      </c>
      <c r="M1853" t="s">
        <v>124</v>
      </c>
      <c r="N1853" t="s">
        <v>51</v>
      </c>
      <c r="O1853">
        <v>0</v>
      </c>
      <c r="P1853">
        <v>76973</v>
      </c>
      <c r="Q1853">
        <f t="shared" si="31"/>
        <v>7.6973E-2</v>
      </c>
      <c r="R1853">
        <v>43252</v>
      </c>
      <c r="S1853" t="s">
        <v>122</v>
      </c>
    </row>
    <row r="1854" spans="1:19">
      <c r="A1854">
        <v>60000585</v>
      </c>
      <c r="B1854">
        <v>52</v>
      </c>
      <c r="C1854" t="s">
        <v>33</v>
      </c>
      <c r="D1854" t="s">
        <v>40</v>
      </c>
      <c r="E1854" t="s">
        <v>72</v>
      </c>
      <c r="F1854" t="s">
        <v>120</v>
      </c>
      <c r="G1854" s="23">
        <v>0.14000000000000001</v>
      </c>
      <c r="H1854" t="s">
        <v>22</v>
      </c>
      <c r="I1854" t="s">
        <v>86</v>
      </c>
      <c r="J1854" t="s">
        <v>88</v>
      </c>
      <c r="K1854" t="s">
        <v>92</v>
      </c>
      <c r="L1854" t="s">
        <v>26</v>
      </c>
      <c r="M1854" t="s">
        <v>124</v>
      </c>
      <c r="N1854" t="s">
        <v>51</v>
      </c>
      <c r="O1854">
        <v>0</v>
      </c>
      <c r="P1854">
        <v>45982</v>
      </c>
      <c r="Q1854">
        <f t="shared" si="31"/>
        <v>4.5982000000000002E-2</v>
      </c>
      <c r="R1854">
        <v>43252</v>
      </c>
      <c r="S1854" t="s">
        <v>122</v>
      </c>
    </row>
    <row r="1855" spans="1:19">
      <c r="A1855">
        <v>60000586</v>
      </c>
      <c r="B1855">
        <v>21</v>
      </c>
      <c r="C1855" t="s">
        <v>33</v>
      </c>
      <c r="D1855" t="s">
        <v>40</v>
      </c>
      <c r="E1855" t="s">
        <v>85</v>
      </c>
      <c r="F1855" t="s">
        <v>35</v>
      </c>
      <c r="G1855" s="23">
        <v>0.27</v>
      </c>
      <c r="H1855" t="s">
        <v>53</v>
      </c>
      <c r="I1855" t="s">
        <v>30</v>
      </c>
      <c r="J1855" t="s">
        <v>58</v>
      </c>
      <c r="K1855" t="s">
        <v>114</v>
      </c>
      <c r="L1855" t="s">
        <v>119</v>
      </c>
      <c r="M1855" t="s">
        <v>124</v>
      </c>
      <c r="N1855" t="s">
        <v>28</v>
      </c>
      <c r="O1855">
        <v>0</v>
      </c>
      <c r="P1855">
        <v>28570</v>
      </c>
      <c r="Q1855">
        <f t="shared" si="31"/>
        <v>2.8570000000000002E-2</v>
      </c>
      <c r="R1855">
        <v>43252</v>
      </c>
      <c r="S1855" t="s">
        <v>122</v>
      </c>
    </row>
    <row r="1856" spans="1:19">
      <c r="A1856">
        <v>60000587</v>
      </c>
      <c r="B1856">
        <v>65</v>
      </c>
      <c r="C1856" t="s">
        <v>18</v>
      </c>
      <c r="D1856" t="s">
        <v>19</v>
      </c>
      <c r="E1856" t="s">
        <v>20</v>
      </c>
      <c r="F1856" t="s">
        <v>120</v>
      </c>
      <c r="G1856" s="23">
        <v>0.22</v>
      </c>
      <c r="H1856" t="s">
        <v>29</v>
      </c>
      <c r="I1856" t="s">
        <v>49</v>
      </c>
      <c r="J1856" t="s">
        <v>61</v>
      </c>
      <c r="K1856" t="s">
        <v>59</v>
      </c>
      <c r="L1856" t="s">
        <v>26</v>
      </c>
      <c r="M1856" t="s">
        <v>124</v>
      </c>
      <c r="N1856" t="s">
        <v>28</v>
      </c>
      <c r="O1856">
        <v>4</v>
      </c>
      <c r="P1856">
        <v>71377</v>
      </c>
      <c r="Q1856">
        <f t="shared" si="31"/>
        <v>7.1376999999999996E-2</v>
      </c>
      <c r="R1856">
        <v>43252</v>
      </c>
      <c r="S1856" t="s">
        <v>122</v>
      </c>
    </row>
    <row r="1857" spans="1:19">
      <c r="A1857">
        <v>60000588</v>
      </c>
      <c r="B1857">
        <v>40</v>
      </c>
      <c r="C1857" t="s">
        <v>33</v>
      </c>
      <c r="D1857" t="s">
        <v>19</v>
      </c>
      <c r="E1857" t="s">
        <v>52</v>
      </c>
      <c r="F1857" t="s">
        <v>35</v>
      </c>
      <c r="G1857" s="23">
        <v>0.26</v>
      </c>
      <c r="H1857" t="s">
        <v>53</v>
      </c>
      <c r="I1857" t="s">
        <v>37</v>
      </c>
      <c r="J1857" t="s">
        <v>58</v>
      </c>
      <c r="K1857" t="s">
        <v>111</v>
      </c>
      <c r="L1857" t="s">
        <v>26</v>
      </c>
      <c r="M1857" t="s">
        <v>124</v>
      </c>
      <c r="N1857" t="s">
        <v>51</v>
      </c>
      <c r="O1857">
        <v>0</v>
      </c>
      <c r="P1857">
        <v>57215</v>
      </c>
      <c r="Q1857">
        <f t="shared" si="31"/>
        <v>5.7215000000000002E-2</v>
      </c>
      <c r="R1857">
        <v>43252</v>
      </c>
      <c r="S1857" t="s">
        <v>122</v>
      </c>
    </row>
    <row r="1858" spans="1:19">
      <c r="A1858">
        <v>60000589</v>
      </c>
      <c r="B1858">
        <v>50</v>
      </c>
      <c r="C1858" t="s">
        <v>18</v>
      </c>
      <c r="D1858" t="s">
        <v>40</v>
      </c>
      <c r="E1858" t="s">
        <v>64</v>
      </c>
      <c r="F1858" t="s">
        <v>21</v>
      </c>
      <c r="G1858" s="23">
        <v>0.37</v>
      </c>
      <c r="H1858" t="s">
        <v>42</v>
      </c>
      <c r="I1858" t="s">
        <v>30</v>
      </c>
      <c r="J1858" t="s">
        <v>74</v>
      </c>
      <c r="K1858" t="s">
        <v>84</v>
      </c>
      <c r="L1858" t="s">
        <v>119</v>
      </c>
      <c r="M1858" t="s">
        <v>124</v>
      </c>
      <c r="N1858" t="s">
        <v>28</v>
      </c>
      <c r="O1858">
        <v>2</v>
      </c>
      <c r="P1858">
        <v>48218</v>
      </c>
      <c r="Q1858">
        <f t="shared" si="31"/>
        <v>4.8217999999999997E-2</v>
      </c>
      <c r="R1858">
        <v>43252</v>
      </c>
      <c r="S1858" t="s">
        <v>122</v>
      </c>
    </row>
    <row r="1859" spans="1:19">
      <c r="A1859">
        <v>60000590</v>
      </c>
      <c r="B1859">
        <v>33</v>
      </c>
      <c r="C1859" t="s">
        <v>18</v>
      </c>
      <c r="D1859" t="s">
        <v>19</v>
      </c>
      <c r="E1859" t="s">
        <v>48</v>
      </c>
      <c r="F1859" t="s">
        <v>21</v>
      </c>
      <c r="G1859" s="23">
        <v>0.18</v>
      </c>
      <c r="H1859" t="s">
        <v>22</v>
      </c>
      <c r="I1859" t="s">
        <v>73</v>
      </c>
      <c r="J1859" t="s">
        <v>88</v>
      </c>
      <c r="K1859" t="s">
        <v>100</v>
      </c>
      <c r="L1859" t="s">
        <v>119</v>
      </c>
      <c r="M1859" t="s">
        <v>124</v>
      </c>
      <c r="N1859" t="s">
        <v>51</v>
      </c>
      <c r="O1859">
        <v>0</v>
      </c>
      <c r="P1859">
        <v>50569</v>
      </c>
      <c r="Q1859">
        <f t="shared" si="31"/>
        <v>5.0569000000000003E-2</v>
      </c>
      <c r="R1859">
        <v>43252</v>
      </c>
      <c r="S1859" t="s">
        <v>122</v>
      </c>
    </row>
    <row r="1860" spans="1:19">
      <c r="A1860">
        <v>60000591</v>
      </c>
      <c r="B1860">
        <v>41</v>
      </c>
      <c r="C1860" t="s">
        <v>33</v>
      </c>
      <c r="D1860" t="s">
        <v>19</v>
      </c>
      <c r="E1860" t="s">
        <v>64</v>
      </c>
      <c r="F1860" t="s">
        <v>21</v>
      </c>
      <c r="G1860" s="23">
        <v>0.28000000000000003</v>
      </c>
      <c r="H1860" t="s">
        <v>53</v>
      </c>
      <c r="I1860" t="s">
        <v>68</v>
      </c>
      <c r="J1860" t="s">
        <v>78</v>
      </c>
      <c r="K1860" t="s">
        <v>89</v>
      </c>
      <c r="L1860" t="s">
        <v>119</v>
      </c>
      <c r="M1860" t="s">
        <v>124</v>
      </c>
      <c r="N1860" t="s">
        <v>28</v>
      </c>
      <c r="O1860">
        <v>0</v>
      </c>
      <c r="P1860">
        <v>65399</v>
      </c>
      <c r="Q1860">
        <f t="shared" ref="Q1860:Q1903" si="32">+P1860/1000000</f>
        <v>6.5398999999999999E-2</v>
      </c>
      <c r="R1860">
        <v>43252</v>
      </c>
      <c r="S1860" t="s">
        <v>122</v>
      </c>
    </row>
    <row r="1861" spans="1:19">
      <c r="A1861">
        <v>60000592</v>
      </c>
      <c r="B1861">
        <v>56</v>
      </c>
      <c r="C1861" t="s">
        <v>33</v>
      </c>
      <c r="D1861" t="s">
        <v>40</v>
      </c>
      <c r="E1861" t="s">
        <v>48</v>
      </c>
      <c r="F1861" t="s">
        <v>35</v>
      </c>
      <c r="G1861" s="23">
        <v>0.28000000000000003</v>
      </c>
      <c r="H1861" t="s">
        <v>53</v>
      </c>
      <c r="I1861" t="s">
        <v>80</v>
      </c>
      <c r="J1861" t="s">
        <v>58</v>
      </c>
      <c r="K1861" t="s">
        <v>109</v>
      </c>
      <c r="L1861" t="s">
        <v>121</v>
      </c>
      <c r="M1861" t="s">
        <v>124</v>
      </c>
      <c r="N1861" t="s">
        <v>28</v>
      </c>
      <c r="O1861">
        <v>0</v>
      </c>
      <c r="P1861">
        <v>52033</v>
      </c>
      <c r="Q1861">
        <f t="shared" si="32"/>
        <v>5.2033000000000003E-2</v>
      </c>
      <c r="R1861">
        <v>43252</v>
      </c>
      <c r="S1861" t="s">
        <v>122</v>
      </c>
    </row>
    <row r="1862" spans="1:19">
      <c r="A1862">
        <v>60000593</v>
      </c>
      <c r="B1862">
        <v>26</v>
      </c>
      <c r="C1862" t="s">
        <v>33</v>
      </c>
      <c r="D1862" t="s">
        <v>40</v>
      </c>
      <c r="E1862" t="s">
        <v>85</v>
      </c>
      <c r="F1862" t="s">
        <v>21</v>
      </c>
      <c r="G1862" s="23">
        <v>0.13</v>
      </c>
      <c r="H1862" t="s">
        <v>22</v>
      </c>
      <c r="I1862" t="s">
        <v>37</v>
      </c>
      <c r="J1862" t="s">
        <v>91</v>
      </c>
      <c r="K1862" t="s">
        <v>90</v>
      </c>
      <c r="L1862" t="s">
        <v>119</v>
      </c>
      <c r="M1862" t="s">
        <v>124</v>
      </c>
      <c r="N1862" t="s">
        <v>51</v>
      </c>
      <c r="O1862">
        <v>0</v>
      </c>
      <c r="P1862">
        <v>68451</v>
      </c>
      <c r="Q1862">
        <f t="shared" si="32"/>
        <v>6.8450999999999998E-2</v>
      </c>
      <c r="R1862">
        <v>43252</v>
      </c>
      <c r="S1862" t="s">
        <v>122</v>
      </c>
    </row>
    <row r="1863" spans="1:19">
      <c r="A1863">
        <v>60000594</v>
      </c>
      <c r="B1863">
        <v>56</v>
      </c>
      <c r="C1863" t="s">
        <v>18</v>
      </c>
      <c r="D1863" t="s">
        <v>40</v>
      </c>
      <c r="E1863" t="s">
        <v>56</v>
      </c>
      <c r="F1863" t="s">
        <v>120</v>
      </c>
      <c r="G1863" s="23">
        <v>0.19</v>
      </c>
      <c r="H1863" t="s">
        <v>29</v>
      </c>
      <c r="I1863" t="s">
        <v>62</v>
      </c>
      <c r="J1863" t="s">
        <v>74</v>
      </c>
      <c r="K1863" t="s">
        <v>39</v>
      </c>
      <c r="L1863" t="s">
        <v>119</v>
      </c>
      <c r="M1863" t="s">
        <v>124</v>
      </c>
      <c r="N1863" t="s">
        <v>51</v>
      </c>
      <c r="O1863">
        <v>0</v>
      </c>
      <c r="P1863">
        <v>25667</v>
      </c>
      <c r="Q1863">
        <f t="shared" si="32"/>
        <v>2.5666999999999999E-2</v>
      </c>
      <c r="R1863">
        <v>43252</v>
      </c>
      <c r="S1863" t="s">
        <v>122</v>
      </c>
    </row>
    <row r="1864" spans="1:19">
      <c r="A1864">
        <v>60000595</v>
      </c>
      <c r="B1864">
        <v>59</v>
      </c>
      <c r="C1864" t="s">
        <v>18</v>
      </c>
      <c r="D1864" t="s">
        <v>19</v>
      </c>
      <c r="E1864" t="s">
        <v>48</v>
      </c>
      <c r="F1864" t="s">
        <v>21</v>
      </c>
      <c r="G1864" s="23">
        <v>0.2</v>
      </c>
      <c r="H1864" t="s">
        <v>29</v>
      </c>
      <c r="I1864" t="s">
        <v>83</v>
      </c>
      <c r="J1864" t="s">
        <v>54</v>
      </c>
      <c r="K1864" t="s">
        <v>99</v>
      </c>
      <c r="L1864" t="s">
        <v>26</v>
      </c>
      <c r="M1864" t="s">
        <v>124</v>
      </c>
      <c r="N1864" t="s">
        <v>28</v>
      </c>
      <c r="O1864">
        <v>0</v>
      </c>
      <c r="P1864">
        <v>83560</v>
      </c>
      <c r="Q1864">
        <f t="shared" si="32"/>
        <v>8.3559999999999995E-2</v>
      </c>
      <c r="R1864">
        <v>43252</v>
      </c>
      <c r="S1864" t="s">
        <v>122</v>
      </c>
    </row>
    <row r="1865" spans="1:19">
      <c r="A1865">
        <v>60000596</v>
      </c>
      <c r="B1865">
        <v>44</v>
      </c>
      <c r="C1865" t="s">
        <v>33</v>
      </c>
      <c r="D1865" t="s">
        <v>40</v>
      </c>
      <c r="E1865" t="s">
        <v>56</v>
      </c>
      <c r="F1865" t="s">
        <v>35</v>
      </c>
      <c r="G1865" s="23">
        <v>0.26</v>
      </c>
      <c r="H1865" t="s">
        <v>53</v>
      </c>
      <c r="I1865" t="s">
        <v>68</v>
      </c>
      <c r="J1865" t="s">
        <v>91</v>
      </c>
      <c r="K1865" t="s">
        <v>107</v>
      </c>
      <c r="L1865" t="s">
        <v>26</v>
      </c>
      <c r="M1865" t="s">
        <v>124</v>
      </c>
      <c r="N1865" t="s">
        <v>51</v>
      </c>
      <c r="O1865">
        <v>0</v>
      </c>
      <c r="P1865">
        <v>57917</v>
      </c>
      <c r="Q1865">
        <f t="shared" si="32"/>
        <v>5.7917000000000003E-2</v>
      </c>
      <c r="R1865">
        <v>43252</v>
      </c>
      <c r="S1865" t="s">
        <v>122</v>
      </c>
    </row>
    <row r="1866" spans="1:19">
      <c r="A1866">
        <v>60000597</v>
      </c>
      <c r="B1866">
        <v>56</v>
      </c>
      <c r="C1866" t="s">
        <v>33</v>
      </c>
      <c r="D1866" t="s">
        <v>19</v>
      </c>
      <c r="E1866" t="s">
        <v>85</v>
      </c>
      <c r="F1866" t="s">
        <v>120</v>
      </c>
      <c r="G1866" s="23">
        <v>0.16</v>
      </c>
      <c r="H1866" t="s">
        <v>22</v>
      </c>
      <c r="I1866" t="s">
        <v>83</v>
      </c>
      <c r="J1866" t="s">
        <v>31</v>
      </c>
      <c r="K1866" t="s">
        <v>113</v>
      </c>
      <c r="L1866" t="s">
        <v>119</v>
      </c>
      <c r="M1866" t="s">
        <v>124</v>
      </c>
      <c r="N1866" t="s">
        <v>28</v>
      </c>
      <c r="O1866">
        <v>0</v>
      </c>
      <c r="P1866">
        <v>50258</v>
      </c>
      <c r="Q1866">
        <f t="shared" si="32"/>
        <v>5.0257999999999997E-2</v>
      </c>
      <c r="R1866">
        <v>43252</v>
      </c>
      <c r="S1866" t="s">
        <v>122</v>
      </c>
    </row>
    <row r="1867" spans="1:19">
      <c r="A1867">
        <v>60000598</v>
      </c>
      <c r="B1867">
        <v>34</v>
      </c>
      <c r="C1867" t="s">
        <v>33</v>
      </c>
      <c r="D1867" t="s">
        <v>40</v>
      </c>
      <c r="E1867" t="s">
        <v>34</v>
      </c>
      <c r="F1867" t="s">
        <v>120</v>
      </c>
      <c r="G1867" s="23">
        <v>0.15</v>
      </c>
      <c r="H1867" t="s">
        <v>22</v>
      </c>
      <c r="I1867" t="s">
        <v>37</v>
      </c>
      <c r="J1867" t="s">
        <v>54</v>
      </c>
      <c r="K1867" t="s">
        <v>115</v>
      </c>
      <c r="L1867" t="s">
        <v>26</v>
      </c>
      <c r="M1867" t="s">
        <v>124</v>
      </c>
      <c r="N1867" t="s">
        <v>28</v>
      </c>
      <c r="O1867">
        <v>1</v>
      </c>
      <c r="P1867">
        <v>53537</v>
      </c>
      <c r="Q1867">
        <f t="shared" si="32"/>
        <v>5.3537000000000001E-2</v>
      </c>
      <c r="R1867">
        <v>43252</v>
      </c>
      <c r="S1867" t="s">
        <v>122</v>
      </c>
    </row>
    <row r="1868" spans="1:19">
      <c r="A1868">
        <v>60000599</v>
      </c>
      <c r="B1868">
        <v>31</v>
      </c>
      <c r="C1868" t="s">
        <v>18</v>
      </c>
      <c r="D1868" t="s">
        <v>40</v>
      </c>
      <c r="E1868" t="s">
        <v>34</v>
      </c>
      <c r="F1868" t="s">
        <v>120</v>
      </c>
      <c r="G1868" s="23">
        <v>0.22</v>
      </c>
      <c r="H1868" t="s">
        <v>29</v>
      </c>
      <c r="I1868" t="s">
        <v>86</v>
      </c>
      <c r="J1868" t="s">
        <v>66</v>
      </c>
      <c r="K1868" t="s">
        <v>116</v>
      </c>
      <c r="L1868" t="s">
        <v>119</v>
      </c>
      <c r="M1868" t="s">
        <v>124</v>
      </c>
      <c r="N1868" t="s">
        <v>51</v>
      </c>
      <c r="O1868">
        <v>5</v>
      </c>
      <c r="P1868">
        <v>36408</v>
      </c>
      <c r="Q1868">
        <f t="shared" si="32"/>
        <v>3.6408000000000003E-2</v>
      </c>
      <c r="R1868">
        <v>43252</v>
      </c>
      <c r="S1868" t="s">
        <v>122</v>
      </c>
    </row>
    <row r="1869" spans="1:19">
      <c r="A1869">
        <v>60000600</v>
      </c>
      <c r="B1869">
        <v>54</v>
      </c>
      <c r="C1869" t="s">
        <v>33</v>
      </c>
      <c r="D1869" t="s">
        <v>40</v>
      </c>
      <c r="E1869" t="s">
        <v>64</v>
      </c>
      <c r="F1869" t="s">
        <v>21</v>
      </c>
      <c r="G1869" s="23">
        <v>0.22</v>
      </c>
      <c r="H1869" t="s">
        <v>29</v>
      </c>
      <c r="I1869" t="s">
        <v>57</v>
      </c>
      <c r="J1869" t="s">
        <v>69</v>
      </c>
      <c r="K1869" t="s">
        <v>79</v>
      </c>
      <c r="L1869" t="s">
        <v>26</v>
      </c>
      <c r="M1869" t="s">
        <v>124</v>
      </c>
      <c r="N1869" t="s">
        <v>28</v>
      </c>
      <c r="O1869">
        <v>0</v>
      </c>
      <c r="P1869">
        <v>68952</v>
      </c>
      <c r="Q1869">
        <f t="shared" si="32"/>
        <v>6.8951999999999999E-2</v>
      </c>
      <c r="R1869">
        <v>43252</v>
      </c>
      <c r="S1869" t="s">
        <v>122</v>
      </c>
    </row>
    <row r="1870" spans="1:19">
      <c r="A1870">
        <v>60000601</v>
      </c>
      <c r="B1870">
        <v>45</v>
      </c>
      <c r="C1870" t="s">
        <v>18</v>
      </c>
      <c r="D1870" t="s">
        <v>19</v>
      </c>
      <c r="E1870" t="s">
        <v>72</v>
      </c>
      <c r="F1870" t="s">
        <v>120</v>
      </c>
      <c r="G1870" s="23">
        <v>0.27</v>
      </c>
      <c r="H1870" t="s">
        <v>53</v>
      </c>
      <c r="I1870" t="s">
        <v>76</v>
      </c>
      <c r="J1870" t="s">
        <v>74</v>
      </c>
      <c r="K1870" t="s">
        <v>84</v>
      </c>
      <c r="L1870" t="s">
        <v>119</v>
      </c>
      <c r="M1870" t="s">
        <v>124</v>
      </c>
      <c r="N1870" t="s">
        <v>51</v>
      </c>
      <c r="O1870">
        <v>0</v>
      </c>
      <c r="P1870">
        <v>64036</v>
      </c>
      <c r="Q1870">
        <f t="shared" si="32"/>
        <v>6.4035999999999996E-2</v>
      </c>
      <c r="R1870">
        <v>43252</v>
      </c>
      <c r="S1870" t="s">
        <v>122</v>
      </c>
    </row>
    <row r="1871" spans="1:19">
      <c r="A1871">
        <v>60000602</v>
      </c>
      <c r="B1871">
        <v>55</v>
      </c>
      <c r="C1871" t="s">
        <v>33</v>
      </c>
      <c r="D1871" t="s">
        <v>40</v>
      </c>
      <c r="E1871" t="s">
        <v>56</v>
      </c>
      <c r="F1871" t="s">
        <v>35</v>
      </c>
      <c r="G1871" s="23">
        <v>0.18</v>
      </c>
      <c r="H1871" t="s">
        <v>22</v>
      </c>
      <c r="I1871" t="s">
        <v>73</v>
      </c>
      <c r="J1871" t="s">
        <v>78</v>
      </c>
      <c r="K1871" t="s">
        <v>71</v>
      </c>
      <c r="L1871" t="s">
        <v>121</v>
      </c>
      <c r="M1871" t="s">
        <v>124</v>
      </c>
      <c r="N1871" t="s">
        <v>51</v>
      </c>
      <c r="O1871">
        <v>0</v>
      </c>
      <c r="P1871">
        <v>56531</v>
      </c>
      <c r="Q1871">
        <f t="shared" si="32"/>
        <v>5.6530999999999998E-2</v>
      </c>
      <c r="R1871">
        <v>43252</v>
      </c>
      <c r="S1871" t="s">
        <v>122</v>
      </c>
    </row>
    <row r="1872" spans="1:19">
      <c r="A1872">
        <v>60000603</v>
      </c>
      <c r="B1872">
        <v>33</v>
      </c>
      <c r="C1872" t="s">
        <v>18</v>
      </c>
      <c r="D1872" t="s">
        <v>19</v>
      </c>
      <c r="E1872" t="s">
        <v>48</v>
      </c>
      <c r="F1872" t="s">
        <v>21</v>
      </c>
      <c r="G1872" s="23">
        <v>0.18</v>
      </c>
      <c r="H1872" t="s">
        <v>22</v>
      </c>
      <c r="I1872" t="s">
        <v>23</v>
      </c>
      <c r="J1872" t="s">
        <v>66</v>
      </c>
      <c r="K1872" t="s">
        <v>103</v>
      </c>
      <c r="L1872" t="s">
        <v>119</v>
      </c>
      <c r="M1872" t="s">
        <v>124</v>
      </c>
      <c r="N1872" t="s">
        <v>28</v>
      </c>
      <c r="O1872">
        <v>0</v>
      </c>
      <c r="P1872">
        <v>75914</v>
      </c>
      <c r="Q1872">
        <f t="shared" si="32"/>
        <v>7.5913999999999995E-2</v>
      </c>
      <c r="R1872">
        <v>43252</v>
      </c>
      <c r="S1872" t="s">
        <v>122</v>
      </c>
    </row>
    <row r="1873" spans="1:19">
      <c r="A1873">
        <v>60000604</v>
      </c>
      <c r="B1873">
        <v>51</v>
      </c>
      <c r="C1873" t="s">
        <v>18</v>
      </c>
      <c r="D1873" t="s">
        <v>19</v>
      </c>
      <c r="E1873" t="s">
        <v>20</v>
      </c>
      <c r="F1873" t="s">
        <v>120</v>
      </c>
      <c r="G1873" s="23">
        <v>0.14000000000000001</v>
      </c>
      <c r="H1873" t="s">
        <v>22</v>
      </c>
      <c r="I1873" t="s">
        <v>57</v>
      </c>
      <c r="J1873" t="s">
        <v>74</v>
      </c>
      <c r="K1873" t="s">
        <v>50</v>
      </c>
      <c r="L1873" t="s">
        <v>121</v>
      </c>
      <c r="M1873" t="s">
        <v>124</v>
      </c>
      <c r="N1873" t="s">
        <v>51</v>
      </c>
      <c r="O1873">
        <v>4</v>
      </c>
      <c r="P1873">
        <v>68867</v>
      </c>
      <c r="Q1873">
        <f t="shared" si="32"/>
        <v>6.8866999999999998E-2</v>
      </c>
      <c r="R1873">
        <v>43252</v>
      </c>
      <c r="S1873" t="s">
        <v>122</v>
      </c>
    </row>
    <row r="1874" spans="1:19">
      <c r="A1874">
        <v>60000605</v>
      </c>
      <c r="B1874">
        <v>45</v>
      </c>
      <c r="C1874" t="s">
        <v>33</v>
      </c>
      <c r="D1874" t="s">
        <v>19</v>
      </c>
      <c r="E1874" t="s">
        <v>20</v>
      </c>
      <c r="F1874" t="s">
        <v>21</v>
      </c>
      <c r="G1874" s="23">
        <v>0.14000000000000001</v>
      </c>
      <c r="H1874" t="s">
        <v>22</v>
      </c>
      <c r="I1874" t="s">
        <v>37</v>
      </c>
      <c r="J1874" t="s">
        <v>54</v>
      </c>
      <c r="K1874" t="s">
        <v>83</v>
      </c>
      <c r="L1874" t="s">
        <v>121</v>
      </c>
      <c r="M1874" t="s">
        <v>124</v>
      </c>
      <c r="N1874" t="s">
        <v>51</v>
      </c>
      <c r="O1874">
        <v>0</v>
      </c>
      <c r="P1874">
        <v>68635</v>
      </c>
      <c r="Q1874">
        <f t="shared" si="32"/>
        <v>6.8635000000000002E-2</v>
      </c>
      <c r="R1874">
        <v>43252</v>
      </c>
      <c r="S1874" t="s">
        <v>122</v>
      </c>
    </row>
    <row r="1875" spans="1:19">
      <c r="A1875">
        <v>60000606</v>
      </c>
      <c r="B1875">
        <v>49</v>
      </c>
      <c r="C1875" t="s">
        <v>33</v>
      </c>
      <c r="D1875" t="s">
        <v>40</v>
      </c>
      <c r="E1875" t="s">
        <v>52</v>
      </c>
      <c r="F1875" t="s">
        <v>21</v>
      </c>
      <c r="G1875" s="23">
        <v>0.34</v>
      </c>
      <c r="H1875" t="s">
        <v>42</v>
      </c>
      <c r="I1875" t="s">
        <v>73</v>
      </c>
      <c r="J1875" t="s">
        <v>66</v>
      </c>
      <c r="K1875" t="s">
        <v>116</v>
      </c>
      <c r="L1875" t="s">
        <v>121</v>
      </c>
      <c r="M1875" t="s">
        <v>124</v>
      </c>
      <c r="N1875" t="s">
        <v>51</v>
      </c>
      <c r="O1875">
        <v>3</v>
      </c>
      <c r="P1875">
        <v>81611</v>
      </c>
      <c r="Q1875">
        <f t="shared" si="32"/>
        <v>8.1611000000000003E-2</v>
      </c>
      <c r="R1875">
        <v>43252</v>
      </c>
      <c r="S1875" t="s">
        <v>122</v>
      </c>
    </row>
    <row r="1876" spans="1:19">
      <c r="A1876">
        <v>60000607</v>
      </c>
      <c r="B1876">
        <v>40</v>
      </c>
      <c r="C1876" t="s">
        <v>18</v>
      </c>
      <c r="D1876" t="s">
        <v>19</v>
      </c>
      <c r="E1876" t="s">
        <v>72</v>
      </c>
      <c r="F1876" t="s">
        <v>21</v>
      </c>
      <c r="G1876" s="23">
        <v>0.33</v>
      </c>
      <c r="H1876" t="s">
        <v>42</v>
      </c>
      <c r="I1876" t="s">
        <v>68</v>
      </c>
      <c r="J1876" t="s">
        <v>46</v>
      </c>
      <c r="K1876" t="s">
        <v>94</v>
      </c>
      <c r="L1876" t="s">
        <v>121</v>
      </c>
      <c r="M1876" t="s">
        <v>124</v>
      </c>
      <c r="N1876" t="s">
        <v>28</v>
      </c>
      <c r="O1876">
        <v>5</v>
      </c>
      <c r="P1876">
        <v>48508</v>
      </c>
      <c r="Q1876">
        <f t="shared" si="32"/>
        <v>4.8508000000000003E-2</v>
      </c>
      <c r="R1876">
        <v>43252</v>
      </c>
      <c r="S1876" t="s">
        <v>122</v>
      </c>
    </row>
    <row r="1877" spans="1:19">
      <c r="A1877">
        <v>60000608</v>
      </c>
      <c r="B1877">
        <v>29</v>
      </c>
      <c r="C1877" t="s">
        <v>33</v>
      </c>
      <c r="D1877" t="s">
        <v>40</v>
      </c>
      <c r="E1877" t="s">
        <v>64</v>
      </c>
      <c r="F1877" t="s">
        <v>21</v>
      </c>
      <c r="G1877" s="23">
        <v>0.37</v>
      </c>
      <c r="H1877" t="s">
        <v>42</v>
      </c>
      <c r="I1877" t="s">
        <v>62</v>
      </c>
      <c r="J1877" t="s">
        <v>38</v>
      </c>
      <c r="K1877" t="s">
        <v>92</v>
      </c>
      <c r="L1877" t="s">
        <v>121</v>
      </c>
      <c r="M1877" t="s">
        <v>124</v>
      </c>
      <c r="N1877" t="s">
        <v>51</v>
      </c>
      <c r="O1877">
        <v>0</v>
      </c>
      <c r="P1877">
        <v>70933</v>
      </c>
      <c r="Q1877">
        <f t="shared" si="32"/>
        <v>7.0932999999999996E-2</v>
      </c>
      <c r="R1877">
        <v>43252</v>
      </c>
      <c r="S1877" t="s">
        <v>122</v>
      </c>
    </row>
    <row r="1878" spans="1:19">
      <c r="A1878">
        <v>60000609</v>
      </c>
      <c r="B1878">
        <v>63</v>
      </c>
      <c r="C1878" t="s">
        <v>33</v>
      </c>
      <c r="D1878" t="s">
        <v>40</v>
      </c>
      <c r="E1878" t="s">
        <v>72</v>
      </c>
      <c r="F1878" t="s">
        <v>120</v>
      </c>
      <c r="G1878" s="23">
        <v>0.25</v>
      </c>
      <c r="H1878" t="s">
        <v>53</v>
      </c>
      <c r="I1878" t="s">
        <v>68</v>
      </c>
      <c r="J1878" t="s">
        <v>74</v>
      </c>
      <c r="K1878" t="s">
        <v>96</v>
      </c>
      <c r="L1878" t="s">
        <v>119</v>
      </c>
      <c r="M1878" t="s">
        <v>124</v>
      </c>
      <c r="N1878" t="s">
        <v>51</v>
      </c>
      <c r="O1878">
        <v>4</v>
      </c>
      <c r="P1878">
        <v>48153</v>
      </c>
      <c r="Q1878">
        <f t="shared" si="32"/>
        <v>4.8153000000000001E-2</v>
      </c>
      <c r="R1878">
        <v>43252</v>
      </c>
      <c r="S1878" t="s">
        <v>122</v>
      </c>
    </row>
    <row r="1879" spans="1:19">
      <c r="A1879">
        <v>60000610</v>
      </c>
      <c r="B1879">
        <v>42</v>
      </c>
      <c r="C1879" t="s">
        <v>18</v>
      </c>
      <c r="D1879" t="s">
        <v>19</v>
      </c>
      <c r="E1879" t="s">
        <v>75</v>
      </c>
      <c r="F1879" t="s">
        <v>21</v>
      </c>
      <c r="G1879" s="23">
        <v>0.25</v>
      </c>
      <c r="H1879" t="s">
        <v>53</v>
      </c>
      <c r="I1879" t="s">
        <v>70</v>
      </c>
      <c r="J1879" t="s">
        <v>24</v>
      </c>
      <c r="K1879" t="s">
        <v>89</v>
      </c>
      <c r="L1879" t="s">
        <v>121</v>
      </c>
      <c r="M1879" t="s">
        <v>124</v>
      </c>
      <c r="N1879" t="s">
        <v>28</v>
      </c>
      <c r="O1879">
        <v>0</v>
      </c>
      <c r="P1879">
        <v>45766</v>
      </c>
      <c r="Q1879">
        <f t="shared" si="32"/>
        <v>4.5766000000000001E-2</v>
      </c>
      <c r="R1879">
        <v>43252</v>
      </c>
      <c r="S1879" t="s">
        <v>122</v>
      </c>
    </row>
    <row r="1880" spans="1:19">
      <c r="A1880">
        <v>60000611</v>
      </c>
      <c r="B1880">
        <v>27</v>
      </c>
      <c r="C1880" t="s">
        <v>18</v>
      </c>
      <c r="D1880" t="s">
        <v>19</v>
      </c>
      <c r="E1880" t="s">
        <v>48</v>
      </c>
      <c r="F1880" t="s">
        <v>120</v>
      </c>
      <c r="G1880" s="23">
        <v>0.12</v>
      </c>
      <c r="H1880" t="s">
        <v>22</v>
      </c>
      <c r="I1880" t="s">
        <v>68</v>
      </c>
      <c r="J1880" t="s">
        <v>78</v>
      </c>
      <c r="K1880" t="s">
        <v>100</v>
      </c>
      <c r="L1880" t="s">
        <v>26</v>
      </c>
      <c r="M1880" t="s">
        <v>124</v>
      </c>
      <c r="N1880" t="s">
        <v>51</v>
      </c>
      <c r="O1880">
        <v>2</v>
      </c>
      <c r="P1880">
        <v>28478</v>
      </c>
      <c r="Q1880">
        <f t="shared" si="32"/>
        <v>2.8478E-2</v>
      </c>
      <c r="R1880">
        <v>43252</v>
      </c>
      <c r="S1880" t="s">
        <v>122</v>
      </c>
    </row>
    <row r="1881" spans="1:19">
      <c r="A1881">
        <v>60000612</v>
      </c>
      <c r="B1881">
        <v>64</v>
      </c>
      <c r="C1881" t="s">
        <v>18</v>
      </c>
      <c r="D1881" t="s">
        <v>19</v>
      </c>
      <c r="E1881" t="s">
        <v>52</v>
      </c>
      <c r="F1881" t="s">
        <v>21</v>
      </c>
      <c r="G1881" s="23">
        <v>0.23</v>
      </c>
      <c r="H1881" t="s">
        <v>29</v>
      </c>
      <c r="I1881" t="s">
        <v>37</v>
      </c>
      <c r="J1881" t="s">
        <v>61</v>
      </c>
      <c r="K1881" t="s">
        <v>39</v>
      </c>
      <c r="L1881" t="s">
        <v>121</v>
      </c>
      <c r="M1881" t="s">
        <v>124</v>
      </c>
      <c r="N1881" t="s">
        <v>28</v>
      </c>
      <c r="O1881">
        <v>5</v>
      </c>
      <c r="P1881">
        <v>69741</v>
      </c>
      <c r="Q1881">
        <f t="shared" si="32"/>
        <v>6.9740999999999997E-2</v>
      </c>
      <c r="R1881">
        <v>43252</v>
      </c>
      <c r="S1881" t="s">
        <v>122</v>
      </c>
    </row>
    <row r="1882" spans="1:19">
      <c r="A1882">
        <v>60000613</v>
      </c>
      <c r="B1882">
        <v>43</v>
      </c>
      <c r="C1882" t="s">
        <v>33</v>
      </c>
      <c r="D1882" t="s">
        <v>19</v>
      </c>
      <c r="E1882" t="s">
        <v>20</v>
      </c>
      <c r="F1882" t="s">
        <v>21</v>
      </c>
      <c r="G1882" s="23">
        <v>0.33</v>
      </c>
      <c r="H1882" t="s">
        <v>42</v>
      </c>
      <c r="I1882" t="s">
        <v>76</v>
      </c>
      <c r="J1882" t="s">
        <v>66</v>
      </c>
      <c r="K1882" t="s">
        <v>60</v>
      </c>
      <c r="L1882" t="s">
        <v>119</v>
      </c>
      <c r="M1882" t="s">
        <v>124</v>
      </c>
      <c r="N1882" t="s">
        <v>28</v>
      </c>
      <c r="O1882">
        <v>0</v>
      </c>
      <c r="P1882">
        <v>58015</v>
      </c>
      <c r="Q1882">
        <f t="shared" si="32"/>
        <v>5.8014999999999997E-2</v>
      </c>
      <c r="R1882">
        <v>43252</v>
      </c>
      <c r="S1882" t="s">
        <v>122</v>
      </c>
    </row>
    <row r="1883" spans="1:19">
      <c r="A1883">
        <v>60000614</v>
      </c>
      <c r="B1883">
        <v>31</v>
      </c>
      <c r="C1883" t="s">
        <v>18</v>
      </c>
      <c r="D1883" t="s">
        <v>40</v>
      </c>
      <c r="E1883" t="s">
        <v>48</v>
      </c>
      <c r="F1883" t="s">
        <v>120</v>
      </c>
      <c r="G1883" s="23">
        <v>0.1</v>
      </c>
      <c r="H1883" t="s">
        <v>36</v>
      </c>
      <c r="I1883" t="s">
        <v>76</v>
      </c>
      <c r="J1883" t="s">
        <v>31</v>
      </c>
      <c r="K1883" t="s">
        <v>81</v>
      </c>
      <c r="L1883" t="s">
        <v>121</v>
      </c>
      <c r="M1883" t="s">
        <v>124</v>
      </c>
      <c r="N1883" t="s">
        <v>28</v>
      </c>
      <c r="O1883">
        <v>6</v>
      </c>
      <c r="P1883">
        <v>68263</v>
      </c>
      <c r="Q1883">
        <f t="shared" si="32"/>
        <v>6.8263000000000004E-2</v>
      </c>
      <c r="R1883">
        <v>43252</v>
      </c>
      <c r="S1883" t="s">
        <v>122</v>
      </c>
    </row>
    <row r="1884" spans="1:19">
      <c r="A1884">
        <v>60000615</v>
      </c>
      <c r="B1884">
        <v>34</v>
      </c>
      <c r="C1884" t="s">
        <v>33</v>
      </c>
      <c r="D1884" t="s">
        <v>40</v>
      </c>
      <c r="E1884" t="s">
        <v>56</v>
      </c>
      <c r="F1884" t="s">
        <v>120</v>
      </c>
      <c r="G1884" s="23">
        <v>0.23</v>
      </c>
      <c r="H1884" t="s">
        <v>29</v>
      </c>
      <c r="I1884" t="s">
        <v>62</v>
      </c>
      <c r="J1884" t="s">
        <v>38</v>
      </c>
      <c r="K1884" t="s">
        <v>82</v>
      </c>
      <c r="L1884" t="s">
        <v>119</v>
      </c>
      <c r="M1884" t="s">
        <v>124</v>
      </c>
      <c r="N1884" t="s">
        <v>51</v>
      </c>
      <c r="O1884">
        <v>0</v>
      </c>
      <c r="P1884">
        <v>34109</v>
      </c>
      <c r="Q1884">
        <f t="shared" si="32"/>
        <v>3.4109E-2</v>
      </c>
      <c r="R1884">
        <v>43252</v>
      </c>
      <c r="S1884" t="s">
        <v>122</v>
      </c>
    </row>
    <row r="1885" spans="1:19">
      <c r="A1885">
        <v>60000616</v>
      </c>
      <c r="B1885">
        <v>61</v>
      </c>
      <c r="C1885" t="s">
        <v>33</v>
      </c>
      <c r="D1885" t="s">
        <v>19</v>
      </c>
      <c r="E1885" t="s">
        <v>75</v>
      </c>
      <c r="F1885" t="s">
        <v>35</v>
      </c>
      <c r="G1885" s="23">
        <v>0.17</v>
      </c>
      <c r="H1885" t="s">
        <v>22</v>
      </c>
      <c r="I1885" t="s">
        <v>30</v>
      </c>
      <c r="J1885" t="s">
        <v>78</v>
      </c>
      <c r="K1885" t="s">
        <v>116</v>
      </c>
      <c r="L1885" t="s">
        <v>26</v>
      </c>
      <c r="M1885" t="s">
        <v>124</v>
      </c>
      <c r="N1885" t="s">
        <v>28</v>
      </c>
      <c r="O1885">
        <v>3</v>
      </c>
      <c r="P1885">
        <v>64964</v>
      </c>
      <c r="Q1885">
        <f t="shared" si="32"/>
        <v>6.4963999999999994E-2</v>
      </c>
      <c r="R1885">
        <v>43252</v>
      </c>
      <c r="S1885" t="s">
        <v>122</v>
      </c>
    </row>
    <row r="1886" spans="1:19">
      <c r="A1886">
        <v>60000617</v>
      </c>
      <c r="B1886">
        <v>47</v>
      </c>
      <c r="C1886" t="s">
        <v>18</v>
      </c>
      <c r="D1886" t="s">
        <v>40</v>
      </c>
      <c r="E1886" t="s">
        <v>75</v>
      </c>
      <c r="F1886" t="s">
        <v>21</v>
      </c>
      <c r="G1886" s="23">
        <v>0.22</v>
      </c>
      <c r="H1886" t="s">
        <v>29</v>
      </c>
      <c r="I1886" t="s">
        <v>80</v>
      </c>
      <c r="J1886" t="s">
        <v>31</v>
      </c>
      <c r="K1886" t="s">
        <v>108</v>
      </c>
      <c r="L1886" t="s">
        <v>121</v>
      </c>
      <c r="M1886" t="s">
        <v>124</v>
      </c>
      <c r="N1886" t="s">
        <v>51</v>
      </c>
      <c r="O1886">
        <v>5</v>
      </c>
      <c r="P1886">
        <v>30063</v>
      </c>
      <c r="Q1886">
        <f t="shared" si="32"/>
        <v>3.0062999999999999E-2</v>
      </c>
      <c r="R1886">
        <v>43252</v>
      </c>
      <c r="S1886" t="s">
        <v>122</v>
      </c>
    </row>
    <row r="1887" spans="1:19">
      <c r="A1887">
        <v>60000618</v>
      </c>
      <c r="B1887">
        <v>34</v>
      </c>
      <c r="C1887" t="s">
        <v>33</v>
      </c>
      <c r="D1887" t="s">
        <v>19</v>
      </c>
      <c r="E1887" t="s">
        <v>75</v>
      </c>
      <c r="F1887" t="s">
        <v>120</v>
      </c>
      <c r="G1887" s="23">
        <v>0.21</v>
      </c>
      <c r="H1887" t="s">
        <v>29</v>
      </c>
      <c r="I1887" t="s">
        <v>45</v>
      </c>
      <c r="J1887" t="s">
        <v>78</v>
      </c>
      <c r="K1887" t="s">
        <v>90</v>
      </c>
      <c r="L1887" t="s">
        <v>119</v>
      </c>
      <c r="M1887" t="s">
        <v>124</v>
      </c>
      <c r="N1887" t="s">
        <v>28</v>
      </c>
      <c r="O1887">
        <v>5</v>
      </c>
      <c r="P1887">
        <v>59660</v>
      </c>
      <c r="Q1887">
        <f t="shared" si="32"/>
        <v>5.9659999999999998E-2</v>
      </c>
      <c r="R1887">
        <v>43252</v>
      </c>
      <c r="S1887" t="s">
        <v>122</v>
      </c>
    </row>
    <row r="1888" spans="1:19">
      <c r="A1888">
        <v>60000619</v>
      </c>
      <c r="B1888">
        <v>49</v>
      </c>
      <c r="C1888" t="s">
        <v>33</v>
      </c>
      <c r="D1888" t="s">
        <v>40</v>
      </c>
      <c r="E1888" t="s">
        <v>48</v>
      </c>
      <c r="F1888" t="s">
        <v>120</v>
      </c>
      <c r="G1888" s="23">
        <v>0.2</v>
      </c>
      <c r="H1888" t="s">
        <v>29</v>
      </c>
      <c r="I1888" t="s">
        <v>70</v>
      </c>
      <c r="J1888" t="s">
        <v>61</v>
      </c>
      <c r="K1888" t="s">
        <v>104</v>
      </c>
      <c r="L1888" t="s">
        <v>26</v>
      </c>
      <c r="M1888" t="s">
        <v>124</v>
      </c>
      <c r="N1888" t="s">
        <v>28</v>
      </c>
      <c r="O1888">
        <v>0</v>
      </c>
      <c r="P1888">
        <v>31515</v>
      </c>
      <c r="Q1888">
        <f t="shared" si="32"/>
        <v>3.1515000000000001E-2</v>
      </c>
      <c r="R1888">
        <v>43252</v>
      </c>
      <c r="S1888" t="s">
        <v>122</v>
      </c>
    </row>
    <row r="1889" spans="1:19">
      <c r="A1889">
        <v>60000620</v>
      </c>
      <c r="B1889">
        <v>52</v>
      </c>
      <c r="C1889" t="s">
        <v>18</v>
      </c>
      <c r="D1889" t="s">
        <v>19</v>
      </c>
      <c r="E1889" t="s">
        <v>56</v>
      </c>
      <c r="F1889" t="s">
        <v>35</v>
      </c>
      <c r="G1889" s="23">
        <v>0.25</v>
      </c>
      <c r="H1889" t="s">
        <v>53</v>
      </c>
      <c r="I1889" t="s">
        <v>68</v>
      </c>
      <c r="J1889" t="s">
        <v>24</v>
      </c>
      <c r="K1889" t="s">
        <v>99</v>
      </c>
      <c r="L1889" t="s">
        <v>119</v>
      </c>
      <c r="M1889" t="s">
        <v>124</v>
      </c>
      <c r="N1889" t="s">
        <v>28</v>
      </c>
      <c r="O1889">
        <v>0</v>
      </c>
      <c r="P1889">
        <v>78579</v>
      </c>
      <c r="Q1889">
        <f t="shared" si="32"/>
        <v>7.8578999999999996E-2</v>
      </c>
      <c r="R1889">
        <v>43252</v>
      </c>
      <c r="S1889" t="s">
        <v>122</v>
      </c>
    </row>
    <row r="1890" spans="1:19">
      <c r="A1890">
        <v>60000621</v>
      </c>
      <c r="B1890">
        <v>36</v>
      </c>
      <c r="C1890" t="s">
        <v>33</v>
      </c>
      <c r="D1890" t="s">
        <v>19</v>
      </c>
      <c r="E1890" t="s">
        <v>72</v>
      </c>
      <c r="F1890" t="s">
        <v>120</v>
      </c>
      <c r="G1890" s="23">
        <v>0.1</v>
      </c>
      <c r="H1890" t="s">
        <v>36</v>
      </c>
      <c r="I1890" t="s">
        <v>49</v>
      </c>
      <c r="J1890" t="s">
        <v>58</v>
      </c>
      <c r="K1890" t="s">
        <v>32</v>
      </c>
      <c r="L1890" t="s">
        <v>119</v>
      </c>
      <c r="M1890" t="s">
        <v>124</v>
      </c>
      <c r="N1890" t="s">
        <v>28</v>
      </c>
      <c r="O1890">
        <v>0</v>
      </c>
      <c r="P1890">
        <v>29705</v>
      </c>
      <c r="Q1890">
        <f t="shared" si="32"/>
        <v>2.9704999999999999E-2</v>
      </c>
      <c r="R1890">
        <v>43252</v>
      </c>
      <c r="S1890" t="s">
        <v>122</v>
      </c>
    </row>
    <row r="1891" spans="1:19">
      <c r="A1891">
        <v>60000622</v>
      </c>
      <c r="B1891">
        <v>22</v>
      </c>
      <c r="C1891" t="s">
        <v>33</v>
      </c>
      <c r="D1891" t="s">
        <v>40</v>
      </c>
      <c r="E1891" t="s">
        <v>85</v>
      </c>
      <c r="F1891" t="s">
        <v>120</v>
      </c>
      <c r="G1891" s="23">
        <v>0.25</v>
      </c>
      <c r="H1891" t="s">
        <v>53</v>
      </c>
      <c r="I1891" t="s">
        <v>80</v>
      </c>
      <c r="J1891" t="s">
        <v>74</v>
      </c>
      <c r="K1891" t="s">
        <v>32</v>
      </c>
      <c r="L1891" t="s">
        <v>26</v>
      </c>
      <c r="M1891" t="s">
        <v>124</v>
      </c>
      <c r="N1891" t="s">
        <v>28</v>
      </c>
      <c r="O1891">
        <v>0</v>
      </c>
      <c r="P1891">
        <v>51214</v>
      </c>
      <c r="Q1891">
        <f t="shared" si="32"/>
        <v>5.1214000000000003E-2</v>
      </c>
      <c r="R1891">
        <v>43252</v>
      </c>
      <c r="S1891" t="s">
        <v>122</v>
      </c>
    </row>
    <row r="1892" spans="1:19">
      <c r="A1892">
        <v>60000623</v>
      </c>
      <c r="B1892">
        <v>28</v>
      </c>
      <c r="C1892" t="s">
        <v>18</v>
      </c>
      <c r="D1892" t="s">
        <v>40</v>
      </c>
      <c r="E1892" t="s">
        <v>20</v>
      </c>
      <c r="F1892" t="s">
        <v>120</v>
      </c>
      <c r="G1892" s="23">
        <v>0.25</v>
      </c>
      <c r="H1892" t="s">
        <v>53</v>
      </c>
      <c r="I1892" t="s">
        <v>45</v>
      </c>
      <c r="J1892" t="s">
        <v>38</v>
      </c>
      <c r="K1892" t="s">
        <v>89</v>
      </c>
      <c r="L1892" t="s">
        <v>121</v>
      </c>
      <c r="M1892" t="s">
        <v>124</v>
      </c>
      <c r="N1892" t="s">
        <v>28</v>
      </c>
      <c r="O1892">
        <v>0</v>
      </c>
      <c r="P1892">
        <v>57784</v>
      </c>
      <c r="Q1892">
        <f t="shared" si="32"/>
        <v>5.7784000000000002E-2</v>
      </c>
      <c r="R1892">
        <v>43252</v>
      </c>
      <c r="S1892" t="s">
        <v>122</v>
      </c>
    </row>
    <row r="1893" spans="1:19">
      <c r="A1893">
        <v>60000624</v>
      </c>
      <c r="B1893">
        <v>56</v>
      </c>
      <c r="C1893" t="s">
        <v>33</v>
      </c>
      <c r="D1893" t="s">
        <v>40</v>
      </c>
      <c r="E1893" t="s">
        <v>48</v>
      </c>
      <c r="F1893" t="s">
        <v>35</v>
      </c>
      <c r="G1893" s="23">
        <v>0.37</v>
      </c>
      <c r="H1893" t="s">
        <v>42</v>
      </c>
      <c r="I1893" t="s">
        <v>73</v>
      </c>
      <c r="J1893" t="s">
        <v>31</v>
      </c>
      <c r="K1893" t="s">
        <v>87</v>
      </c>
      <c r="L1893" t="s">
        <v>119</v>
      </c>
      <c r="M1893" t="s">
        <v>124</v>
      </c>
      <c r="N1893" t="s">
        <v>28</v>
      </c>
      <c r="O1893">
        <v>0</v>
      </c>
      <c r="P1893">
        <v>73339</v>
      </c>
      <c r="Q1893">
        <f t="shared" si="32"/>
        <v>7.3339000000000001E-2</v>
      </c>
      <c r="R1893">
        <v>43252</v>
      </c>
      <c r="S1893" t="s">
        <v>122</v>
      </c>
    </row>
    <row r="1894" spans="1:19">
      <c r="A1894">
        <v>60000625</v>
      </c>
      <c r="B1894">
        <v>32</v>
      </c>
      <c r="C1894" t="s">
        <v>18</v>
      </c>
      <c r="D1894" t="s">
        <v>19</v>
      </c>
      <c r="E1894" t="s">
        <v>52</v>
      </c>
      <c r="F1894" t="s">
        <v>21</v>
      </c>
      <c r="G1894" s="23">
        <v>0.34</v>
      </c>
      <c r="H1894" t="s">
        <v>42</v>
      </c>
      <c r="I1894" t="s">
        <v>68</v>
      </c>
      <c r="J1894" t="s">
        <v>54</v>
      </c>
      <c r="K1894" t="s">
        <v>60</v>
      </c>
      <c r="L1894" t="s">
        <v>119</v>
      </c>
      <c r="M1894" t="s">
        <v>124</v>
      </c>
      <c r="N1894" t="s">
        <v>51</v>
      </c>
      <c r="O1894">
        <v>4</v>
      </c>
      <c r="P1894">
        <v>41052</v>
      </c>
      <c r="Q1894">
        <f t="shared" si="32"/>
        <v>4.1051999999999998E-2</v>
      </c>
      <c r="R1894">
        <v>43252</v>
      </c>
      <c r="S1894" t="s">
        <v>122</v>
      </c>
    </row>
    <row r="1895" spans="1:19">
      <c r="A1895">
        <v>60000626</v>
      </c>
      <c r="B1895">
        <v>62</v>
      </c>
      <c r="C1895" t="s">
        <v>18</v>
      </c>
      <c r="D1895" t="s">
        <v>19</v>
      </c>
      <c r="E1895" t="s">
        <v>75</v>
      </c>
      <c r="F1895" t="s">
        <v>35</v>
      </c>
      <c r="G1895" s="23">
        <v>0.24</v>
      </c>
      <c r="H1895" t="s">
        <v>29</v>
      </c>
      <c r="I1895" t="s">
        <v>68</v>
      </c>
      <c r="J1895" t="s">
        <v>54</v>
      </c>
      <c r="K1895" t="s">
        <v>116</v>
      </c>
      <c r="L1895" t="s">
        <v>26</v>
      </c>
      <c r="M1895" t="s">
        <v>124</v>
      </c>
      <c r="N1895" t="s">
        <v>51</v>
      </c>
      <c r="O1895">
        <v>4</v>
      </c>
      <c r="P1895">
        <v>75161</v>
      </c>
      <c r="Q1895">
        <f t="shared" si="32"/>
        <v>7.5161000000000006E-2</v>
      </c>
      <c r="R1895">
        <v>43252</v>
      </c>
      <c r="S1895" t="s">
        <v>122</v>
      </c>
    </row>
    <row r="1896" spans="1:19">
      <c r="A1896">
        <v>60000627</v>
      </c>
      <c r="B1896">
        <v>52</v>
      </c>
      <c r="C1896" t="s">
        <v>33</v>
      </c>
      <c r="D1896" t="s">
        <v>19</v>
      </c>
      <c r="E1896" t="s">
        <v>72</v>
      </c>
      <c r="F1896" t="s">
        <v>21</v>
      </c>
      <c r="G1896" s="23">
        <v>0.19</v>
      </c>
      <c r="H1896" t="s">
        <v>29</v>
      </c>
      <c r="I1896" t="s">
        <v>68</v>
      </c>
      <c r="J1896" t="s">
        <v>54</v>
      </c>
      <c r="K1896" t="s">
        <v>47</v>
      </c>
      <c r="L1896" t="s">
        <v>26</v>
      </c>
      <c r="M1896" t="s">
        <v>124</v>
      </c>
      <c r="N1896" t="s">
        <v>51</v>
      </c>
      <c r="O1896">
        <v>7</v>
      </c>
      <c r="P1896">
        <v>69835</v>
      </c>
      <c r="Q1896">
        <f t="shared" si="32"/>
        <v>6.9834999999999994E-2</v>
      </c>
      <c r="R1896">
        <v>43252</v>
      </c>
      <c r="S1896" t="s">
        <v>122</v>
      </c>
    </row>
    <row r="1897" spans="1:19">
      <c r="A1897">
        <v>60000628</v>
      </c>
      <c r="B1897">
        <v>30</v>
      </c>
      <c r="C1897" t="s">
        <v>33</v>
      </c>
      <c r="D1897" t="s">
        <v>19</v>
      </c>
      <c r="E1897" t="s">
        <v>41</v>
      </c>
      <c r="F1897" t="s">
        <v>21</v>
      </c>
      <c r="G1897" s="23">
        <v>0.11</v>
      </c>
      <c r="H1897" t="s">
        <v>36</v>
      </c>
      <c r="I1897" t="s">
        <v>86</v>
      </c>
      <c r="J1897" t="s">
        <v>74</v>
      </c>
      <c r="K1897" t="s">
        <v>71</v>
      </c>
      <c r="L1897" t="s">
        <v>119</v>
      </c>
      <c r="M1897" t="s">
        <v>124</v>
      </c>
      <c r="N1897" t="s">
        <v>51</v>
      </c>
      <c r="O1897">
        <v>0</v>
      </c>
      <c r="P1897">
        <v>47676</v>
      </c>
      <c r="Q1897">
        <f t="shared" si="32"/>
        <v>4.7676000000000003E-2</v>
      </c>
      <c r="R1897">
        <v>43252</v>
      </c>
      <c r="S1897" t="s">
        <v>122</v>
      </c>
    </row>
    <row r="1898" spans="1:19">
      <c r="A1898">
        <v>60000629</v>
      </c>
      <c r="B1898">
        <v>58</v>
      </c>
      <c r="C1898" t="s">
        <v>18</v>
      </c>
      <c r="D1898" t="s">
        <v>19</v>
      </c>
      <c r="E1898" t="s">
        <v>72</v>
      </c>
      <c r="F1898" t="s">
        <v>35</v>
      </c>
      <c r="G1898" s="23">
        <v>0.24</v>
      </c>
      <c r="H1898" t="s">
        <v>29</v>
      </c>
      <c r="I1898" t="s">
        <v>83</v>
      </c>
      <c r="J1898" t="s">
        <v>54</v>
      </c>
      <c r="K1898" t="s">
        <v>102</v>
      </c>
      <c r="L1898" t="s">
        <v>26</v>
      </c>
      <c r="M1898" t="s">
        <v>124</v>
      </c>
      <c r="N1898" t="s">
        <v>28</v>
      </c>
      <c r="O1898">
        <v>0</v>
      </c>
      <c r="P1898">
        <v>74278</v>
      </c>
      <c r="Q1898">
        <f t="shared" si="32"/>
        <v>7.4277999999999997E-2</v>
      </c>
      <c r="R1898">
        <v>43252</v>
      </c>
      <c r="S1898" t="s">
        <v>122</v>
      </c>
    </row>
    <row r="1899" spans="1:19">
      <c r="A1899">
        <v>60000630</v>
      </c>
      <c r="B1899">
        <v>56</v>
      </c>
      <c r="C1899" t="s">
        <v>18</v>
      </c>
      <c r="D1899" t="s">
        <v>40</v>
      </c>
      <c r="E1899" t="s">
        <v>75</v>
      </c>
      <c r="F1899" t="s">
        <v>120</v>
      </c>
      <c r="G1899" s="23">
        <v>0.37</v>
      </c>
      <c r="H1899" t="s">
        <v>42</v>
      </c>
      <c r="I1899" t="s">
        <v>49</v>
      </c>
      <c r="J1899" t="s">
        <v>69</v>
      </c>
      <c r="K1899" t="s">
        <v>63</v>
      </c>
      <c r="L1899" t="s">
        <v>119</v>
      </c>
      <c r="M1899" t="s">
        <v>124</v>
      </c>
      <c r="N1899" t="s">
        <v>28</v>
      </c>
      <c r="O1899">
        <v>3</v>
      </c>
      <c r="P1899">
        <v>43875</v>
      </c>
      <c r="Q1899">
        <f t="shared" si="32"/>
        <v>4.3874999999999997E-2</v>
      </c>
      <c r="R1899">
        <v>43252</v>
      </c>
      <c r="S1899" t="s">
        <v>122</v>
      </c>
    </row>
    <row r="1900" spans="1:19">
      <c r="A1900">
        <v>60000631</v>
      </c>
      <c r="B1900">
        <v>27</v>
      </c>
      <c r="C1900" t="s">
        <v>18</v>
      </c>
      <c r="D1900" t="s">
        <v>40</v>
      </c>
      <c r="E1900" t="s">
        <v>64</v>
      </c>
      <c r="F1900" t="s">
        <v>21</v>
      </c>
      <c r="G1900" s="23">
        <v>0.37</v>
      </c>
      <c r="H1900" t="s">
        <v>42</v>
      </c>
      <c r="I1900" t="s">
        <v>49</v>
      </c>
      <c r="J1900" t="s">
        <v>78</v>
      </c>
      <c r="K1900" t="s">
        <v>83</v>
      </c>
      <c r="L1900" t="s">
        <v>119</v>
      </c>
      <c r="M1900" t="s">
        <v>124</v>
      </c>
      <c r="N1900" t="s">
        <v>28</v>
      </c>
      <c r="O1900">
        <v>6</v>
      </c>
      <c r="P1900">
        <v>43891</v>
      </c>
      <c r="Q1900">
        <f t="shared" si="32"/>
        <v>4.3890999999999999E-2</v>
      </c>
      <c r="R1900">
        <v>43252</v>
      </c>
      <c r="S1900" t="s">
        <v>122</v>
      </c>
    </row>
    <row r="1901" spans="1:19">
      <c r="A1901">
        <v>60000632</v>
      </c>
      <c r="B1901">
        <v>58</v>
      </c>
      <c r="C1901" t="s">
        <v>33</v>
      </c>
      <c r="D1901" t="s">
        <v>19</v>
      </c>
      <c r="E1901" t="s">
        <v>75</v>
      </c>
      <c r="F1901" t="s">
        <v>35</v>
      </c>
      <c r="G1901" s="23">
        <v>0.23</v>
      </c>
      <c r="H1901" t="s">
        <v>29</v>
      </c>
      <c r="I1901" t="s">
        <v>49</v>
      </c>
      <c r="J1901" t="s">
        <v>61</v>
      </c>
      <c r="K1901" t="s">
        <v>84</v>
      </c>
      <c r="L1901" t="s">
        <v>119</v>
      </c>
      <c r="M1901" t="s">
        <v>124</v>
      </c>
      <c r="N1901" t="s">
        <v>28</v>
      </c>
      <c r="O1901">
        <v>0</v>
      </c>
      <c r="P1901">
        <v>55861</v>
      </c>
      <c r="Q1901">
        <f t="shared" si="32"/>
        <v>5.5861000000000001E-2</v>
      </c>
      <c r="R1901">
        <v>43252</v>
      </c>
      <c r="S1901" t="s">
        <v>122</v>
      </c>
    </row>
    <row r="1902" spans="1:19">
      <c r="A1902">
        <v>60000633</v>
      </c>
      <c r="B1902">
        <v>25</v>
      </c>
      <c r="C1902" t="s">
        <v>33</v>
      </c>
      <c r="D1902" t="s">
        <v>19</v>
      </c>
      <c r="E1902" t="s">
        <v>64</v>
      </c>
      <c r="F1902" t="s">
        <v>35</v>
      </c>
      <c r="G1902" s="23">
        <v>0.36</v>
      </c>
      <c r="H1902" t="s">
        <v>42</v>
      </c>
      <c r="I1902" t="s">
        <v>57</v>
      </c>
      <c r="J1902" t="s">
        <v>54</v>
      </c>
      <c r="K1902" t="s">
        <v>98</v>
      </c>
      <c r="L1902" t="s">
        <v>26</v>
      </c>
      <c r="M1902" t="s">
        <v>124</v>
      </c>
      <c r="N1902" t="s">
        <v>51</v>
      </c>
      <c r="O1902">
        <v>3</v>
      </c>
      <c r="P1902">
        <v>74572</v>
      </c>
      <c r="Q1902">
        <f t="shared" si="32"/>
        <v>7.4571999999999999E-2</v>
      </c>
      <c r="R1902">
        <v>43252</v>
      </c>
      <c r="S1902" t="s">
        <v>122</v>
      </c>
    </row>
    <row r="1903" spans="1:19">
      <c r="A1903">
        <v>60000634</v>
      </c>
      <c r="B1903">
        <v>28</v>
      </c>
      <c r="C1903" t="s">
        <v>18</v>
      </c>
      <c r="D1903" t="s">
        <v>40</v>
      </c>
      <c r="E1903" t="s">
        <v>72</v>
      </c>
      <c r="F1903" t="s">
        <v>120</v>
      </c>
      <c r="G1903" s="23">
        <v>0.15</v>
      </c>
      <c r="H1903" t="s">
        <v>22</v>
      </c>
      <c r="I1903" t="s">
        <v>37</v>
      </c>
      <c r="J1903" t="s">
        <v>66</v>
      </c>
      <c r="K1903" t="s">
        <v>60</v>
      </c>
      <c r="L1903" t="s">
        <v>26</v>
      </c>
      <c r="M1903" t="s">
        <v>124</v>
      </c>
      <c r="N1903" t="s">
        <v>51</v>
      </c>
      <c r="O1903">
        <v>0</v>
      </c>
      <c r="P1903">
        <v>75919</v>
      </c>
      <c r="Q1903">
        <f t="shared" si="32"/>
        <v>7.5919E-2</v>
      </c>
      <c r="R1903">
        <v>43252</v>
      </c>
      <c r="S1903" t="s">
        <v>122</v>
      </c>
    </row>
    <row r="1904" spans="1:19">
      <c r="A1904">
        <v>60000001</v>
      </c>
      <c r="B1904">
        <v>24</v>
      </c>
      <c r="C1904" t="s">
        <v>18</v>
      </c>
      <c r="D1904" t="s">
        <v>19</v>
      </c>
      <c r="E1904" t="s">
        <v>41</v>
      </c>
      <c r="F1904" t="s">
        <v>21</v>
      </c>
      <c r="G1904" s="23">
        <v>0.2</v>
      </c>
      <c r="H1904" t="s">
        <v>29</v>
      </c>
      <c r="I1904" t="s">
        <v>62</v>
      </c>
      <c r="J1904" t="s">
        <v>24</v>
      </c>
      <c r="K1904" t="s">
        <v>82</v>
      </c>
      <c r="L1904" t="s">
        <v>26</v>
      </c>
      <c r="M1904" t="s">
        <v>125</v>
      </c>
      <c r="N1904" t="s">
        <v>28</v>
      </c>
      <c r="O1904">
        <v>0</v>
      </c>
      <c r="P1904">
        <v>32249</v>
      </c>
      <c r="Q1904">
        <f t="shared" ref="Q1904:Q1966" si="33">+P1904/1000000</f>
        <v>3.2249E-2</v>
      </c>
      <c r="R1904">
        <v>43252</v>
      </c>
      <c r="S1904" t="s">
        <v>122</v>
      </c>
    </row>
    <row r="1905" spans="1:19">
      <c r="A1905">
        <v>60000002</v>
      </c>
      <c r="B1905">
        <v>43</v>
      </c>
      <c r="C1905" t="s">
        <v>33</v>
      </c>
      <c r="D1905" t="s">
        <v>40</v>
      </c>
      <c r="E1905" t="s">
        <v>72</v>
      </c>
      <c r="F1905" t="s">
        <v>21</v>
      </c>
      <c r="G1905" s="23">
        <v>0.32</v>
      </c>
      <c r="H1905" t="s">
        <v>42</v>
      </c>
      <c r="I1905" t="s">
        <v>37</v>
      </c>
      <c r="J1905" t="s">
        <v>38</v>
      </c>
      <c r="K1905" t="s">
        <v>117</v>
      </c>
      <c r="L1905" t="s">
        <v>26</v>
      </c>
      <c r="M1905" t="s">
        <v>125</v>
      </c>
      <c r="N1905" t="s">
        <v>28</v>
      </c>
      <c r="O1905">
        <v>0</v>
      </c>
      <c r="P1905">
        <v>50190</v>
      </c>
      <c r="Q1905">
        <f t="shared" si="33"/>
        <v>5.0189999999999999E-2</v>
      </c>
      <c r="R1905">
        <v>43252</v>
      </c>
      <c r="S1905" t="s">
        <v>122</v>
      </c>
    </row>
    <row r="1906" spans="1:19">
      <c r="A1906">
        <v>60000003</v>
      </c>
      <c r="B1906">
        <v>38</v>
      </c>
      <c r="C1906" t="s">
        <v>18</v>
      </c>
      <c r="D1906" t="s">
        <v>19</v>
      </c>
      <c r="E1906" t="s">
        <v>75</v>
      </c>
      <c r="F1906" t="s">
        <v>21</v>
      </c>
      <c r="G1906" s="23">
        <v>0.2</v>
      </c>
      <c r="H1906" t="s">
        <v>29</v>
      </c>
      <c r="I1906" t="s">
        <v>37</v>
      </c>
      <c r="J1906" t="s">
        <v>78</v>
      </c>
      <c r="K1906" t="s">
        <v>63</v>
      </c>
      <c r="L1906" t="s">
        <v>26</v>
      </c>
      <c r="M1906" t="s">
        <v>125</v>
      </c>
      <c r="N1906" t="s">
        <v>51</v>
      </c>
      <c r="O1906">
        <v>3</v>
      </c>
      <c r="P1906">
        <v>53861</v>
      </c>
      <c r="Q1906">
        <f t="shared" si="33"/>
        <v>5.3860999999999999E-2</v>
      </c>
      <c r="R1906">
        <v>43252</v>
      </c>
      <c r="S1906" t="s">
        <v>122</v>
      </c>
    </row>
    <row r="1907" spans="1:19">
      <c r="A1907">
        <v>60000004</v>
      </c>
      <c r="B1907">
        <v>40</v>
      </c>
      <c r="C1907" t="s">
        <v>18</v>
      </c>
      <c r="D1907" t="s">
        <v>19</v>
      </c>
      <c r="E1907" t="s">
        <v>85</v>
      </c>
      <c r="F1907" t="s">
        <v>21</v>
      </c>
      <c r="G1907" s="23">
        <v>0.23</v>
      </c>
      <c r="H1907" t="s">
        <v>29</v>
      </c>
      <c r="I1907" t="s">
        <v>23</v>
      </c>
      <c r="J1907" t="s">
        <v>74</v>
      </c>
      <c r="K1907" t="s">
        <v>43</v>
      </c>
      <c r="L1907" t="s">
        <v>26</v>
      </c>
      <c r="M1907" t="s">
        <v>125</v>
      </c>
      <c r="N1907" t="s">
        <v>28</v>
      </c>
      <c r="O1907">
        <v>0</v>
      </c>
      <c r="P1907">
        <v>63985</v>
      </c>
      <c r="Q1907">
        <f t="shared" si="33"/>
        <v>6.3985E-2</v>
      </c>
      <c r="R1907">
        <v>43252</v>
      </c>
      <c r="S1907" t="s">
        <v>122</v>
      </c>
    </row>
    <row r="1908" spans="1:19">
      <c r="A1908">
        <v>60000005</v>
      </c>
      <c r="B1908">
        <v>61</v>
      </c>
      <c r="C1908" t="s">
        <v>18</v>
      </c>
      <c r="D1908" t="s">
        <v>40</v>
      </c>
      <c r="E1908" t="s">
        <v>72</v>
      </c>
      <c r="F1908" t="s">
        <v>21</v>
      </c>
      <c r="G1908" s="23">
        <v>0.36</v>
      </c>
      <c r="H1908" t="s">
        <v>42</v>
      </c>
      <c r="I1908" t="s">
        <v>70</v>
      </c>
      <c r="J1908" t="s">
        <v>46</v>
      </c>
      <c r="K1908" t="s">
        <v>89</v>
      </c>
      <c r="L1908" t="s">
        <v>26</v>
      </c>
      <c r="M1908" t="s">
        <v>125</v>
      </c>
      <c r="N1908" t="s">
        <v>51</v>
      </c>
      <c r="O1908">
        <v>2</v>
      </c>
      <c r="P1908">
        <v>71975</v>
      </c>
      <c r="Q1908">
        <f t="shared" si="33"/>
        <v>7.1974999999999997E-2</v>
      </c>
      <c r="R1908">
        <v>43252</v>
      </c>
      <c r="S1908" t="s">
        <v>122</v>
      </c>
    </row>
    <row r="1909" spans="1:19">
      <c r="A1909">
        <v>60000006</v>
      </c>
      <c r="B1909">
        <v>27</v>
      </c>
      <c r="C1909" t="s">
        <v>18</v>
      </c>
      <c r="D1909" t="s">
        <v>19</v>
      </c>
      <c r="E1909" t="s">
        <v>72</v>
      </c>
      <c r="F1909" t="s">
        <v>21</v>
      </c>
      <c r="G1909" s="23">
        <v>0.38</v>
      </c>
      <c r="H1909" t="s">
        <v>42</v>
      </c>
      <c r="I1909" t="s">
        <v>76</v>
      </c>
      <c r="J1909" t="s">
        <v>66</v>
      </c>
      <c r="K1909" t="s">
        <v>77</v>
      </c>
      <c r="L1909" t="s">
        <v>26</v>
      </c>
      <c r="M1909" t="s">
        <v>125</v>
      </c>
      <c r="N1909" t="s">
        <v>28</v>
      </c>
      <c r="O1909">
        <v>0</v>
      </c>
      <c r="P1909">
        <v>38682</v>
      </c>
      <c r="Q1909">
        <f t="shared" si="33"/>
        <v>3.8682000000000001E-2</v>
      </c>
      <c r="R1909">
        <v>43252</v>
      </c>
      <c r="S1909" t="s">
        <v>122</v>
      </c>
    </row>
    <row r="1910" spans="1:19">
      <c r="A1910">
        <v>60000007</v>
      </c>
      <c r="B1910">
        <v>27</v>
      </c>
      <c r="C1910" t="s">
        <v>18</v>
      </c>
      <c r="D1910" t="s">
        <v>40</v>
      </c>
      <c r="E1910" t="s">
        <v>67</v>
      </c>
      <c r="F1910" t="s">
        <v>21</v>
      </c>
      <c r="G1910" s="23">
        <v>0.13</v>
      </c>
      <c r="H1910" t="s">
        <v>22</v>
      </c>
      <c r="I1910" t="s">
        <v>68</v>
      </c>
      <c r="J1910" t="s">
        <v>46</v>
      </c>
      <c r="K1910" t="s">
        <v>25</v>
      </c>
      <c r="L1910" t="s">
        <v>26</v>
      </c>
      <c r="M1910" t="s">
        <v>125</v>
      </c>
      <c r="N1910" t="s">
        <v>28</v>
      </c>
      <c r="O1910">
        <v>0</v>
      </c>
      <c r="P1910">
        <v>69924</v>
      </c>
      <c r="Q1910">
        <f t="shared" si="33"/>
        <v>6.9924E-2</v>
      </c>
      <c r="R1910">
        <v>43252</v>
      </c>
      <c r="S1910" t="s">
        <v>122</v>
      </c>
    </row>
    <row r="1911" spans="1:19">
      <c r="A1911">
        <v>60000008</v>
      </c>
      <c r="B1911">
        <v>58</v>
      </c>
      <c r="C1911" t="s">
        <v>18</v>
      </c>
      <c r="D1911" t="s">
        <v>40</v>
      </c>
      <c r="E1911" t="s">
        <v>67</v>
      </c>
      <c r="F1911" t="s">
        <v>21</v>
      </c>
      <c r="G1911" s="23">
        <v>0.18</v>
      </c>
      <c r="H1911" t="s">
        <v>22</v>
      </c>
      <c r="I1911" t="s">
        <v>65</v>
      </c>
      <c r="J1911" t="s">
        <v>74</v>
      </c>
      <c r="K1911" t="s">
        <v>82</v>
      </c>
      <c r="L1911" t="s">
        <v>26</v>
      </c>
      <c r="M1911" t="s">
        <v>125</v>
      </c>
      <c r="N1911" t="s">
        <v>51</v>
      </c>
      <c r="O1911">
        <v>3</v>
      </c>
      <c r="P1911">
        <v>41810</v>
      </c>
      <c r="Q1911">
        <f t="shared" si="33"/>
        <v>4.181E-2</v>
      </c>
      <c r="R1911">
        <v>43252</v>
      </c>
      <c r="S1911" t="s">
        <v>122</v>
      </c>
    </row>
    <row r="1912" spans="1:19">
      <c r="A1912">
        <v>60000009</v>
      </c>
      <c r="B1912">
        <v>33</v>
      </c>
      <c r="C1912" t="s">
        <v>18</v>
      </c>
      <c r="D1912" t="s">
        <v>40</v>
      </c>
      <c r="E1912" t="s">
        <v>20</v>
      </c>
      <c r="F1912" t="s">
        <v>21</v>
      </c>
      <c r="G1912" s="23">
        <v>0.38</v>
      </c>
      <c r="H1912" t="s">
        <v>42</v>
      </c>
      <c r="I1912" t="s">
        <v>73</v>
      </c>
      <c r="J1912" t="s">
        <v>24</v>
      </c>
      <c r="K1912" t="s">
        <v>84</v>
      </c>
      <c r="L1912" t="s">
        <v>26</v>
      </c>
      <c r="M1912" t="s">
        <v>125</v>
      </c>
      <c r="N1912" t="s">
        <v>51</v>
      </c>
      <c r="O1912">
        <v>7</v>
      </c>
      <c r="P1912">
        <v>56001</v>
      </c>
      <c r="Q1912">
        <f t="shared" si="33"/>
        <v>5.6001000000000002E-2</v>
      </c>
      <c r="R1912">
        <v>43252</v>
      </c>
      <c r="S1912" t="s">
        <v>122</v>
      </c>
    </row>
    <row r="1913" spans="1:19">
      <c r="A1913">
        <v>60000010</v>
      </c>
      <c r="B1913">
        <v>34</v>
      </c>
      <c r="C1913" t="s">
        <v>18</v>
      </c>
      <c r="D1913" t="s">
        <v>40</v>
      </c>
      <c r="E1913" t="s">
        <v>67</v>
      </c>
      <c r="F1913" t="s">
        <v>21</v>
      </c>
      <c r="G1913" s="23">
        <v>0.21</v>
      </c>
      <c r="H1913" t="s">
        <v>29</v>
      </c>
      <c r="I1913" t="s">
        <v>68</v>
      </c>
      <c r="J1913" t="s">
        <v>31</v>
      </c>
      <c r="K1913" t="s">
        <v>55</v>
      </c>
      <c r="L1913" t="s">
        <v>26</v>
      </c>
      <c r="M1913" t="s">
        <v>125</v>
      </c>
      <c r="N1913" t="s">
        <v>28</v>
      </c>
      <c r="O1913">
        <v>0</v>
      </c>
      <c r="P1913">
        <v>41600</v>
      </c>
      <c r="Q1913">
        <f t="shared" si="33"/>
        <v>4.1599999999999998E-2</v>
      </c>
      <c r="R1913">
        <v>43252</v>
      </c>
      <c r="S1913" t="s">
        <v>122</v>
      </c>
    </row>
    <row r="1914" spans="1:19">
      <c r="A1914">
        <v>60000011</v>
      </c>
      <c r="B1914">
        <v>49</v>
      </c>
      <c r="C1914" t="s">
        <v>18</v>
      </c>
      <c r="D1914" t="s">
        <v>40</v>
      </c>
      <c r="E1914" t="s">
        <v>41</v>
      </c>
      <c r="F1914" t="s">
        <v>21</v>
      </c>
      <c r="G1914" s="23">
        <v>0.18</v>
      </c>
      <c r="H1914" t="s">
        <v>22</v>
      </c>
      <c r="I1914" t="s">
        <v>45</v>
      </c>
      <c r="J1914" t="s">
        <v>54</v>
      </c>
      <c r="K1914" t="s">
        <v>116</v>
      </c>
      <c r="L1914" t="s">
        <v>26</v>
      </c>
      <c r="M1914" t="s">
        <v>125</v>
      </c>
      <c r="N1914" t="s">
        <v>28</v>
      </c>
      <c r="O1914">
        <v>0</v>
      </c>
      <c r="P1914">
        <v>62931</v>
      </c>
      <c r="Q1914">
        <f t="shared" si="33"/>
        <v>6.2931000000000001E-2</v>
      </c>
      <c r="R1914">
        <v>43252</v>
      </c>
      <c r="S1914" t="s">
        <v>122</v>
      </c>
    </row>
    <row r="1915" spans="1:19">
      <c r="A1915">
        <v>60000012</v>
      </c>
      <c r="B1915">
        <v>31</v>
      </c>
      <c r="C1915" t="s">
        <v>18</v>
      </c>
      <c r="D1915" t="s">
        <v>19</v>
      </c>
      <c r="E1915" t="s">
        <v>52</v>
      </c>
      <c r="F1915" t="s">
        <v>21</v>
      </c>
      <c r="G1915" s="23">
        <v>0.16</v>
      </c>
      <c r="H1915" t="s">
        <v>22</v>
      </c>
      <c r="I1915" t="s">
        <v>68</v>
      </c>
      <c r="J1915" t="s">
        <v>88</v>
      </c>
      <c r="K1915" t="s">
        <v>62</v>
      </c>
      <c r="L1915" t="s">
        <v>26</v>
      </c>
      <c r="M1915" t="s">
        <v>125</v>
      </c>
      <c r="N1915" t="s">
        <v>28</v>
      </c>
      <c r="O1915">
        <v>0</v>
      </c>
      <c r="P1915">
        <v>67313</v>
      </c>
      <c r="Q1915">
        <f t="shared" si="33"/>
        <v>6.7312999999999998E-2</v>
      </c>
      <c r="R1915">
        <v>43252</v>
      </c>
      <c r="S1915" t="s">
        <v>122</v>
      </c>
    </row>
    <row r="1916" spans="1:19">
      <c r="A1916">
        <v>60000013</v>
      </c>
      <c r="B1916">
        <v>29</v>
      </c>
      <c r="C1916" t="s">
        <v>18</v>
      </c>
      <c r="D1916" t="s">
        <v>40</v>
      </c>
      <c r="E1916" t="s">
        <v>34</v>
      </c>
      <c r="F1916" t="s">
        <v>21</v>
      </c>
      <c r="G1916" s="23">
        <v>0.32</v>
      </c>
      <c r="H1916" t="s">
        <v>42</v>
      </c>
      <c r="I1916" t="s">
        <v>68</v>
      </c>
      <c r="J1916" t="s">
        <v>46</v>
      </c>
      <c r="K1916" t="s">
        <v>101</v>
      </c>
      <c r="L1916" t="s">
        <v>26</v>
      </c>
      <c r="M1916" t="s">
        <v>125</v>
      </c>
      <c r="N1916" t="s">
        <v>51</v>
      </c>
      <c r="O1916">
        <v>6</v>
      </c>
      <c r="P1916">
        <v>53872</v>
      </c>
      <c r="Q1916">
        <f t="shared" si="33"/>
        <v>5.3872000000000003E-2</v>
      </c>
      <c r="R1916">
        <v>43252</v>
      </c>
      <c r="S1916" t="s">
        <v>122</v>
      </c>
    </row>
    <row r="1917" spans="1:19">
      <c r="A1917">
        <v>60000014</v>
      </c>
      <c r="B1917">
        <v>21</v>
      </c>
      <c r="C1917" t="s">
        <v>18</v>
      </c>
      <c r="D1917" t="s">
        <v>40</v>
      </c>
      <c r="E1917" t="s">
        <v>85</v>
      </c>
      <c r="F1917" t="s">
        <v>21</v>
      </c>
      <c r="G1917" s="23">
        <v>0.18</v>
      </c>
      <c r="H1917" t="s">
        <v>22</v>
      </c>
      <c r="I1917" t="s">
        <v>73</v>
      </c>
      <c r="J1917" t="s">
        <v>38</v>
      </c>
      <c r="K1917" t="s">
        <v>82</v>
      </c>
      <c r="L1917" t="s">
        <v>26</v>
      </c>
      <c r="M1917" t="s">
        <v>125</v>
      </c>
      <c r="N1917" t="s">
        <v>28</v>
      </c>
      <c r="O1917">
        <v>0</v>
      </c>
      <c r="P1917">
        <v>79273</v>
      </c>
      <c r="Q1917">
        <f t="shared" si="33"/>
        <v>7.9272999999999996E-2</v>
      </c>
      <c r="R1917">
        <v>43252</v>
      </c>
      <c r="S1917" t="s">
        <v>122</v>
      </c>
    </row>
    <row r="1918" spans="1:19">
      <c r="A1918">
        <v>60000015</v>
      </c>
      <c r="B1918">
        <v>35</v>
      </c>
      <c r="C1918" t="s">
        <v>33</v>
      </c>
      <c r="D1918" t="s">
        <v>19</v>
      </c>
      <c r="E1918" t="s">
        <v>52</v>
      </c>
      <c r="F1918" t="s">
        <v>21</v>
      </c>
      <c r="G1918" s="23">
        <v>0.34</v>
      </c>
      <c r="H1918" t="s">
        <v>42</v>
      </c>
      <c r="I1918" t="s">
        <v>23</v>
      </c>
      <c r="J1918" t="s">
        <v>54</v>
      </c>
      <c r="K1918" t="s">
        <v>50</v>
      </c>
      <c r="L1918" t="s">
        <v>26</v>
      </c>
      <c r="M1918" t="s">
        <v>125</v>
      </c>
      <c r="N1918" t="s">
        <v>51</v>
      </c>
      <c r="O1918">
        <v>1</v>
      </c>
      <c r="P1918">
        <v>38824</v>
      </c>
      <c r="Q1918">
        <f t="shared" si="33"/>
        <v>3.8823999999999997E-2</v>
      </c>
      <c r="R1918">
        <v>43252</v>
      </c>
      <c r="S1918" t="s">
        <v>122</v>
      </c>
    </row>
    <row r="1919" spans="1:19">
      <c r="A1919">
        <v>60000016</v>
      </c>
      <c r="B1919">
        <v>42</v>
      </c>
      <c r="C1919" t="s">
        <v>18</v>
      </c>
      <c r="D1919" t="s">
        <v>40</v>
      </c>
      <c r="E1919" t="s">
        <v>75</v>
      </c>
      <c r="F1919" t="s">
        <v>21</v>
      </c>
      <c r="G1919" s="23">
        <v>0.31</v>
      </c>
      <c r="H1919" t="s">
        <v>53</v>
      </c>
      <c r="I1919" t="s">
        <v>76</v>
      </c>
      <c r="J1919" t="s">
        <v>38</v>
      </c>
      <c r="K1919" t="s">
        <v>84</v>
      </c>
      <c r="L1919" t="s">
        <v>26</v>
      </c>
      <c r="M1919" t="s">
        <v>125</v>
      </c>
      <c r="N1919" t="s">
        <v>28</v>
      </c>
      <c r="O1919">
        <v>0</v>
      </c>
      <c r="P1919">
        <v>69303</v>
      </c>
      <c r="Q1919">
        <f t="shared" si="33"/>
        <v>6.9303000000000003E-2</v>
      </c>
      <c r="R1919">
        <v>43252</v>
      </c>
      <c r="S1919" t="s">
        <v>122</v>
      </c>
    </row>
    <row r="1920" spans="1:19">
      <c r="A1920">
        <v>60000017</v>
      </c>
      <c r="B1920">
        <v>64</v>
      </c>
      <c r="C1920" t="s">
        <v>33</v>
      </c>
      <c r="D1920" t="s">
        <v>19</v>
      </c>
      <c r="E1920" t="s">
        <v>67</v>
      </c>
      <c r="F1920" t="s">
        <v>21</v>
      </c>
      <c r="G1920" s="23">
        <v>0.36</v>
      </c>
      <c r="H1920" t="s">
        <v>42</v>
      </c>
      <c r="I1920" t="s">
        <v>23</v>
      </c>
      <c r="J1920" t="s">
        <v>24</v>
      </c>
      <c r="K1920" t="s">
        <v>43</v>
      </c>
      <c r="L1920" t="s">
        <v>26</v>
      </c>
      <c r="M1920" t="s">
        <v>125</v>
      </c>
      <c r="N1920" t="s">
        <v>28</v>
      </c>
      <c r="O1920">
        <v>0</v>
      </c>
      <c r="P1920">
        <v>43397</v>
      </c>
      <c r="Q1920">
        <f t="shared" si="33"/>
        <v>4.3396999999999998E-2</v>
      </c>
      <c r="R1920">
        <v>43252</v>
      </c>
      <c r="S1920" t="s">
        <v>122</v>
      </c>
    </row>
    <row r="1921" spans="1:19">
      <c r="A1921">
        <v>60000018</v>
      </c>
      <c r="B1921">
        <v>22</v>
      </c>
      <c r="C1921" t="s">
        <v>18</v>
      </c>
      <c r="D1921" t="s">
        <v>19</v>
      </c>
      <c r="E1921" t="s">
        <v>41</v>
      </c>
      <c r="F1921" t="s">
        <v>21</v>
      </c>
      <c r="G1921" s="23">
        <v>0.12</v>
      </c>
      <c r="H1921" t="s">
        <v>22</v>
      </c>
      <c r="I1921" t="s">
        <v>45</v>
      </c>
      <c r="J1921" t="s">
        <v>54</v>
      </c>
      <c r="K1921" t="s">
        <v>102</v>
      </c>
      <c r="L1921" t="s">
        <v>26</v>
      </c>
      <c r="M1921" t="s">
        <v>125</v>
      </c>
      <c r="N1921" t="s">
        <v>28</v>
      </c>
      <c r="O1921">
        <v>0</v>
      </c>
      <c r="P1921">
        <v>46382</v>
      </c>
      <c r="Q1921">
        <f t="shared" si="33"/>
        <v>4.6382E-2</v>
      </c>
      <c r="R1921">
        <v>43252</v>
      </c>
      <c r="S1921" t="s">
        <v>122</v>
      </c>
    </row>
    <row r="1922" spans="1:19">
      <c r="A1922">
        <v>60000019</v>
      </c>
      <c r="B1922">
        <v>34</v>
      </c>
      <c r="C1922" t="s">
        <v>33</v>
      </c>
      <c r="D1922" t="s">
        <v>19</v>
      </c>
      <c r="E1922" t="s">
        <v>75</v>
      </c>
      <c r="F1922" t="s">
        <v>21</v>
      </c>
      <c r="G1922" s="23">
        <v>0.32</v>
      </c>
      <c r="H1922" t="s">
        <v>42</v>
      </c>
      <c r="I1922" t="s">
        <v>23</v>
      </c>
      <c r="J1922" t="s">
        <v>69</v>
      </c>
      <c r="K1922" t="s">
        <v>112</v>
      </c>
      <c r="L1922" t="s">
        <v>26</v>
      </c>
      <c r="M1922" t="s">
        <v>125</v>
      </c>
      <c r="N1922" t="s">
        <v>28</v>
      </c>
      <c r="O1922">
        <v>0</v>
      </c>
      <c r="P1922">
        <v>53991</v>
      </c>
      <c r="Q1922">
        <f t="shared" si="33"/>
        <v>5.3990999999999997E-2</v>
      </c>
      <c r="R1922">
        <v>43252</v>
      </c>
      <c r="S1922" t="s">
        <v>122</v>
      </c>
    </row>
    <row r="1923" spans="1:19">
      <c r="A1923">
        <v>60000020</v>
      </c>
      <c r="B1923">
        <v>59</v>
      </c>
      <c r="C1923" t="s">
        <v>18</v>
      </c>
      <c r="D1923" t="s">
        <v>40</v>
      </c>
      <c r="E1923" t="s">
        <v>64</v>
      </c>
      <c r="F1923" t="s">
        <v>21</v>
      </c>
      <c r="G1923" s="23">
        <v>0.27</v>
      </c>
      <c r="H1923" t="s">
        <v>53</v>
      </c>
      <c r="I1923" t="s">
        <v>45</v>
      </c>
      <c r="J1923" t="s">
        <v>54</v>
      </c>
      <c r="K1923" t="s">
        <v>47</v>
      </c>
      <c r="L1923" t="s">
        <v>26</v>
      </c>
      <c r="M1923" t="s">
        <v>125</v>
      </c>
      <c r="N1923" t="s">
        <v>51</v>
      </c>
      <c r="O1923">
        <v>6</v>
      </c>
      <c r="P1923">
        <v>63210</v>
      </c>
      <c r="Q1923">
        <f t="shared" si="33"/>
        <v>6.3210000000000002E-2</v>
      </c>
      <c r="R1923">
        <v>43252</v>
      </c>
      <c r="S1923" t="s">
        <v>122</v>
      </c>
    </row>
    <row r="1924" spans="1:19">
      <c r="A1924">
        <v>60000021</v>
      </c>
      <c r="B1924">
        <v>55</v>
      </c>
      <c r="C1924" t="s">
        <v>18</v>
      </c>
      <c r="D1924" t="s">
        <v>40</v>
      </c>
      <c r="E1924" t="s">
        <v>41</v>
      </c>
      <c r="F1924" t="s">
        <v>21</v>
      </c>
      <c r="G1924" s="23">
        <v>0.27</v>
      </c>
      <c r="H1924" t="s">
        <v>53</v>
      </c>
      <c r="I1924" t="s">
        <v>86</v>
      </c>
      <c r="J1924" t="s">
        <v>54</v>
      </c>
      <c r="K1924" t="s">
        <v>25</v>
      </c>
      <c r="L1924" t="s">
        <v>26</v>
      </c>
      <c r="M1924" t="s">
        <v>125</v>
      </c>
      <c r="N1924" t="s">
        <v>51</v>
      </c>
      <c r="O1924">
        <v>4</v>
      </c>
      <c r="P1924">
        <v>72718</v>
      </c>
      <c r="Q1924">
        <f t="shared" si="33"/>
        <v>7.2718000000000005E-2</v>
      </c>
      <c r="R1924">
        <v>43252</v>
      </c>
      <c r="S1924" t="s">
        <v>122</v>
      </c>
    </row>
    <row r="1925" spans="1:19">
      <c r="A1925">
        <v>60000022</v>
      </c>
      <c r="B1925">
        <v>50</v>
      </c>
      <c r="C1925" t="s">
        <v>18</v>
      </c>
      <c r="D1925" t="s">
        <v>40</v>
      </c>
      <c r="E1925" t="s">
        <v>67</v>
      </c>
      <c r="F1925" t="s">
        <v>21</v>
      </c>
      <c r="G1925" s="23">
        <v>0.38</v>
      </c>
      <c r="H1925" t="s">
        <v>42</v>
      </c>
      <c r="I1925" t="s">
        <v>65</v>
      </c>
      <c r="J1925" t="s">
        <v>61</v>
      </c>
      <c r="K1925" t="s">
        <v>102</v>
      </c>
      <c r="L1925" t="s">
        <v>26</v>
      </c>
      <c r="M1925" t="s">
        <v>125</v>
      </c>
      <c r="N1925" t="s">
        <v>51</v>
      </c>
      <c r="O1925">
        <v>3</v>
      </c>
      <c r="P1925">
        <v>74859</v>
      </c>
      <c r="Q1925">
        <f t="shared" si="33"/>
        <v>7.4858999999999995E-2</v>
      </c>
      <c r="R1925">
        <v>43252</v>
      </c>
      <c r="S1925" t="s">
        <v>122</v>
      </c>
    </row>
    <row r="1926" spans="1:19">
      <c r="A1926">
        <v>60000023</v>
      </c>
      <c r="B1926">
        <v>55</v>
      </c>
      <c r="C1926" t="s">
        <v>18</v>
      </c>
      <c r="D1926" t="s">
        <v>19</v>
      </c>
      <c r="E1926" t="s">
        <v>52</v>
      </c>
      <c r="F1926" t="s">
        <v>21</v>
      </c>
      <c r="G1926" s="23">
        <v>0.32</v>
      </c>
      <c r="H1926" t="s">
        <v>42</v>
      </c>
      <c r="I1926" t="s">
        <v>68</v>
      </c>
      <c r="J1926" t="s">
        <v>88</v>
      </c>
      <c r="K1926" t="s">
        <v>103</v>
      </c>
      <c r="L1926" t="s">
        <v>26</v>
      </c>
      <c r="M1926" t="s">
        <v>125</v>
      </c>
      <c r="N1926" t="s">
        <v>28</v>
      </c>
      <c r="O1926">
        <v>0</v>
      </c>
      <c r="P1926">
        <v>76036</v>
      </c>
      <c r="Q1926">
        <f t="shared" si="33"/>
        <v>7.6036000000000006E-2</v>
      </c>
      <c r="R1926">
        <v>43252</v>
      </c>
      <c r="S1926" t="s">
        <v>122</v>
      </c>
    </row>
    <row r="1927" spans="1:19">
      <c r="A1927">
        <v>60000024</v>
      </c>
      <c r="B1927">
        <v>47</v>
      </c>
      <c r="C1927" t="s">
        <v>33</v>
      </c>
      <c r="D1927" t="s">
        <v>40</v>
      </c>
      <c r="E1927" t="s">
        <v>72</v>
      </c>
      <c r="F1927" t="s">
        <v>21</v>
      </c>
      <c r="G1927" s="23">
        <v>0.17</v>
      </c>
      <c r="H1927" t="s">
        <v>22</v>
      </c>
      <c r="I1927" t="s">
        <v>73</v>
      </c>
      <c r="J1927" t="s">
        <v>31</v>
      </c>
      <c r="K1927" t="s">
        <v>118</v>
      </c>
      <c r="L1927" t="s">
        <v>26</v>
      </c>
      <c r="M1927" t="s">
        <v>125</v>
      </c>
      <c r="N1927" t="s">
        <v>28</v>
      </c>
      <c r="O1927">
        <v>0</v>
      </c>
      <c r="P1927">
        <v>54782</v>
      </c>
      <c r="Q1927">
        <f t="shared" si="33"/>
        <v>5.4781999999999997E-2</v>
      </c>
      <c r="R1927">
        <v>43252</v>
      </c>
      <c r="S1927" t="s">
        <v>122</v>
      </c>
    </row>
    <row r="1928" spans="1:19">
      <c r="A1928">
        <v>60000025</v>
      </c>
      <c r="B1928">
        <v>24</v>
      </c>
      <c r="C1928" t="s">
        <v>18</v>
      </c>
      <c r="D1928" t="s">
        <v>40</v>
      </c>
      <c r="E1928" t="s">
        <v>41</v>
      </c>
      <c r="F1928" t="s">
        <v>21</v>
      </c>
      <c r="G1928" s="23">
        <v>0.25</v>
      </c>
      <c r="H1928" t="s">
        <v>53</v>
      </c>
      <c r="I1928" t="s">
        <v>37</v>
      </c>
      <c r="J1928" t="s">
        <v>69</v>
      </c>
      <c r="K1928" t="s">
        <v>55</v>
      </c>
      <c r="L1928" t="s">
        <v>26</v>
      </c>
      <c r="M1928" t="s">
        <v>125</v>
      </c>
      <c r="N1928" t="s">
        <v>28</v>
      </c>
      <c r="O1928">
        <v>0</v>
      </c>
      <c r="P1928">
        <v>76364</v>
      </c>
      <c r="Q1928">
        <f t="shared" si="33"/>
        <v>7.6364000000000001E-2</v>
      </c>
      <c r="R1928">
        <v>43252</v>
      </c>
      <c r="S1928" t="s">
        <v>122</v>
      </c>
    </row>
    <row r="1929" spans="1:19">
      <c r="A1929">
        <v>60000026</v>
      </c>
      <c r="B1929">
        <v>47</v>
      </c>
      <c r="C1929" t="s">
        <v>18</v>
      </c>
      <c r="D1929" t="s">
        <v>19</v>
      </c>
      <c r="E1929" t="s">
        <v>72</v>
      </c>
      <c r="F1929" t="s">
        <v>21</v>
      </c>
      <c r="G1929" s="23">
        <v>0.24</v>
      </c>
      <c r="H1929" t="s">
        <v>29</v>
      </c>
      <c r="I1929" t="s">
        <v>65</v>
      </c>
      <c r="J1929" t="s">
        <v>66</v>
      </c>
      <c r="K1929" t="s">
        <v>77</v>
      </c>
      <c r="L1929" t="s">
        <v>26</v>
      </c>
      <c r="M1929" t="s">
        <v>125</v>
      </c>
      <c r="N1929" t="s">
        <v>51</v>
      </c>
      <c r="O1929">
        <v>1</v>
      </c>
      <c r="P1929">
        <v>78267</v>
      </c>
      <c r="Q1929">
        <f t="shared" si="33"/>
        <v>7.8267000000000003E-2</v>
      </c>
      <c r="R1929">
        <v>43252</v>
      </c>
      <c r="S1929" t="s">
        <v>122</v>
      </c>
    </row>
    <row r="1930" spans="1:19">
      <c r="A1930">
        <v>60000027</v>
      </c>
      <c r="B1930">
        <v>47</v>
      </c>
      <c r="C1930" t="s">
        <v>33</v>
      </c>
      <c r="D1930" t="s">
        <v>40</v>
      </c>
      <c r="E1930" t="s">
        <v>67</v>
      </c>
      <c r="F1930" t="s">
        <v>21</v>
      </c>
      <c r="G1930" s="23">
        <v>0.28999999999999998</v>
      </c>
      <c r="H1930" t="s">
        <v>53</v>
      </c>
      <c r="I1930" t="s">
        <v>65</v>
      </c>
      <c r="J1930" t="s">
        <v>69</v>
      </c>
      <c r="K1930" t="s">
        <v>111</v>
      </c>
      <c r="L1930" t="s">
        <v>26</v>
      </c>
      <c r="M1930" t="s">
        <v>125</v>
      </c>
      <c r="N1930" t="s">
        <v>51</v>
      </c>
      <c r="O1930">
        <v>7</v>
      </c>
      <c r="P1930">
        <v>48724</v>
      </c>
      <c r="Q1930">
        <f t="shared" si="33"/>
        <v>4.8724000000000003E-2</v>
      </c>
      <c r="R1930">
        <v>43252</v>
      </c>
      <c r="S1930" t="s">
        <v>122</v>
      </c>
    </row>
    <row r="1931" spans="1:19">
      <c r="A1931">
        <v>60000028</v>
      </c>
      <c r="B1931">
        <v>57</v>
      </c>
      <c r="C1931" t="s">
        <v>33</v>
      </c>
      <c r="D1931" t="s">
        <v>40</v>
      </c>
      <c r="E1931" t="s">
        <v>34</v>
      </c>
      <c r="F1931" t="s">
        <v>21</v>
      </c>
      <c r="G1931" s="23">
        <v>0.1</v>
      </c>
      <c r="H1931" t="s">
        <v>36</v>
      </c>
      <c r="I1931" t="s">
        <v>86</v>
      </c>
      <c r="J1931" t="s">
        <v>91</v>
      </c>
      <c r="K1931" t="s">
        <v>49</v>
      </c>
      <c r="L1931" t="s">
        <v>26</v>
      </c>
      <c r="M1931" t="s">
        <v>125</v>
      </c>
      <c r="N1931" t="s">
        <v>51</v>
      </c>
      <c r="O1931">
        <v>6</v>
      </c>
      <c r="P1931">
        <v>80630</v>
      </c>
      <c r="Q1931">
        <f t="shared" si="33"/>
        <v>8.0629999999999993E-2</v>
      </c>
      <c r="R1931">
        <v>43252</v>
      </c>
      <c r="S1931" t="s">
        <v>122</v>
      </c>
    </row>
    <row r="1932" spans="1:19">
      <c r="A1932">
        <v>60000029</v>
      </c>
      <c r="B1932">
        <v>28</v>
      </c>
      <c r="C1932" t="s">
        <v>18</v>
      </c>
      <c r="D1932" t="s">
        <v>19</v>
      </c>
      <c r="E1932" t="s">
        <v>52</v>
      </c>
      <c r="F1932" t="s">
        <v>21</v>
      </c>
      <c r="G1932" s="23">
        <v>0.37</v>
      </c>
      <c r="H1932" t="s">
        <v>42</v>
      </c>
      <c r="I1932" t="s">
        <v>68</v>
      </c>
      <c r="J1932" t="s">
        <v>91</v>
      </c>
      <c r="K1932" t="s">
        <v>103</v>
      </c>
      <c r="L1932" t="s">
        <v>26</v>
      </c>
      <c r="M1932" t="s">
        <v>125</v>
      </c>
      <c r="N1932" t="s">
        <v>51</v>
      </c>
      <c r="O1932">
        <v>4</v>
      </c>
      <c r="P1932">
        <v>57422</v>
      </c>
      <c r="Q1932">
        <f t="shared" si="33"/>
        <v>5.7422000000000001E-2</v>
      </c>
      <c r="R1932">
        <v>43252</v>
      </c>
      <c r="S1932" t="s">
        <v>122</v>
      </c>
    </row>
    <row r="1933" spans="1:19">
      <c r="A1933">
        <v>60000030</v>
      </c>
      <c r="B1933">
        <v>55</v>
      </c>
      <c r="C1933" t="s">
        <v>18</v>
      </c>
      <c r="D1933" t="s">
        <v>40</v>
      </c>
      <c r="E1933" t="s">
        <v>85</v>
      </c>
      <c r="F1933" t="s">
        <v>21</v>
      </c>
      <c r="G1933" s="23">
        <v>0.18</v>
      </c>
      <c r="H1933" t="s">
        <v>22</v>
      </c>
      <c r="I1933" t="s">
        <v>23</v>
      </c>
      <c r="J1933" t="s">
        <v>24</v>
      </c>
      <c r="K1933" t="s">
        <v>55</v>
      </c>
      <c r="L1933" t="s">
        <v>26</v>
      </c>
      <c r="M1933" t="s">
        <v>125</v>
      </c>
      <c r="N1933" t="s">
        <v>51</v>
      </c>
      <c r="O1933">
        <v>5</v>
      </c>
      <c r="P1933">
        <v>82448</v>
      </c>
      <c r="Q1933">
        <f t="shared" si="33"/>
        <v>8.2447999999999994E-2</v>
      </c>
      <c r="R1933">
        <v>43252</v>
      </c>
      <c r="S1933" t="s">
        <v>122</v>
      </c>
    </row>
    <row r="1934" spans="1:19">
      <c r="A1934">
        <v>60000031</v>
      </c>
      <c r="B1934">
        <v>26</v>
      </c>
      <c r="C1934" t="s">
        <v>18</v>
      </c>
      <c r="D1934" t="s">
        <v>19</v>
      </c>
      <c r="E1934" t="s">
        <v>75</v>
      </c>
      <c r="F1934" t="s">
        <v>21</v>
      </c>
      <c r="G1934" s="23">
        <v>0.34</v>
      </c>
      <c r="H1934" t="s">
        <v>42</v>
      </c>
      <c r="I1934" t="s">
        <v>80</v>
      </c>
      <c r="J1934" t="s">
        <v>38</v>
      </c>
      <c r="K1934" t="s">
        <v>96</v>
      </c>
      <c r="L1934" t="s">
        <v>26</v>
      </c>
      <c r="M1934" t="s">
        <v>125</v>
      </c>
      <c r="N1934" t="s">
        <v>28</v>
      </c>
      <c r="O1934">
        <v>0</v>
      </c>
      <c r="P1934">
        <v>48511</v>
      </c>
      <c r="Q1934">
        <f t="shared" si="33"/>
        <v>4.8510999999999999E-2</v>
      </c>
      <c r="R1934">
        <v>43252</v>
      </c>
      <c r="S1934" t="s">
        <v>122</v>
      </c>
    </row>
    <row r="1935" spans="1:19">
      <c r="A1935">
        <v>60000032</v>
      </c>
      <c r="B1935">
        <v>47</v>
      </c>
      <c r="C1935" t="s">
        <v>33</v>
      </c>
      <c r="D1935" t="s">
        <v>19</v>
      </c>
      <c r="E1935" t="s">
        <v>34</v>
      </c>
      <c r="F1935" t="s">
        <v>21</v>
      </c>
      <c r="G1935" s="23">
        <v>0.22</v>
      </c>
      <c r="H1935" t="s">
        <v>29</v>
      </c>
      <c r="I1935" t="s">
        <v>23</v>
      </c>
      <c r="J1935" t="s">
        <v>69</v>
      </c>
      <c r="K1935" t="s">
        <v>98</v>
      </c>
      <c r="L1935" t="s">
        <v>26</v>
      </c>
      <c r="M1935" t="s">
        <v>125</v>
      </c>
      <c r="N1935" t="s">
        <v>28</v>
      </c>
      <c r="O1935">
        <v>0</v>
      </c>
      <c r="P1935">
        <v>60906</v>
      </c>
      <c r="Q1935">
        <f t="shared" si="33"/>
        <v>6.0906000000000002E-2</v>
      </c>
      <c r="R1935">
        <v>43252</v>
      </c>
      <c r="S1935" t="s">
        <v>122</v>
      </c>
    </row>
    <row r="1936" spans="1:19">
      <c r="A1936">
        <v>60000033</v>
      </c>
      <c r="B1936">
        <v>48</v>
      </c>
      <c r="C1936" t="s">
        <v>33</v>
      </c>
      <c r="D1936" t="s">
        <v>19</v>
      </c>
      <c r="E1936" t="s">
        <v>20</v>
      </c>
      <c r="F1936" t="s">
        <v>21</v>
      </c>
      <c r="G1936" s="23">
        <v>0.31</v>
      </c>
      <c r="H1936" t="s">
        <v>53</v>
      </c>
      <c r="I1936" t="s">
        <v>45</v>
      </c>
      <c r="J1936" t="s">
        <v>88</v>
      </c>
      <c r="K1936" t="s">
        <v>111</v>
      </c>
      <c r="L1936" t="s">
        <v>26</v>
      </c>
      <c r="M1936" t="s">
        <v>125</v>
      </c>
      <c r="N1936" t="s">
        <v>51</v>
      </c>
      <c r="O1936">
        <v>0</v>
      </c>
      <c r="P1936">
        <v>60696</v>
      </c>
      <c r="Q1936">
        <f t="shared" si="33"/>
        <v>6.0696E-2</v>
      </c>
      <c r="R1936">
        <v>43252</v>
      </c>
      <c r="S1936" t="s">
        <v>122</v>
      </c>
    </row>
    <row r="1937" spans="1:19">
      <c r="A1937">
        <v>60000034</v>
      </c>
      <c r="B1937">
        <v>39</v>
      </c>
      <c r="C1937" t="s">
        <v>33</v>
      </c>
      <c r="D1937" t="s">
        <v>40</v>
      </c>
      <c r="E1937" t="s">
        <v>41</v>
      </c>
      <c r="F1937" t="s">
        <v>21</v>
      </c>
      <c r="G1937" s="23">
        <v>0.2</v>
      </c>
      <c r="H1937" t="s">
        <v>29</v>
      </c>
      <c r="I1937" t="s">
        <v>68</v>
      </c>
      <c r="J1937" t="s">
        <v>38</v>
      </c>
      <c r="K1937" t="s">
        <v>96</v>
      </c>
      <c r="L1937" t="s">
        <v>26</v>
      </c>
      <c r="M1937" t="s">
        <v>125</v>
      </c>
      <c r="N1937" t="s">
        <v>28</v>
      </c>
      <c r="O1937">
        <v>0</v>
      </c>
      <c r="P1937">
        <v>68931</v>
      </c>
      <c r="Q1937">
        <f t="shared" si="33"/>
        <v>6.8931000000000006E-2</v>
      </c>
      <c r="R1937">
        <v>43252</v>
      </c>
      <c r="S1937" t="s">
        <v>122</v>
      </c>
    </row>
    <row r="1938" spans="1:19">
      <c r="A1938">
        <v>60000035</v>
      </c>
      <c r="B1938">
        <v>27</v>
      </c>
      <c r="C1938" t="s">
        <v>33</v>
      </c>
      <c r="D1938" t="s">
        <v>19</v>
      </c>
      <c r="E1938" t="s">
        <v>41</v>
      </c>
      <c r="F1938" t="s">
        <v>21</v>
      </c>
      <c r="G1938" s="23">
        <v>0.25</v>
      </c>
      <c r="H1938" t="s">
        <v>53</v>
      </c>
      <c r="I1938" t="s">
        <v>68</v>
      </c>
      <c r="J1938" t="s">
        <v>91</v>
      </c>
      <c r="K1938" t="s">
        <v>114</v>
      </c>
      <c r="L1938" t="s">
        <v>26</v>
      </c>
      <c r="M1938" t="s">
        <v>125</v>
      </c>
      <c r="N1938" t="s">
        <v>28</v>
      </c>
      <c r="O1938">
        <v>0</v>
      </c>
      <c r="P1938">
        <v>72486</v>
      </c>
      <c r="Q1938">
        <f t="shared" si="33"/>
        <v>7.2485999999999995E-2</v>
      </c>
      <c r="R1938">
        <v>43252</v>
      </c>
      <c r="S1938" t="s">
        <v>122</v>
      </c>
    </row>
    <row r="1939" spans="1:19">
      <c r="A1939">
        <v>60000036</v>
      </c>
      <c r="B1939">
        <v>50</v>
      </c>
      <c r="C1939" t="s">
        <v>18</v>
      </c>
      <c r="D1939" t="s">
        <v>40</v>
      </c>
      <c r="E1939" t="s">
        <v>20</v>
      </c>
      <c r="F1939" t="s">
        <v>21</v>
      </c>
      <c r="G1939" s="23">
        <v>0.34</v>
      </c>
      <c r="H1939" t="s">
        <v>42</v>
      </c>
      <c r="I1939" t="s">
        <v>62</v>
      </c>
      <c r="J1939" t="s">
        <v>58</v>
      </c>
      <c r="K1939" t="s">
        <v>49</v>
      </c>
      <c r="L1939" t="s">
        <v>26</v>
      </c>
      <c r="M1939" t="s">
        <v>125</v>
      </c>
      <c r="N1939" t="s">
        <v>51</v>
      </c>
      <c r="O1939">
        <v>0</v>
      </c>
      <c r="P1939">
        <v>25064</v>
      </c>
      <c r="Q1939">
        <f t="shared" si="33"/>
        <v>2.5063999999999999E-2</v>
      </c>
      <c r="R1939">
        <v>43252</v>
      </c>
      <c r="S1939" t="s">
        <v>122</v>
      </c>
    </row>
    <row r="1940" spans="1:19">
      <c r="A1940">
        <v>60000037</v>
      </c>
      <c r="B1940">
        <v>43</v>
      </c>
      <c r="C1940" t="s">
        <v>18</v>
      </c>
      <c r="D1940" t="s">
        <v>40</v>
      </c>
      <c r="E1940" t="s">
        <v>75</v>
      </c>
      <c r="F1940" t="s">
        <v>21</v>
      </c>
      <c r="G1940" s="23">
        <v>0.27</v>
      </c>
      <c r="H1940" t="s">
        <v>53</v>
      </c>
      <c r="I1940" t="s">
        <v>83</v>
      </c>
      <c r="J1940" t="s">
        <v>24</v>
      </c>
      <c r="K1940" t="s">
        <v>110</v>
      </c>
      <c r="L1940" t="s">
        <v>26</v>
      </c>
      <c r="M1940" t="s">
        <v>125</v>
      </c>
      <c r="N1940" t="s">
        <v>28</v>
      </c>
      <c r="O1940">
        <v>0</v>
      </c>
      <c r="P1940">
        <v>66485</v>
      </c>
      <c r="Q1940">
        <f t="shared" si="33"/>
        <v>6.6485000000000002E-2</v>
      </c>
      <c r="R1940">
        <v>43252</v>
      </c>
      <c r="S1940" t="s">
        <v>122</v>
      </c>
    </row>
    <row r="1941" spans="1:19">
      <c r="A1941">
        <v>60000038</v>
      </c>
      <c r="B1941">
        <v>26</v>
      </c>
      <c r="C1941" t="s">
        <v>33</v>
      </c>
      <c r="D1941" t="s">
        <v>40</v>
      </c>
      <c r="E1941" t="s">
        <v>67</v>
      </c>
      <c r="F1941" t="s">
        <v>21</v>
      </c>
      <c r="G1941" s="23">
        <v>0.17</v>
      </c>
      <c r="H1941" t="s">
        <v>22</v>
      </c>
      <c r="I1941" t="s">
        <v>73</v>
      </c>
      <c r="J1941" t="s">
        <v>69</v>
      </c>
      <c r="K1941" t="s">
        <v>81</v>
      </c>
      <c r="L1941" t="s">
        <v>26</v>
      </c>
      <c r="M1941" t="s">
        <v>125</v>
      </c>
      <c r="N1941" t="s">
        <v>28</v>
      </c>
      <c r="O1941">
        <v>0</v>
      </c>
      <c r="P1941">
        <v>32920</v>
      </c>
      <c r="Q1941">
        <f t="shared" si="33"/>
        <v>3.2919999999999998E-2</v>
      </c>
      <c r="R1941">
        <v>43252</v>
      </c>
      <c r="S1941" t="s">
        <v>122</v>
      </c>
    </row>
    <row r="1942" spans="1:19">
      <c r="A1942">
        <v>60000039</v>
      </c>
      <c r="B1942">
        <v>23</v>
      </c>
      <c r="C1942" t="s">
        <v>18</v>
      </c>
      <c r="D1942" t="s">
        <v>19</v>
      </c>
      <c r="E1942" t="s">
        <v>56</v>
      </c>
      <c r="F1942" t="s">
        <v>21</v>
      </c>
      <c r="G1942" s="23">
        <v>0.1</v>
      </c>
      <c r="H1942" t="s">
        <v>36</v>
      </c>
      <c r="I1942" t="s">
        <v>76</v>
      </c>
      <c r="J1942" t="s">
        <v>88</v>
      </c>
      <c r="K1942" t="s">
        <v>77</v>
      </c>
      <c r="L1942" t="s">
        <v>26</v>
      </c>
      <c r="M1942" t="s">
        <v>125</v>
      </c>
      <c r="N1942" t="s">
        <v>28</v>
      </c>
      <c r="O1942">
        <v>0</v>
      </c>
      <c r="P1942">
        <v>60181</v>
      </c>
      <c r="Q1942">
        <f t="shared" si="33"/>
        <v>6.0180999999999998E-2</v>
      </c>
      <c r="R1942">
        <v>43252</v>
      </c>
      <c r="S1942" t="s">
        <v>122</v>
      </c>
    </row>
    <row r="1943" spans="1:19">
      <c r="A1943">
        <v>60000040</v>
      </c>
      <c r="B1943">
        <v>47</v>
      </c>
      <c r="C1943" t="s">
        <v>33</v>
      </c>
      <c r="D1943" t="s">
        <v>19</v>
      </c>
      <c r="E1943" t="s">
        <v>64</v>
      </c>
      <c r="F1943" t="s">
        <v>21</v>
      </c>
      <c r="G1943" s="23">
        <v>0.28000000000000003</v>
      </c>
      <c r="H1943" t="s">
        <v>53</v>
      </c>
      <c r="I1943" t="s">
        <v>45</v>
      </c>
      <c r="J1943" t="s">
        <v>58</v>
      </c>
      <c r="K1943" t="s">
        <v>49</v>
      </c>
      <c r="L1943" t="s">
        <v>26</v>
      </c>
      <c r="M1943" t="s">
        <v>125</v>
      </c>
      <c r="N1943" t="s">
        <v>51</v>
      </c>
      <c r="O1943">
        <v>7</v>
      </c>
      <c r="P1943">
        <v>64200</v>
      </c>
      <c r="Q1943">
        <f t="shared" si="33"/>
        <v>6.4199999999999993E-2</v>
      </c>
      <c r="R1943">
        <v>43252</v>
      </c>
      <c r="S1943" t="s">
        <v>122</v>
      </c>
    </row>
    <row r="1944" spans="1:19">
      <c r="A1944">
        <v>60000041</v>
      </c>
      <c r="B1944">
        <v>54</v>
      </c>
      <c r="C1944" t="s">
        <v>33</v>
      </c>
      <c r="D1944" t="s">
        <v>19</v>
      </c>
      <c r="E1944" t="s">
        <v>44</v>
      </c>
      <c r="F1944" t="s">
        <v>21</v>
      </c>
      <c r="G1944" s="23">
        <v>0.32</v>
      </c>
      <c r="H1944" t="s">
        <v>42</v>
      </c>
      <c r="I1944" t="s">
        <v>37</v>
      </c>
      <c r="J1944" t="s">
        <v>74</v>
      </c>
      <c r="K1944" t="s">
        <v>81</v>
      </c>
      <c r="L1944" t="s">
        <v>26</v>
      </c>
      <c r="M1944" t="s">
        <v>125</v>
      </c>
      <c r="N1944" t="s">
        <v>28</v>
      </c>
      <c r="O1944">
        <v>0</v>
      </c>
      <c r="P1944">
        <v>27376</v>
      </c>
      <c r="Q1944">
        <f t="shared" si="33"/>
        <v>2.7376000000000001E-2</v>
      </c>
      <c r="R1944">
        <v>43252</v>
      </c>
      <c r="S1944" t="s">
        <v>122</v>
      </c>
    </row>
    <row r="1945" spans="1:19">
      <c r="A1945">
        <v>60000042</v>
      </c>
      <c r="B1945">
        <v>47</v>
      </c>
      <c r="C1945" t="s">
        <v>18</v>
      </c>
      <c r="D1945" t="s">
        <v>40</v>
      </c>
      <c r="E1945" t="s">
        <v>44</v>
      </c>
      <c r="F1945" t="s">
        <v>21</v>
      </c>
      <c r="G1945" s="23">
        <v>0.36</v>
      </c>
      <c r="H1945" t="s">
        <v>42</v>
      </c>
      <c r="I1945" t="s">
        <v>68</v>
      </c>
      <c r="J1945" t="s">
        <v>38</v>
      </c>
      <c r="K1945" t="s">
        <v>111</v>
      </c>
      <c r="L1945" t="s">
        <v>26</v>
      </c>
      <c r="M1945" t="s">
        <v>125</v>
      </c>
      <c r="N1945" t="s">
        <v>51</v>
      </c>
      <c r="O1945">
        <v>6</v>
      </c>
      <c r="P1945">
        <v>73100</v>
      </c>
      <c r="Q1945">
        <f t="shared" si="33"/>
        <v>7.3099999999999998E-2</v>
      </c>
      <c r="R1945">
        <v>43252</v>
      </c>
      <c r="S1945" t="s">
        <v>122</v>
      </c>
    </row>
    <row r="1946" spans="1:19">
      <c r="A1946">
        <v>60000043</v>
      </c>
      <c r="B1946">
        <v>37</v>
      </c>
      <c r="C1946" t="s">
        <v>33</v>
      </c>
      <c r="D1946" t="s">
        <v>40</v>
      </c>
      <c r="E1946" t="s">
        <v>20</v>
      </c>
      <c r="F1946" t="s">
        <v>21</v>
      </c>
      <c r="G1946" s="23">
        <v>0.33</v>
      </c>
      <c r="H1946" t="s">
        <v>42</v>
      </c>
      <c r="I1946" t="s">
        <v>23</v>
      </c>
      <c r="J1946" t="s">
        <v>88</v>
      </c>
      <c r="K1946" t="s">
        <v>110</v>
      </c>
      <c r="L1946" t="s">
        <v>26</v>
      </c>
      <c r="M1946" t="s">
        <v>125</v>
      </c>
      <c r="N1946" t="s">
        <v>28</v>
      </c>
      <c r="O1946">
        <v>0</v>
      </c>
      <c r="P1946">
        <v>51512</v>
      </c>
      <c r="Q1946">
        <f t="shared" si="33"/>
        <v>5.1512000000000002E-2</v>
      </c>
      <c r="R1946">
        <v>43252</v>
      </c>
      <c r="S1946" t="s">
        <v>122</v>
      </c>
    </row>
    <row r="1947" spans="1:19">
      <c r="A1947">
        <v>60000044</v>
      </c>
      <c r="B1947">
        <v>65</v>
      </c>
      <c r="C1947" t="s">
        <v>33</v>
      </c>
      <c r="D1947" t="s">
        <v>40</v>
      </c>
      <c r="E1947" t="s">
        <v>34</v>
      </c>
      <c r="F1947" t="s">
        <v>21</v>
      </c>
      <c r="G1947" s="23">
        <v>0.24</v>
      </c>
      <c r="H1947" t="s">
        <v>29</v>
      </c>
      <c r="I1947" t="s">
        <v>49</v>
      </c>
      <c r="J1947" t="s">
        <v>46</v>
      </c>
      <c r="K1947" t="s">
        <v>43</v>
      </c>
      <c r="L1947" t="s">
        <v>26</v>
      </c>
      <c r="M1947" t="s">
        <v>125</v>
      </c>
      <c r="N1947" t="s">
        <v>51</v>
      </c>
      <c r="O1947">
        <v>4</v>
      </c>
      <c r="P1947">
        <v>32853</v>
      </c>
      <c r="Q1947">
        <f t="shared" si="33"/>
        <v>3.2853E-2</v>
      </c>
      <c r="R1947">
        <v>43252</v>
      </c>
      <c r="S1947" t="s">
        <v>122</v>
      </c>
    </row>
    <row r="1948" spans="1:19">
      <c r="A1948">
        <v>60000045</v>
      </c>
      <c r="B1948">
        <v>42</v>
      </c>
      <c r="C1948" t="s">
        <v>33</v>
      </c>
      <c r="D1948" t="s">
        <v>19</v>
      </c>
      <c r="E1948" t="s">
        <v>85</v>
      </c>
      <c r="F1948" t="s">
        <v>21</v>
      </c>
      <c r="G1948" s="23">
        <v>0.34</v>
      </c>
      <c r="H1948" t="s">
        <v>42</v>
      </c>
      <c r="I1948" t="s">
        <v>80</v>
      </c>
      <c r="J1948" t="s">
        <v>58</v>
      </c>
      <c r="K1948" t="s">
        <v>102</v>
      </c>
      <c r="L1948" t="s">
        <v>26</v>
      </c>
      <c r="M1948" t="s">
        <v>125</v>
      </c>
      <c r="N1948" t="s">
        <v>28</v>
      </c>
      <c r="O1948">
        <v>0</v>
      </c>
      <c r="P1948">
        <v>33519</v>
      </c>
      <c r="Q1948">
        <f t="shared" si="33"/>
        <v>3.3519E-2</v>
      </c>
      <c r="R1948">
        <v>43252</v>
      </c>
      <c r="S1948" t="s">
        <v>122</v>
      </c>
    </row>
    <row r="1949" spans="1:19">
      <c r="A1949">
        <v>60000046</v>
      </c>
      <c r="B1949">
        <v>29</v>
      </c>
      <c r="C1949" t="s">
        <v>33</v>
      </c>
      <c r="D1949" t="s">
        <v>40</v>
      </c>
      <c r="E1949" t="s">
        <v>67</v>
      </c>
      <c r="F1949" t="s">
        <v>21</v>
      </c>
      <c r="G1949" s="23">
        <v>0.23</v>
      </c>
      <c r="H1949" t="s">
        <v>29</v>
      </c>
      <c r="I1949" t="s">
        <v>86</v>
      </c>
      <c r="J1949" t="s">
        <v>38</v>
      </c>
      <c r="K1949" t="s">
        <v>25</v>
      </c>
      <c r="L1949" t="s">
        <v>26</v>
      </c>
      <c r="M1949" t="s">
        <v>125</v>
      </c>
      <c r="N1949" t="s">
        <v>28</v>
      </c>
      <c r="O1949">
        <v>0</v>
      </c>
      <c r="P1949">
        <v>47392</v>
      </c>
      <c r="Q1949">
        <f t="shared" si="33"/>
        <v>4.7391999999999997E-2</v>
      </c>
      <c r="R1949">
        <v>43252</v>
      </c>
      <c r="S1949" t="s">
        <v>122</v>
      </c>
    </row>
    <row r="1950" spans="1:19">
      <c r="A1950">
        <v>60000047</v>
      </c>
      <c r="B1950">
        <v>21</v>
      </c>
      <c r="C1950" t="s">
        <v>18</v>
      </c>
      <c r="D1950" t="s">
        <v>19</v>
      </c>
      <c r="E1950" t="s">
        <v>20</v>
      </c>
      <c r="F1950" t="s">
        <v>21</v>
      </c>
      <c r="G1950" s="23">
        <v>0.16</v>
      </c>
      <c r="H1950" t="s">
        <v>22</v>
      </c>
      <c r="I1950" t="s">
        <v>62</v>
      </c>
      <c r="J1950" t="s">
        <v>46</v>
      </c>
      <c r="K1950" t="s">
        <v>93</v>
      </c>
      <c r="L1950" t="s">
        <v>26</v>
      </c>
      <c r="M1950" t="s">
        <v>125</v>
      </c>
      <c r="N1950" t="s">
        <v>51</v>
      </c>
      <c r="O1950">
        <v>7</v>
      </c>
      <c r="P1950">
        <v>81471</v>
      </c>
      <c r="Q1950">
        <f t="shared" si="33"/>
        <v>8.1471000000000002E-2</v>
      </c>
      <c r="R1950">
        <v>43252</v>
      </c>
      <c r="S1950" t="s">
        <v>122</v>
      </c>
    </row>
    <row r="1951" spans="1:19">
      <c r="A1951">
        <v>60000048</v>
      </c>
      <c r="B1951">
        <v>65</v>
      </c>
      <c r="C1951" t="s">
        <v>18</v>
      </c>
      <c r="D1951" t="s">
        <v>19</v>
      </c>
      <c r="E1951" t="s">
        <v>85</v>
      </c>
      <c r="F1951" t="s">
        <v>21</v>
      </c>
      <c r="G1951" s="23">
        <v>0.36</v>
      </c>
      <c r="H1951" t="s">
        <v>42</v>
      </c>
      <c r="I1951" t="s">
        <v>65</v>
      </c>
      <c r="J1951" t="s">
        <v>24</v>
      </c>
      <c r="K1951" t="s">
        <v>102</v>
      </c>
      <c r="L1951" t="s">
        <v>26</v>
      </c>
      <c r="M1951" t="s">
        <v>125</v>
      </c>
      <c r="N1951" t="s">
        <v>51</v>
      </c>
      <c r="O1951">
        <v>4</v>
      </c>
      <c r="P1951">
        <v>46613</v>
      </c>
      <c r="Q1951">
        <f t="shared" si="33"/>
        <v>4.6613000000000002E-2</v>
      </c>
      <c r="R1951">
        <v>43252</v>
      </c>
      <c r="S1951" t="s">
        <v>122</v>
      </c>
    </row>
    <row r="1952" spans="1:19">
      <c r="A1952">
        <v>60000049</v>
      </c>
      <c r="B1952">
        <v>47</v>
      </c>
      <c r="C1952" t="s">
        <v>33</v>
      </c>
      <c r="D1952" t="s">
        <v>40</v>
      </c>
      <c r="E1952" t="s">
        <v>52</v>
      </c>
      <c r="F1952" t="s">
        <v>21</v>
      </c>
      <c r="G1952" s="23">
        <v>0.12</v>
      </c>
      <c r="H1952" t="s">
        <v>22</v>
      </c>
      <c r="I1952" t="s">
        <v>68</v>
      </c>
      <c r="J1952" t="s">
        <v>74</v>
      </c>
      <c r="K1952" t="s">
        <v>87</v>
      </c>
      <c r="L1952" t="s">
        <v>26</v>
      </c>
      <c r="M1952" t="s">
        <v>125</v>
      </c>
      <c r="N1952" t="s">
        <v>51</v>
      </c>
      <c r="O1952">
        <v>0</v>
      </c>
      <c r="P1952">
        <v>75842</v>
      </c>
      <c r="Q1952">
        <f t="shared" si="33"/>
        <v>7.5842000000000007E-2</v>
      </c>
      <c r="R1952">
        <v>43252</v>
      </c>
      <c r="S1952" t="s">
        <v>122</v>
      </c>
    </row>
    <row r="1953" spans="1:19">
      <c r="A1953">
        <v>60000050</v>
      </c>
      <c r="B1953">
        <v>47</v>
      </c>
      <c r="C1953" t="s">
        <v>18</v>
      </c>
      <c r="D1953" t="s">
        <v>40</v>
      </c>
      <c r="E1953" t="s">
        <v>52</v>
      </c>
      <c r="F1953" t="s">
        <v>21</v>
      </c>
      <c r="G1953" s="23">
        <v>0.18</v>
      </c>
      <c r="H1953" t="s">
        <v>22</v>
      </c>
      <c r="I1953" t="s">
        <v>65</v>
      </c>
      <c r="J1953" t="s">
        <v>31</v>
      </c>
      <c r="K1953" t="s">
        <v>94</v>
      </c>
      <c r="L1953" t="s">
        <v>26</v>
      </c>
      <c r="M1953" t="s">
        <v>125</v>
      </c>
      <c r="N1953" t="s">
        <v>28</v>
      </c>
      <c r="O1953">
        <v>0</v>
      </c>
      <c r="P1953">
        <v>77615</v>
      </c>
      <c r="Q1953">
        <f t="shared" si="33"/>
        <v>7.7615000000000003E-2</v>
      </c>
      <c r="R1953">
        <v>43252</v>
      </c>
      <c r="S1953" t="s">
        <v>122</v>
      </c>
    </row>
    <row r="1954" spans="1:19">
      <c r="A1954">
        <v>60000051</v>
      </c>
      <c r="B1954">
        <v>48</v>
      </c>
      <c r="C1954" t="s">
        <v>33</v>
      </c>
      <c r="D1954" t="s">
        <v>19</v>
      </c>
      <c r="E1954" t="s">
        <v>67</v>
      </c>
      <c r="F1954" t="s">
        <v>21</v>
      </c>
      <c r="G1954" s="23">
        <v>0.31</v>
      </c>
      <c r="H1954" t="s">
        <v>53</v>
      </c>
      <c r="I1954" t="s">
        <v>45</v>
      </c>
      <c r="J1954" t="s">
        <v>78</v>
      </c>
      <c r="K1954" t="s">
        <v>62</v>
      </c>
      <c r="L1954" t="s">
        <v>26</v>
      </c>
      <c r="M1954" t="s">
        <v>125</v>
      </c>
      <c r="N1954" t="s">
        <v>28</v>
      </c>
      <c r="O1954">
        <v>0</v>
      </c>
      <c r="P1954">
        <v>46121</v>
      </c>
      <c r="Q1954">
        <f t="shared" si="33"/>
        <v>4.6121000000000002E-2</v>
      </c>
      <c r="R1954">
        <v>43252</v>
      </c>
      <c r="S1954" t="s">
        <v>122</v>
      </c>
    </row>
    <row r="1955" spans="1:19">
      <c r="A1955">
        <v>60000052</v>
      </c>
      <c r="B1955">
        <v>24</v>
      </c>
      <c r="C1955" t="s">
        <v>18</v>
      </c>
      <c r="D1955" t="s">
        <v>19</v>
      </c>
      <c r="E1955" t="s">
        <v>75</v>
      </c>
      <c r="F1955" t="s">
        <v>21</v>
      </c>
      <c r="G1955" s="23">
        <v>0.25</v>
      </c>
      <c r="H1955" t="s">
        <v>53</v>
      </c>
      <c r="I1955" t="s">
        <v>45</v>
      </c>
      <c r="J1955" t="s">
        <v>91</v>
      </c>
      <c r="K1955" t="s">
        <v>109</v>
      </c>
      <c r="L1955" t="s">
        <v>26</v>
      </c>
      <c r="M1955" t="s">
        <v>125</v>
      </c>
      <c r="N1955" t="s">
        <v>51</v>
      </c>
      <c r="O1955">
        <v>6</v>
      </c>
      <c r="P1955">
        <v>39270</v>
      </c>
      <c r="Q1955">
        <f t="shared" si="33"/>
        <v>3.9269999999999999E-2</v>
      </c>
      <c r="R1955">
        <v>43252</v>
      </c>
      <c r="S1955" t="s">
        <v>122</v>
      </c>
    </row>
    <row r="1956" spans="1:19">
      <c r="A1956">
        <v>60000053</v>
      </c>
      <c r="B1956">
        <v>61</v>
      </c>
      <c r="C1956" t="s">
        <v>18</v>
      </c>
      <c r="D1956" t="s">
        <v>19</v>
      </c>
      <c r="E1956" t="s">
        <v>56</v>
      </c>
      <c r="F1956" t="s">
        <v>21</v>
      </c>
      <c r="G1956" s="23">
        <v>0.1</v>
      </c>
      <c r="H1956" t="s">
        <v>36</v>
      </c>
      <c r="I1956" t="s">
        <v>65</v>
      </c>
      <c r="J1956" t="s">
        <v>61</v>
      </c>
      <c r="K1956" t="s">
        <v>39</v>
      </c>
      <c r="L1956" t="s">
        <v>26</v>
      </c>
      <c r="M1956" t="s">
        <v>125</v>
      </c>
      <c r="N1956" t="s">
        <v>51</v>
      </c>
      <c r="O1956">
        <v>5</v>
      </c>
      <c r="P1956">
        <v>77754</v>
      </c>
      <c r="Q1956">
        <f t="shared" si="33"/>
        <v>7.7754000000000004E-2</v>
      </c>
      <c r="R1956">
        <v>43252</v>
      </c>
      <c r="S1956" t="s">
        <v>122</v>
      </c>
    </row>
    <row r="1957" spans="1:19">
      <c r="A1957">
        <v>60000054</v>
      </c>
      <c r="B1957">
        <v>45</v>
      </c>
      <c r="C1957" t="s">
        <v>18</v>
      </c>
      <c r="D1957" t="s">
        <v>19</v>
      </c>
      <c r="E1957" t="s">
        <v>44</v>
      </c>
      <c r="F1957" t="s">
        <v>21</v>
      </c>
      <c r="G1957" s="23">
        <v>0.15</v>
      </c>
      <c r="H1957" t="s">
        <v>22</v>
      </c>
      <c r="I1957" t="s">
        <v>45</v>
      </c>
      <c r="J1957" t="s">
        <v>66</v>
      </c>
      <c r="K1957" t="s">
        <v>62</v>
      </c>
      <c r="L1957" t="s">
        <v>26</v>
      </c>
      <c r="M1957" t="s">
        <v>125</v>
      </c>
      <c r="N1957" t="s">
        <v>51</v>
      </c>
      <c r="O1957">
        <v>3</v>
      </c>
      <c r="P1957">
        <v>55314</v>
      </c>
      <c r="Q1957">
        <f t="shared" si="33"/>
        <v>5.5314000000000002E-2</v>
      </c>
      <c r="R1957">
        <v>43252</v>
      </c>
      <c r="S1957" t="s">
        <v>122</v>
      </c>
    </row>
    <row r="1958" spans="1:19">
      <c r="A1958">
        <v>60000055</v>
      </c>
      <c r="B1958">
        <v>60</v>
      </c>
      <c r="C1958" t="s">
        <v>18</v>
      </c>
      <c r="D1958" t="s">
        <v>40</v>
      </c>
      <c r="E1958" t="s">
        <v>44</v>
      </c>
      <c r="F1958" t="s">
        <v>21</v>
      </c>
      <c r="G1958" s="23">
        <v>0.28000000000000003</v>
      </c>
      <c r="H1958" t="s">
        <v>53</v>
      </c>
      <c r="I1958" t="s">
        <v>83</v>
      </c>
      <c r="J1958" t="s">
        <v>69</v>
      </c>
      <c r="K1958" t="s">
        <v>71</v>
      </c>
      <c r="L1958" t="s">
        <v>26</v>
      </c>
      <c r="M1958" t="s">
        <v>125</v>
      </c>
      <c r="N1958" t="s">
        <v>51</v>
      </c>
      <c r="O1958">
        <v>5</v>
      </c>
      <c r="P1958">
        <v>44686</v>
      </c>
      <c r="Q1958">
        <f t="shared" si="33"/>
        <v>4.4685999999999997E-2</v>
      </c>
      <c r="R1958">
        <v>43252</v>
      </c>
      <c r="S1958" t="s">
        <v>122</v>
      </c>
    </row>
    <row r="1959" spans="1:19">
      <c r="A1959">
        <v>60000056</v>
      </c>
      <c r="B1959">
        <v>27</v>
      </c>
      <c r="C1959" t="s">
        <v>33</v>
      </c>
      <c r="D1959" t="s">
        <v>19</v>
      </c>
      <c r="E1959" t="s">
        <v>85</v>
      </c>
      <c r="F1959" t="s">
        <v>21</v>
      </c>
      <c r="G1959" s="23">
        <v>0.16</v>
      </c>
      <c r="H1959" t="s">
        <v>22</v>
      </c>
      <c r="I1959" t="s">
        <v>45</v>
      </c>
      <c r="J1959" t="s">
        <v>46</v>
      </c>
      <c r="K1959" t="s">
        <v>49</v>
      </c>
      <c r="L1959" t="s">
        <v>26</v>
      </c>
      <c r="M1959" t="s">
        <v>125</v>
      </c>
      <c r="N1959" t="s">
        <v>28</v>
      </c>
      <c r="O1959">
        <v>0</v>
      </c>
      <c r="P1959">
        <v>79381</v>
      </c>
      <c r="Q1959">
        <f t="shared" si="33"/>
        <v>7.9380999999999993E-2</v>
      </c>
      <c r="R1959">
        <v>43252</v>
      </c>
      <c r="S1959" t="s">
        <v>122</v>
      </c>
    </row>
    <row r="1960" spans="1:19">
      <c r="A1960">
        <v>60000057</v>
      </c>
      <c r="B1960">
        <v>29</v>
      </c>
      <c r="C1960" t="s">
        <v>18</v>
      </c>
      <c r="D1960" t="s">
        <v>19</v>
      </c>
      <c r="E1960" t="s">
        <v>67</v>
      </c>
      <c r="F1960" t="s">
        <v>21</v>
      </c>
      <c r="G1960" s="23">
        <v>0.25</v>
      </c>
      <c r="H1960" t="s">
        <v>53</v>
      </c>
      <c r="I1960" t="s">
        <v>49</v>
      </c>
      <c r="J1960" t="s">
        <v>31</v>
      </c>
      <c r="K1960" t="s">
        <v>97</v>
      </c>
      <c r="L1960" t="s">
        <v>26</v>
      </c>
      <c r="M1960" t="s">
        <v>125</v>
      </c>
      <c r="N1960" t="s">
        <v>51</v>
      </c>
      <c r="O1960">
        <v>4</v>
      </c>
      <c r="P1960">
        <v>55151</v>
      </c>
      <c r="Q1960">
        <f t="shared" si="33"/>
        <v>5.5150999999999999E-2</v>
      </c>
      <c r="R1960">
        <v>43252</v>
      </c>
      <c r="S1960" t="s">
        <v>122</v>
      </c>
    </row>
    <row r="1961" spans="1:19">
      <c r="A1961">
        <v>60000058</v>
      </c>
      <c r="B1961">
        <v>59</v>
      </c>
      <c r="C1961" t="s">
        <v>18</v>
      </c>
      <c r="D1961" t="s">
        <v>40</v>
      </c>
      <c r="E1961" t="s">
        <v>85</v>
      </c>
      <c r="F1961" t="s">
        <v>21</v>
      </c>
      <c r="G1961" s="23">
        <v>0.27</v>
      </c>
      <c r="H1961" t="s">
        <v>53</v>
      </c>
      <c r="I1961" t="s">
        <v>83</v>
      </c>
      <c r="J1961" t="s">
        <v>88</v>
      </c>
      <c r="K1961" t="s">
        <v>96</v>
      </c>
      <c r="L1961" t="s">
        <v>26</v>
      </c>
      <c r="M1961" t="s">
        <v>125</v>
      </c>
      <c r="N1961" t="s">
        <v>51</v>
      </c>
      <c r="O1961">
        <v>1</v>
      </c>
      <c r="P1961">
        <v>65029</v>
      </c>
      <c r="Q1961">
        <f t="shared" si="33"/>
        <v>6.5029000000000003E-2</v>
      </c>
      <c r="R1961">
        <v>43252</v>
      </c>
      <c r="S1961" t="s">
        <v>122</v>
      </c>
    </row>
    <row r="1962" spans="1:19">
      <c r="A1962">
        <v>60000059</v>
      </c>
      <c r="B1962">
        <v>56</v>
      </c>
      <c r="C1962" t="s">
        <v>33</v>
      </c>
      <c r="D1962" t="s">
        <v>19</v>
      </c>
      <c r="E1962" t="s">
        <v>67</v>
      </c>
      <c r="F1962" t="s">
        <v>21</v>
      </c>
      <c r="G1962" s="23">
        <v>0.2</v>
      </c>
      <c r="H1962" t="s">
        <v>29</v>
      </c>
      <c r="I1962" t="s">
        <v>37</v>
      </c>
      <c r="J1962" t="s">
        <v>54</v>
      </c>
      <c r="K1962" t="s">
        <v>39</v>
      </c>
      <c r="L1962" t="s">
        <v>26</v>
      </c>
      <c r="M1962" t="s">
        <v>125</v>
      </c>
      <c r="N1962" t="s">
        <v>51</v>
      </c>
      <c r="O1962">
        <v>5</v>
      </c>
      <c r="P1962">
        <v>26628</v>
      </c>
      <c r="Q1962">
        <f t="shared" si="33"/>
        <v>2.6627999999999999E-2</v>
      </c>
      <c r="R1962">
        <v>43252</v>
      </c>
      <c r="S1962" t="s">
        <v>122</v>
      </c>
    </row>
    <row r="1963" spans="1:19">
      <c r="A1963">
        <v>60000060</v>
      </c>
      <c r="B1963">
        <v>42</v>
      </c>
      <c r="C1963" t="s">
        <v>18</v>
      </c>
      <c r="D1963" t="s">
        <v>19</v>
      </c>
      <c r="E1963" t="s">
        <v>56</v>
      </c>
      <c r="F1963" t="s">
        <v>21</v>
      </c>
      <c r="G1963" s="23">
        <v>0.19</v>
      </c>
      <c r="H1963" t="s">
        <v>29</v>
      </c>
      <c r="I1963" t="s">
        <v>60</v>
      </c>
      <c r="J1963" t="s">
        <v>61</v>
      </c>
      <c r="K1963" t="s">
        <v>47</v>
      </c>
      <c r="L1963" t="s">
        <v>26</v>
      </c>
      <c r="M1963" t="s">
        <v>125</v>
      </c>
      <c r="N1963" t="s">
        <v>28</v>
      </c>
      <c r="O1963">
        <v>0</v>
      </c>
      <c r="P1963">
        <v>49132</v>
      </c>
      <c r="Q1963">
        <f t="shared" si="33"/>
        <v>4.9132000000000002E-2</v>
      </c>
      <c r="R1963">
        <v>43252</v>
      </c>
      <c r="S1963" t="s">
        <v>122</v>
      </c>
    </row>
    <row r="1964" spans="1:19">
      <c r="A1964">
        <v>60000061</v>
      </c>
      <c r="B1964">
        <v>52</v>
      </c>
      <c r="C1964" t="s">
        <v>33</v>
      </c>
      <c r="D1964" t="s">
        <v>19</v>
      </c>
      <c r="E1964" t="s">
        <v>75</v>
      </c>
      <c r="F1964" t="s">
        <v>21</v>
      </c>
      <c r="G1964" s="23">
        <v>0.31</v>
      </c>
      <c r="H1964" t="s">
        <v>53</v>
      </c>
      <c r="I1964" t="s">
        <v>57</v>
      </c>
      <c r="J1964" t="s">
        <v>24</v>
      </c>
      <c r="K1964" t="s">
        <v>103</v>
      </c>
      <c r="L1964" t="s">
        <v>26</v>
      </c>
      <c r="M1964" t="s">
        <v>125</v>
      </c>
      <c r="N1964" t="s">
        <v>51</v>
      </c>
      <c r="O1964">
        <v>2</v>
      </c>
      <c r="P1964">
        <v>75641</v>
      </c>
      <c r="Q1964">
        <f t="shared" si="33"/>
        <v>7.5641E-2</v>
      </c>
      <c r="R1964">
        <v>43252</v>
      </c>
      <c r="S1964" t="s">
        <v>122</v>
      </c>
    </row>
    <row r="1965" spans="1:19">
      <c r="A1965">
        <v>60000062</v>
      </c>
      <c r="B1965">
        <v>44</v>
      </c>
      <c r="C1965" t="s">
        <v>33</v>
      </c>
      <c r="D1965" t="s">
        <v>40</v>
      </c>
      <c r="E1965" t="s">
        <v>56</v>
      </c>
      <c r="F1965" t="s">
        <v>21</v>
      </c>
      <c r="G1965" s="23">
        <v>0.18</v>
      </c>
      <c r="H1965" t="s">
        <v>22</v>
      </c>
      <c r="I1965" t="s">
        <v>45</v>
      </c>
      <c r="J1965" t="s">
        <v>69</v>
      </c>
      <c r="K1965" t="s">
        <v>71</v>
      </c>
      <c r="L1965" t="s">
        <v>26</v>
      </c>
      <c r="M1965" t="s">
        <v>125</v>
      </c>
      <c r="N1965" t="s">
        <v>28</v>
      </c>
      <c r="O1965">
        <v>0</v>
      </c>
      <c r="P1965">
        <v>46107</v>
      </c>
      <c r="Q1965">
        <f t="shared" si="33"/>
        <v>4.6107000000000002E-2</v>
      </c>
      <c r="R1965">
        <v>43252</v>
      </c>
      <c r="S1965" t="s">
        <v>122</v>
      </c>
    </row>
    <row r="1966" spans="1:19">
      <c r="A1966">
        <v>60000063</v>
      </c>
      <c r="B1966">
        <v>37</v>
      </c>
      <c r="C1966" t="s">
        <v>33</v>
      </c>
      <c r="D1966" t="s">
        <v>40</v>
      </c>
      <c r="E1966" t="s">
        <v>52</v>
      </c>
      <c r="F1966" t="s">
        <v>21</v>
      </c>
      <c r="G1966" s="23">
        <v>0.28999999999999998</v>
      </c>
      <c r="H1966" t="s">
        <v>53</v>
      </c>
      <c r="I1966" t="s">
        <v>60</v>
      </c>
      <c r="J1966" t="s">
        <v>38</v>
      </c>
      <c r="K1966" t="s">
        <v>98</v>
      </c>
      <c r="L1966" t="s">
        <v>26</v>
      </c>
      <c r="M1966" t="s">
        <v>125</v>
      </c>
      <c r="N1966" t="s">
        <v>51</v>
      </c>
      <c r="O1966">
        <v>5</v>
      </c>
      <c r="P1966">
        <v>54603</v>
      </c>
      <c r="Q1966">
        <f t="shared" si="33"/>
        <v>5.4602999999999999E-2</v>
      </c>
      <c r="R1966">
        <v>43252</v>
      </c>
      <c r="S1966" t="s">
        <v>122</v>
      </c>
    </row>
    <row r="1967" spans="1:19">
      <c r="A1967">
        <v>60000064</v>
      </c>
      <c r="B1967">
        <v>20</v>
      </c>
      <c r="C1967" t="s">
        <v>33</v>
      </c>
      <c r="D1967" t="s">
        <v>40</v>
      </c>
      <c r="E1967" t="s">
        <v>85</v>
      </c>
      <c r="F1967" t="s">
        <v>21</v>
      </c>
      <c r="G1967" s="23">
        <v>0.12</v>
      </c>
      <c r="H1967" t="s">
        <v>22</v>
      </c>
      <c r="I1967" t="s">
        <v>86</v>
      </c>
      <c r="J1967" t="s">
        <v>61</v>
      </c>
      <c r="K1967" t="s">
        <v>102</v>
      </c>
      <c r="L1967" t="s">
        <v>26</v>
      </c>
      <c r="M1967" t="s">
        <v>125</v>
      </c>
      <c r="N1967" t="s">
        <v>51</v>
      </c>
      <c r="O1967">
        <v>2</v>
      </c>
      <c r="P1967">
        <v>76546</v>
      </c>
      <c r="Q1967">
        <f t="shared" ref="Q1967:Q2030" si="34">+P1967/1000000</f>
        <v>7.6546000000000003E-2</v>
      </c>
      <c r="R1967">
        <v>43252</v>
      </c>
      <c r="S1967" t="s">
        <v>122</v>
      </c>
    </row>
    <row r="1968" spans="1:19">
      <c r="A1968">
        <v>60000065</v>
      </c>
      <c r="B1968">
        <v>20</v>
      </c>
      <c r="C1968" t="s">
        <v>18</v>
      </c>
      <c r="D1968" t="s">
        <v>19</v>
      </c>
      <c r="E1968" t="s">
        <v>56</v>
      </c>
      <c r="F1968" t="s">
        <v>21</v>
      </c>
      <c r="G1968" s="23">
        <v>0.14000000000000001</v>
      </c>
      <c r="H1968" t="s">
        <v>22</v>
      </c>
      <c r="I1968" t="s">
        <v>62</v>
      </c>
      <c r="J1968" t="s">
        <v>74</v>
      </c>
      <c r="K1968" t="s">
        <v>60</v>
      </c>
      <c r="L1968" t="s">
        <v>26</v>
      </c>
      <c r="M1968" t="s">
        <v>125</v>
      </c>
      <c r="N1968" t="s">
        <v>51</v>
      </c>
      <c r="O1968">
        <v>4</v>
      </c>
      <c r="P1968">
        <v>51693</v>
      </c>
      <c r="Q1968">
        <f t="shared" si="34"/>
        <v>5.1693000000000003E-2</v>
      </c>
      <c r="R1968">
        <v>43252</v>
      </c>
      <c r="S1968" t="s">
        <v>122</v>
      </c>
    </row>
    <row r="1969" spans="1:19">
      <c r="A1969">
        <v>60000066</v>
      </c>
      <c r="B1969">
        <v>43</v>
      </c>
      <c r="C1969" t="s">
        <v>18</v>
      </c>
      <c r="D1969" t="s">
        <v>19</v>
      </c>
      <c r="E1969" t="s">
        <v>75</v>
      </c>
      <c r="F1969" t="s">
        <v>21</v>
      </c>
      <c r="G1969" s="23">
        <v>0.21</v>
      </c>
      <c r="H1969" t="s">
        <v>29</v>
      </c>
      <c r="I1969" t="s">
        <v>83</v>
      </c>
      <c r="J1969" t="s">
        <v>54</v>
      </c>
      <c r="K1969" t="s">
        <v>77</v>
      </c>
      <c r="L1969" t="s">
        <v>26</v>
      </c>
      <c r="M1969" t="s">
        <v>125</v>
      </c>
      <c r="N1969" t="s">
        <v>51</v>
      </c>
      <c r="O1969">
        <v>2</v>
      </c>
      <c r="P1969">
        <v>74562</v>
      </c>
      <c r="Q1969">
        <f t="shared" si="34"/>
        <v>7.4562000000000003E-2</v>
      </c>
      <c r="R1969">
        <v>43252</v>
      </c>
      <c r="S1969" t="s">
        <v>122</v>
      </c>
    </row>
    <row r="1970" spans="1:19">
      <c r="A1970">
        <v>60000067</v>
      </c>
      <c r="B1970">
        <v>48</v>
      </c>
      <c r="C1970" t="s">
        <v>33</v>
      </c>
      <c r="D1970" t="s">
        <v>19</v>
      </c>
      <c r="E1970" t="s">
        <v>56</v>
      </c>
      <c r="F1970" t="s">
        <v>21</v>
      </c>
      <c r="G1970" s="23">
        <v>0.15</v>
      </c>
      <c r="H1970" t="s">
        <v>22</v>
      </c>
      <c r="I1970" t="s">
        <v>70</v>
      </c>
      <c r="J1970" t="s">
        <v>78</v>
      </c>
      <c r="K1970" t="s">
        <v>118</v>
      </c>
      <c r="L1970" t="s">
        <v>26</v>
      </c>
      <c r="M1970" t="s">
        <v>125</v>
      </c>
      <c r="N1970" t="s">
        <v>28</v>
      </c>
      <c r="O1970">
        <v>0</v>
      </c>
      <c r="P1970">
        <v>23033</v>
      </c>
      <c r="Q1970">
        <f t="shared" si="34"/>
        <v>2.3033000000000001E-2</v>
      </c>
      <c r="R1970">
        <v>43252</v>
      </c>
      <c r="S1970" t="s">
        <v>122</v>
      </c>
    </row>
    <row r="1971" spans="1:19">
      <c r="A1971">
        <v>60000068</v>
      </c>
      <c r="B1971">
        <v>57</v>
      </c>
      <c r="C1971" t="s">
        <v>33</v>
      </c>
      <c r="D1971" t="s">
        <v>40</v>
      </c>
      <c r="E1971" t="s">
        <v>67</v>
      </c>
      <c r="F1971" t="s">
        <v>21</v>
      </c>
      <c r="G1971" s="23">
        <v>0.32</v>
      </c>
      <c r="H1971" t="s">
        <v>42</v>
      </c>
      <c r="I1971" t="s">
        <v>60</v>
      </c>
      <c r="J1971" t="s">
        <v>38</v>
      </c>
      <c r="K1971" t="s">
        <v>55</v>
      </c>
      <c r="L1971" t="s">
        <v>26</v>
      </c>
      <c r="M1971" t="s">
        <v>125</v>
      </c>
      <c r="N1971" t="s">
        <v>51</v>
      </c>
      <c r="O1971">
        <v>7</v>
      </c>
      <c r="P1971">
        <v>49487</v>
      </c>
      <c r="Q1971">
        <f t="shared" si="34"/>
        <v>4.9487000000000003E-2</v>
      </c>
      <c r="R1971">
        <v>43252</v>
      </c>
      <c r="S1971" t="s">
        <v>122</v>
      </c>
    </row>
    <row r="1972" spans="1:19">
      <c r="A1972">
        <v>60000069</v>
      </c>
      <c r="B1972">
        <v>20</v>
      </c>
      <c r="C1972" t="s">
        <v>18</v>
      </c>
      <c r="D1972" t="s">
        <v>40</v>
      </c>
      <c r="E1972" t="s">
        <v>41</v>
      </c>
      <c r="F1972" t="s">
        <v>21</v>
      </c>
      <c r="G1972" s="23">
        <v>0.13</v>
      </c>
      <c r="H1972" t="s">
        <v>22</v>
      </c>
      <c r="I1972" t="s">
        <v>37</v>
      </c>
      <c r="J1972" t="s">
        <v>66</v>
      </c>
      <c r="K1972" t="s">
        <v>116</v>
      </c>
      <c r="L1972" t="s">
        <v>26</v>
      </c>
      <c r="M1972" t="s">
        <v>125</v>
      </c>
      <c r="N1972" t="s">
        <v>51</v>
      </c>
      <c r="O1972">
        <v>6</v>
      </c>
      <c r="P1972">
        <v>81554</v>
      </c>
      <c r="Q1972">
        <f t="shared" si="34"/>
        <v>8.1554000000000001E-2</v>
      </c>
      <c r="R1972">
        <v>43252</v>
      </c>
      <c r="S1972" t="s">
        <v>122</v>
      </c>
    </row>
    <row r="1973" spans="1:19">
      <c r="A1973">
        <v>60000070</v>
      </c>
      <c r="B1973">
        <v>63</v>
      </c>
      <c r="C1973" t="s">
        <v>33</v>
      </c>
      <c r="D1973" t="s">
        <v>40</v>
      </c>
      <c r="E1973" t="s">
        <v>41</v>
      </c>
      <c r="F1973" t="s">
        <v>21</v>
      </c>
      <c r="G1973" s="23">
        <v>0.23</v>
      </c>
      <c r="H1973" t="s">
        <v>29</v>
      </c>
      <c r="I1973" t="s">
        <v>80</v>
      </c>
      <c r="J1973" t="s">
        <v>58</v>
      </c>
      <c r="K1973" t="s">
        <v>79</v>
      </c>
      <c r="L1973" t="s">
        <v>26</v>
      </c>
      <c r="M1973" t="s">
        <v>125</v>
      </c>
      <c r="N1973" t="s">
        <v>28</v>
      </c>
      <c r="O1973">
        <v>0</v>
      </c>
      <c r="P1973">
        <v>50937</v>
      </c>
      <c r="Q1973">
        <f t="shared" si="34"/>
        <v>5.0937000000000003E-2</v>
      </c>
      <c r="R1973">
        <v>43252</v>
      </c>
      <c r="S1973" t="s">
        <v>122</v>
      </c>
    </row>
    <row r="1974" spans="1:19">
      <c r="A1974">
        <v>60000071</v>
      </c>
      <c r="B1974">
        <v>54</v>
      </c>
      <c r="C1974" t="s">
        <v>18</v>
      </c>
      <c r="D1974" t="s">
        <v>19</v>
      </c>
      <c r="E1974" t="s">
        <v>72</v>
      </c>
      <c r="F1974" t="s">
        <v>21</v>
      </c>
      <c r="G1974" s="23">
        <v>0.38</v>
      </c>
      <c r="H1974" t="s">
        <v>42</v>
      </c>
      <c r="I1974" t="s">
        <v>23</v>
      </c>
      <c r="J1974" t="s">
        <v>74</v>
      </c>
      <c r="K1974" t="s">
        <v>111</v>
      </c>
      <c r="L1974" t="s">
        <v>26</v>
      </c>
      <c r="M1974" t="s">
        <v>125</v>
      </c>
      <c r="N1974" t="s">
        <v>28</v>
      </c>
      <c r="O1974">
        <v>0</v>
      </c>
      <c r="P1974">
        <v>50926</v>
      </c>
      <c r="Q1974">
        <f t="shared" si="34"/>
        <v>5.0925999999999999E-2</v>
      </c>
      <c r="R1974">
        <v>43252</v>
      </c>
      <c r="S1974" t="s">
        <v>122</v>
      </c>
    </row>
    <row r="1975" spans="1:19">
      <c r="A1975">
        <v>60000072</v>
      </c>
      <c r="B1975">
        <v>34</v>
      </c>
      <c r="C1975" t="s">
        <v>18</v>
      </c>
      <c r="D1975" t="s">
        <v>19</v>
      </c>
      <c r="E1975" t="s">
        <v>56</v>
      </c>
      <c r="F1975" t="s">
        <v>21</v>
      </c>
      <c r="G1975" s="23">
        <v>0.2</v>
      </c>
      <c r="H1975" t="s">
        <v>29</v>
      </c>
      <c r="I1975" t="s">
        <v>30</v>
      </c>
      <c r="J1975" t="s">
        <v>78</v>
      </c>
      <c r="K1975" t="s">
        <v>71</v>
      </c>
      <c r="L1975" t="s">
        <v>26</v>
      </c>
      <c r="M1975" t="s">
        <v>125</v>
      </c>
      <c r="N1975" t="s">
        <v>28</v>
      </c>
      <c r="O1975">
        <v>0</v>
      </c>
      <c r="P1975">
        <v>65453</v>
      </c>
      <c r="Q1975">
        <f t="shared" si="34"/>
        <v>6.5452999999999997E-2</v>
      </c>
      <c r="R1975">
        <v>43252</v>
      </c>
      <c r="S1975" t="s">
        <v>122</v>
      </c>
    </row>
    <row r="1976" spans="1:19">
      <c r="A1976">
        <v>60000073</v>
      </c>
      <c r="B1976">
        <v>26</v>
      </c>
      <c r="C1976" t="s">
        <v>33</v>
      </c>
      <c r="D1976" t="s">
        <v>40</v>
      </c>
      <c r="E1976" t="s">
        <v>52</v>
      </c>
      <c r="F1976" t="s">
        <v>21</v>
      </c>
      <c r="G1976" s="23">
        <v>0.15</v>
      </c>
      <c r="H1976" t="s">
        <v>22</v>
      </c>
      <c r="I1976" t="s">
        <v>80</v>
      </c>
      <c r="J1976" t="s">
        <v>78</v>
      </c>
      <c r="K1976" t="s">
        <v>109</v>
      </c>
      <c r="L1976" t="s">
        <v>26</v>
      </c>
      <c r="M1976" t="s">
        <v>125</v>
      </c>
      <c r="N1976" t="s">
        <v>51</v>
      </c>
      <c r="O1976">
        <v>4</v>
      </c>
      <c r="P1976">
        <v>60126</v>
      </c>
      <c r="Q1976">
        <f t="shared" si="34"/>
        <v>6.0125999999999999E-2</v>
      </c>
      <c r="R1976">
        <v>43252</v>
      </c>
      <c r="S1976" t="s">
        <v>122</v>
      </c>
    </row>
    <row r="1977" spans="1:19">
      <c r="A1977">
        <v>60000074</v>
      </c>
      <c r="B1977">
        <v>40</v>
      </c>
      <c r="C1977" t="s">
        <v>18</v>
      </c>
      <c r="D1977" t="s">
        <v>19</v>
      </c>
      <c r="E1977" t="s">
        <v>64</v>
      </c>
      <c r="F1977" t="s">
        <v>21</v>
      </c>
      <c r="G1977" s="23">
        <v>0.13</v>
      </c>
      <c r="H1977" t="s">
        <v>22</v>
      </c>
      <c r="I1977" t="s">
        <v>80</v>
      </c>
      <c r="J1977" t="s">
        <v>31</v>
      </c>
      <c r="K1977" t="s">
        <v>94</v>
      </c>
      <c r="L1977" t="s">
        <v>26</v>
      </c>
      <c r="M1977" t="s">
        <v>125</v>
      </c>
      <c r="N1977" t="s">
        <v>28</v>
      </c>
      <c r="O1977">
        <v>0</v>
      </c>
      <c r="P1977">
        <v>23711</v>
      </c>
      <c r="Q1977">
        <f t="shared" si="34"/>
        <v>2.3710999999999999E-2</v>
      </c>
      <c r="R1977">
        <v>43252</v>
      </c>
      <c r="S1977" t="s">
        <v>122</v>
      </c>
    </row>
    <row r="1978" spans="1:19">
      <c r="A1978">
        <v>60000075</v>
      </c>
      <c r="B1978">
        <v>57</v>
      </c>
      <c r="C1978" t="s">
        <v>33</v>
      </c>
      <c r="D1978" t="s">
        <v>19</v>
      </c>
      <c r="E1978" t="s">
        <v>72</v>
      </c>
      <c r="F1978" t="s">
        <v>21</v>
      </c>
      <c r="G1978" s="23">
        <v>0.33</v>
      </c>
      <c r="H1978" t="s">
        <v>42</v>
      </c>
      <c r="I1978" t="s">
        <v>62</v>
      </c>
      <c r="J1978" t="s">
        <v>66</v>
      </c>
      <c r="K1978" t="s">
        <v>118</v>
      </c>
      <c r="L1978" t="s">
        <v>26</v>
      </c>
      <c r="M1978" t="s">
        <v>125</v>
      </c>
      <c r="N1978" t="s">
        <v>28</v>
      </c>
      <c r="O1978">
        <v>0</v>
      </c>
      <c r="P1978">
        <v>77308</v>
      </c>
      <c r="Q1978">
        <f t="shared" si="34"/>
        <v>7.7308000000000002E-2</v>
      </c>
      <c r="R1978">
        <v>43252</v>
      </c>
      <c r="S1978" t="s">
        <v>122</v>
      </c>
    </row>
    <row r="1979" spans="1:19">
      <c r="A1979">
        <v>60000076</v>
      </c>
      <c r="B1979">
        <v>21</v>
      </c>
      <c r="C1979" t="s">
        <v>18</v>
      </c>
      <c r="D1979" t="s">
        <v>40</v>
      </c>
      <c r="E1979" t="s">
        <v>41</v>
      </c>
      <c r="F1979" t="s">
        <v>21</v>
      </c>
      <c r="G1979" s="23">
        <v>0.1</v>
      </c>
      <c r="H1979" t="s">
        <v>36</v>
      </c>
      <c r="I1979" t="s">
        <v>62</v>
      </c>
      <c r="J1979" t="s">
        <v>91</v>
      </c>
      <c r="K1979" t="s">
        <v>55</v>
      </c>
      <c r="L1979" t="s">
        <v>26</v>
      </c>
      <c r="M1979" t="s">
        <v>125</v>
      </c>
      <c r="N1979" t="s">
        <v>28</v>
      </c>
      <c r="O1979">
        <v>0</v>
      </c>
      <c r="P1979">
        <v>34801</v>
      </c>
      <c r="Q1979">
        <f t="shared" si="34"/>
        <v>3.4800999999999999E-2</v>
      </c>
      <c r="R1979">
        <v>43252</v>
      </c>
      <c r="S1979" t="s">
        <v>122</v>
      </c>
    </row>
    <row r="1980" spans="1:19">
      <c r="A1980">
        <v>60000077</v>
      </c>
      <c r="B1980">
        <v>27</v>
      </c>
      <c r="C1980" t="s">
        <v>33</v>
      </c>
      <c r="D1980" t="s">
        <v>40</v>
      </c>
      <c r="E1980" t="s">
        <v>52</v>
      </c>
      <c r="F1980" t="s">
        <v>21</v>
      </c>
      <c r="G1980" s="23">
        <v>0.16</v>
      </c>
      <c r="H1980" t="s">
        <v>22</v>
      </c>
      <c r="I1980" t="s">
        <v>37</v>
      </c>
      <c r="J1980" t="s">
        <v>91</v>
      </c>
      <c r="K1980" t="s">
        <v>60</v>
      </c>
      <c r="L1980" t="s">
        <v>26</v>
      </c>
      <c r="M1980" t="s">
        <v>125</v>
      </c>
      <c r="N1980" t="s">
        <v>51</v>
      </c>
      <c r="O1980">
        <v>2</v>
      </c>
      <c r="P1980">
        <v>79253</v>
      </c>
      <c r="Q1980">
        <f t="shared" si="34"/>
        <v>7.9253000000000004E-2</v>
      </c>
      <c r="R1980">
        <v>43252</v>
      </c>
      <c r="S1980" t="s">
        <v>122</v>
      </c>
    </row>
    <row r="1981" spans="1:19">
      <c r="A1981">
        <v>60000078</v>
      </c>
      <c r="B1981">
        <v>59</v>
      </c>
      <c r="C1981" t="s">
        <v>33</v>
      </c>
      <c r="D1981" t="s">
        <v>40</v>
      </c>
      <c r="E1981" t="s">
        <v>34</v>
      </c>
      <c r="F1981" t="s">
        <v>21</v>
      </c>
      <c r="G1981" s="23">
        <v>0.38</v>
      </c>
      <c r="H1981" t="s">
        <v>42</v>
      </c>
      <c r="I1981" t="s">
        <v>76</v>
      </c>
      <c r="J1981" t="s">
        <v>66</v>
      </c>
      <c r="K1981" t="s">
        <v>81</v>
      </c>
      <c r="L1981" t="s">
        <v>26</v>
      </c>
      <c r="M1981" t="s">
        <v>125</v>
      </c>
      <c r="N1981" t="s">
        <v>28</v>
      </c>
      <c r="O1981">
        <v>0</v>
      </c>
      <c r="P1981">
        <v>74467</v>
      </c>
      <c r="Q1981">
        <f t="shared" si="34"/>
        <v>7.4467000000000005E-2</v>
      </c>
      <c r="R1981">
        <v>43252</v>
      </c>
      <c r="S1981" t="s">
        <v>122</v>
      </c>
    </row>
    <row r="1982" spans="1:19">
      <c r="A1982">
        <v>60000079</v>
      </c>
      <c r="B1982">
        <v>50</v>
      </c>
      <c r="C1982" t="s">
        <v>33</v>
      </c>
      <c r="D1982" t="s">
        <v>40</v>
      </c>
      <c r="E1982" t="s">
        <v>72</v>
      </c>
      <c r="F1982" t="s">
        <v>21</v>
      </c>
      <c r="G1982" s="23">
        <v>0.31</v>
      </c>
      <c r="H1982" t="s">
        <v>53</v>
      </c>
      <c r="I1982" t="s">
        <v>73</v>
      </c>
      <c r="J1982" t="s">
        <v>58</v>
      </c>
      <c r="K1982" t="s">
        <v>25</v>
      </c>
      <c r="L1982" t="s">
        <v>26</v>
      </c>
      <c r="M1982" t="s">
        <v>125</v>
      </c>
      <c r="N1982" t="s">
        <v>51</v>
      </c>
      <c r="O1982">
        <v>0</v>
      </c>
      <c r="P1982">
        <v>71270</v>
      </c>
      <c r="Q1982">
        <f t="shared" si="34"/>
        <v>7.127E-2</v>
      </c>
      <c r="R1982">
        <v>43252</v>
      </c>
      <c r="S1982" t="s">
        <v>122</v>
      </c>
    </row>
    <row r="1983" spans="1:19">
      <c r="A1983">
        <v>60000080</v>
      </c>
      <c r="B1983">
        <v>51</v>
      </c>
      <c r="C1983" t="s">
        <v>33</v>
      </c>
      <c r="D1983" t="s">
        <v>19</v>
      </c>
      <c r="E1983" t="s">
        <v>85</v>
      </c>
      <c r="F1983" t="s">
        <v>21</v>
      </c>
      <c r="G1983" s="23">
        <v>0.35</v>
      </c>
      <c r="H1983" t="s">
        <v>42</v>
      </c>
      <c r="I1983" t="s">
        <v>60</v>
      </c>
      <c r="J1983" t="s">
        <v>74</v>
      </c>
      <c r="K1983" t="s">
        <v>84</v>
      </c>
      <c r="L1983" t="s">
        <v>26</v>
      </c>
      <c r="M1983" t="s">
        <v>125</v>
      </c>
      <c r="N1983" t="s">
        <v>28</v>
      </c>
      <c r="O1983">
        <v>0</v>
      </c>
      <c r="P1983">
        <v>84560</v>
      </c>
      <c r="Q1983">
        <f t="shared" si="34"/>
        <v>8.4559999999999996E-2</v>
      </c>
      <c r="R1983">
        <v>43252</v>
      </c>
      <c r="S1983" t="s">
        <v>122</v>
      </c>
    </row>
    <row r="1984" spans="1:19">
      <c r="A1984">
        <v>60000081</v>
      </c>
      <c r="B1984">
        <v>44</v>
      </c>
      <c r="C1984" t="s">
        <v>33</v>
      </c>
      <c r="D1984" t="s">
        <v>19</v>
      </c>
      <c r="E1984" t="s">
        <v>44</v>
      </c>
      <c r="F1984" t="s">
        <v>21</v>
      </c>
      <c r="G1984" s="23">
        <v>0.19</v>
      </c>
      <c r="H1984" t="s">
        <v>29</v>
      </c>
      <c r="I1984" t="s">
        <v>49</v>
      </c>
      <c r="J1984" t="s">
        <v>61</v>
      </c>
      <c r="K1984" t="s">
        <v>96</v>
      </c>
      <c r="L1984" t="s">
        <v>26</v>
      </c>
      <c r="M1984" t="s">
        <v>125</v>
      </c>
      <c r="N1984" t="s">
        <v>51</v>
      </c>
      <c r="O1984">
        <v>0</v>
      </c>
      <c r="P1984">
        <v>67808</v>
      </c>
      <c r="Q1984">
        <f t="shared" si="34"/>
        <v>6.7807999999999993E-2</v>
      </c>
      <c r="R1984">
        <v>43252</v>
      </c>
      <c r="S1984" t="s">
        <v>122</v>
      </c>
    </row>
    <row r="1985" spans="1:19">
      <c r="A1985">
        <v>60000082</v>
      </c>
      <c r="B1985">
        <v>22</v>
      </c>
      <c r="C1985" t="s">
        <v>18</v>
      </c>
      <c r="D1985" t="s">
        <v>40</v>
      </c>
      <c r="E1985" t="s">
        <v>41</v>
      </c>
      <c r="F1985" t="s">
        <v>21</v>
      </c>
      <c r="G1985" s="23">
        <v>0.13</v>
      </c>
      <c r="H1985" t="s">
        <v>22</v>
      </c>
      <c r="I1985" t="s">
        <v>23</v>
      </c>
      <c r="J1985" t="s">
        <v>46</v>
      </c>
      <c r="K1985" t="s">
        <v>95</v>
      </c>
      <c r="L1985" t="s">
        <v>26</v>
      </c>
      <c r="M1985" t="s">
        <v>125</v>
      </c>
      <c r="N1985" t="s">
        <v>28</v>
      </c>
      <c r="O1985">
        <v>0</v>
      </c>
      <c r="P1985">
        <v>35771</v>
      </c>
      <c r="Q1985">
        <f t="shared" si="34"/>
        <v>3.5770999999999997E-2</v>
      </c>
      <c r="R1985">
        <v>43252</v>
      </c>
      <c r="S1985" t="s">
        <v>122</v>
      </c>
    </row>
    <row r="1986" spans="1:19">
      <c r="A1986">
        <v>60000083</v>
      </c>
      <c r="B1986">
        <v>30</v>
      </c>
      <c r="C1986" t="s">
        <v>18</v>
      </c>
      <c r="D1986" t="s">
        <v>40</v>
      </c>
      <c r="E1986" t="s">
        <v>34</v>
      </c>
      <c r="F1986" t="s">
        <v>21</v>
      </c>
      <c r="G1986" s="23">
        <v>0.17</v>
      </c>
      <c r="H1986" t="s">
        <v>22</v>
      </c>
      <c r="I1986" t="s">
        <v>49</v>
      </c>
      <c r="J1986" t="s">
        <v>38</v>
      </c>
      <c r="K1986" t="s">
        <v>97</v>
      </c>
      <c r="L1986" t="s">
        <v>26</v>
      </c>
      <c r="M1986" t="s">
        <v>125</v>
      </c>
      <c r="N1986" t="s">
        <v>28</v>
      </c>
      <c r="O1986">
        <v>0</v>
      </c>
      <c r="P1986">
        <v>28257</v>
      </c>
      <c r="Q1986">
        <f t="shared" si="34"/>
        <v>2.8257000000000001E-2</v>
      </c>
      <c r="R1986">
        <v>43252</v>
      </c>
      <c r="S1986" t="s">
        <v>122</v>
      </c>
    </row>
    <row r="1987" spans="1:19">
      <c r="A1987">
        <v>60000084</v>
      </c>
      <c r="B1987">
        <v>52</v>
      </c>
      <c r="C1987" t="s">
        <v>33</v>
      </c>
      <c r="D1987" t="s">
        <v>19</v>
      </c>
      <c r="E1987" t="s">
        <v>64</v>
      </c>
      <c r="F1987" t="s">
        <v>21</v>
      </c>
      <c r="G1987" s="23">
        <v>0.12</v>
      </c>
      <c r="H1987" t="s">
        <v>22</v>
      </c>
      <c r="I1987" t="s">
        <v>45</v>
      </c>
      <c r="J1987" t="s">
        <v>46</v>
      </c>
      <c r="K1987" t="s">
        <v>79</v>
      </c>
      <c r="L1987" t="s">
        <v>26</v>
      </c>
      <c r="M1987" t="s">
        <v>125</v>
      </c>
      <c r="N1987" t="s">
        <v>28</v>
      </c>
      <c r="O1987">
        <v>0</v>
      </c>
      <c r="P1987">
        <v>65096</v>
      </c>
      <c r="Q1987">
        <f t="shared" si="34"/>
        <v>6.5096000000000001E-2</v>
      </c>
      <c r="R1987">
        <v>43252</v>
      </c>
      <c r="S1987" t="s">
        <v>122</v>
      </c>
    </row>
    <row r="1988" spans="1:19">
      <c r="A1988">
        <v>60000085</v>
      </c>
      <c r="B1988">
        <v>51</v>
      </c>
      <c r="C1988" t="s">
        <v>33</v>
      </c>
      <c r="D1988" t="s">
        <v>40</v>
      </c>
      <c r="E1988" t="s">
        <v>75</v>
      </c>
      <c r="F1988" t="s">
        <v>21</v>
      </c>
      <c r="G1988" s="23">
        <v>0.27</v>
      </c>
      <c r="H1988" t="s">
        <v>53</v>
      </c>
      <c r="I1988" t="s">
        <v>60</v>
      </c>
      <c r="J1988" t="s">
        <v>74</v>
      </c>
      <c r="K1988" t="s">
        <v>105</v>
      </c>
      <c r="L1988" t="s">
        <v>26</v>
      </c>
      <c r="M1988" t="s">
        <v>125</v>
      </c>
      <c r="N1988" t="s">
        <v>28</v>
      </c>
      <c r="O1988">
        <v>0</v>
      </c>
      <c r="P1988">
        <v>46817</v>
      </c>
      <c r="Q1988">
        <f t="shared" si="34"/>
        <v>4.6816999999999998E-2</v>
      </c>
      <c r="R1988">
        <v>43252</v>
      </c>
      <c r="S1988" t="s">
        <v>122</v>
      </c>
    </row>
    <row r="1989" spans="1:19">
      <c r="A1989">
        <v>60000086</v>
      </c>
      <c r="B1989">
        <v>60</v>
      </c>
      <c r="C1989" t="s">
        <v>33</v>
      </c>
      <c r="D1989" t="s">
        <v>19</v>
      </c>
      <c r="E1989" t="s">
        <v>75</v>
      </c>
      <c r="F1989" t="s">
        <v>21</v>
      </c>
      <c r="G1989" s="23">
        <v>0.17</v>
      </c>
      <c r="H1989" t="s">
        <v>22</v>
      </c>
      <c r="I1989" t="s">
        <v>68</v>
      </c>
      <c r="J1989" t="s">
        <v>31</v>
      </c>
      <c r="K1989" t="s">
        <v>115</v>
      </c>
      <c r="L1989" t="s">
        <v>26</v>
      </c>
      <c r="M1989" t="s">
        <v>125</v>
      </c>
      <c r="N1989" t="s">
        <v>51</v>
      </c>
      <c r="O1989">
        <v>3</v>
      </c>
      <c r="P1989">
        <v>70068</v>
      </c>
      <c r="Q1989">
        <f t="shared" si="34"/>
        <v>7.0068000000000005E-2</v>
      </c>
      <c r="R1989">
        <v>43252</v>
      </c>
      <c r="S1989" t="s">
        <v>122</v>
      </c>
    </row>
    <row r="1990" spans="1:19">
      <c r="A1990">
        <v>60000087</v>
      </c>
      <c r="B1990">
        <v>40</v>
      </c>
      <c r="C1990" t="s">
        <v>18</v>
      </c>
      <c r="D1990" t="s">
        <v>40</v>
      </c>
      <c r="E1990" t="s">
        <v>52</v>
      </c>
      <c r="F1990" t="s">
        <v>21</v>
      </c>
      <c r="G1990" s="23">
        <v>0.26</v>
      </c>
      <c r="H1990" t="s">
        <v>53</v>
      </c>
      <c r="I1990" t="s">
        <v>60</v>
      </c>
      <c r="J1990" t="s">
        <v>69</v>
      </c>
      <c r="K1990" t="s">
        <v>109</v>
      </c>
      <c r="L1990" t="s">
        <v>26</v>
      </c>
      <c r="M1990" t="s">
        <v>125</v>
      </c>
      <c r="N1990" t="s">
        <v>28</v>
      </c>
      <c r="O1990">
        <v>0</v>
      </c>
      <c r="P1990">
        <v>64035</v>
      </c>
      <c r="Q1990">
        <f t="shared" si="34"/>
        <v>6.4034999999999995E-2</v>
      </c>
      <c r="R1990">
        <v>43252</v>
      </c>
      <c r="S1990" t="s">
        <v>122</v>
      </c>
    </row>
    <row r="1991" spans="1:19">
      <c r="A1991">
        <v>60000088</v>
      </c>
      <c r="B1991">
        <v>48</v>
      </c>
      <c r="C1991" t="s">
        <v>18</v>
      </c>
      <c r="D1991" t="s">
        <v>40</v>
      </c>
      <c r="E1991" t="s">
        <v>44</v>
      </c>
      <c r="F1991" t="s">
        <v>21</v>
      </c>
      <c r="G1991" s="23">
        <v>0.26</v>
      </c>
      <c r="H1991" t="s">
        <v>53</v>
      </c>
      <c r="I1991" t="s">
        <v>73</v>
      </c>
      <c r="J1991" t="s">
        <v>66</v>
      </c>
      <c r="K1991" t="s">
        <v>77</v>
      </c>
      <c r="L1991" t="s">
        <v>26</v>
      </c>
      <c r="M1991" t="s">
        <v>125</v>
      </c>
      <c r="N1991" t="s">
        <v>28</v>
      </c>
      <c r="O1991">
        <v>0</v>
      </c>
      <c r="P1991">
        <v>59746</v>
      </c>
      <c r="Q1991">
        <f t="shared" si="34"/>
        <v>5.9746E-2</v>
      </c>
      <c r="R1991">
        <v>43252</v>
      </c>
      <c r="S1991" t="s">
        <v>122</v>
      </c>
    </row>
    <row r="1992" spans="1:19">
      <c r="A1992">
        <v>60000089</v>
      </c>
      <c r="B1992">
        <v>32</v>
      </c>
      <c r="C1992" t="s">
        <v>18</v>
      </c>
      <c r="D1992" t="s">
        <v>40</v>
      </c>
      <c r="E1992" t="s">
        <v>75</v>
      </c>
      <c r="F1992" t="s">
        <v>21</v>
      </c>
      <c r="G1992" s="23">
        <v>0.38</v>
      </c>
      <c r="H1992" t="s">
        <v>42</v>
      </c>
      <c r="I1992" t="s">
        <v>49</v>
      </c>
      <c r="J1992" t="s">
        <v>91</v>
      </c>
      <c r="K1992" t="s">
        <v>118</v>
      </c>
      <c r="L1992" t="s">
        <v>26</v>
      </c>
      <c r="M1992" t="s">
        <v>125</v>
      </c>
      <c r="N1992" t="s">
        <v>51</v>
      </c>
      <c r="O1992">
        <v>0</v>
      </c>
      <c r="P1992">
        <v>65443</v>
      </c>
      <c r="Q1992">
        <f t="shared" si="34"/>
        <v>6.5443000000000001E-2</v>
      </c>
      <c r="R1992">
        <v>43252</v>
      </c>
      <c r="S1992" t="s">
        <v>122</v>
      </c>
    </row>
    <row r="1993" spans="1:19">
      <c r="A1993">
        <v>60000090</v>
      </c>
      <c r="B1993">
        <v>65</v>
      </c>
      <c r="C1993" t="s">
        <v>33</v>
      </c>
      <c r="D1993" t="s">
        <v>19</v>
      </c>
      <c r="E1993" t="s">
        <v>75</v>
      </c>
      <c r="F1993" t="s">
        <v>21</v>
      </c>
      <c r="G1993" s="23">
        <v>0.28999999999999998</v>
      </c>
      <c r="H1993" t="s">
        <v>53</v>
      </c>
      <c r="I1993" t="s">
        <v>37</v>
      </c>
      <c r="J1993" t="s">
        <v>46</v>
      </c>
      <c r="K1993" t="s">
        <v>99</v>
      </c>
      <c r="L1993" t="s">
        <v>26</v>
      </c>
      <c r="M1993" t="s">
        <v>125</v>
      </c>
      <c r="N1993" t="s">
        <v>51</v>
      </c>
      <c r="O1993">
        <v>7</v>
      </c>
      <c r="P1993">
        <v>77471</v>
      </c>
      <c r="Q1993">
        <f t="shared" si="34"/>
        <v>7.7470999999999998E-2</v>
      </c>
      <c r="R1993">
        <v>43252</v>
      </c>
      <c r="S1993" t="s">
        <v>122</v>
      </c>
    </row>
    <row r="1994" spans="1:19">
      <c r="A1994">
        <v>60000091</v>
      </c>
      <c r="B1994">
        <v>62</v>
      </c>
      <c r="C1994" t="s">
        <v>33</v>
      </c>
      <c r="D1994" t="s">
        <v>19</v>
      </c>
      <c r="E1994" t="s">
        <v>75</v>
      </c>
      <c r="F1994" t="s">
        <v>21</v>
      </c>
      <c r="G1994" s="23">
        <v>0.13</v>
      </c>
      <c r="H1994" t="s">
        <v>22</v>
      </c>
      <c r="I1994" t="s">
        <v>70</v>
      </c>
      <c r="J1994" t="s">
        <v>88</v>
      </c>
      <c r="K1994" t="s">
        <v>101</v>
      </c>
      <c r="L1994" t="s">
        <v>26</v>
      </c>
      <c r="M1994" t="s">
        <v>125</v>
      </c>
      <c r="N1994" t="s">
        <v>51</v>
      </c>
      <c r="O1994">
        <v>1</v>
      </c>
      <c r="P1994">
        <v>62047</v>
      </c>
      <c r="Q1994">
        <f t="shared" si="34"/>
        <v>6.2046999999999998E-2</v>
      </c>
      <c r="R1994">
        <v>43252</v>
      </c>
      <c r="S1994" t="s">
        <v>122</v>
      </c>
    </row>
    <row r="1995" spans="1:19">
      <c r="A1995">
        <v>60000092</v>
      </c>
      <c r="B1995">
        <v>49</v>
      </c>
      <c r="C1995" t="s">
        <v>18</v>
      </c>
      <c r="D1995" t="s">
        <v>40</v>
      </c>
      <c r="E1995" t="s">
        <v>64</v>
      </c>
      <c r="F1995" t="s">
        <v>21</v>
      </c>
      <c r="G1995" s="23">
        <v>0.35</v>
      </c>
      <c r="H1995" t="s">
        <v>42</v>
      </c>
      <c r="I1995" t="s">
        <v>68</v>
      </c>
      <c r="J1995" t="s">
        <v>74</v>
      </c>
      <c r="K1995" t="s">
        <v>60</v>
      </c>
      <c r="L1995" t="s">
        <v>26</v>
      </c>
      <c r="M1995" t="s">
        <v>125</v>
      </c>
      <c r="N1995" t="s">
        <v>51</v>
      </c>
      <c r="O1995">
        <v>3</v>
      </c>
      <c r="P1995">
        <v>72608</v>
      </c>
      <c r="Q1995">
        <f t="shared" si="34"/>
        <v>7.2608000000000006E-2</v>
      </c>
      <c r="R1995">
        <v>43252</v>
      </c>
      <c r="S1995" t="s">
        <v>122</v>
      </c>
    </row>
    <row r="1996" spans="1:19">
      <c r="A1996">
        <v>60000093</v>
      </c>
      <c r="B1996">
        <v>33</v>
      </c>
      <c r="C1996" t="s">
        <v>18</v>
      </c>
      <c r="D1996" t="s">
        <v>19</v>
      </c>
      <c r="E1996" t="s">
        <v>64</v>
      </c>
      <c r="F1996" t="s">
        <v>21</v>
      </c>
      <c r="G1996" s="23">
        <v>0.35</v>
      </c>
      <c r="H1996" t="s">
        <v>42</v>
      </c>
      <c r="I1996" t="s">
        <v>62</v>
      </c>
      <c r="J1996" t="s">
        <v>38</v>
      </c>
      <c r="K1996" t="s">
        <v>111</v>
      </c>
      <c r="L1996" t="s">
        <v>26</v>
      </c>
      <c r="M1996" t="s">
        <v>125</v>
      </c>
      <c r="N1996" t="s">
        <v>51</v>
      </c>
      <c r="O1996">
        <v>6</v>
      </c>
      <c r="P1996">
        <v>33947</v>
      </c>
      <c r="Q1996">
        <f t="shared" si="34"/>
        <v>3.3946999999999998E-2</v>
      </c>
      <c r="R1996">
        <v>43252</v>
      </c>
      <c r="S1996" t="s">
        <v>122</v>
      </c>
    </row>
    <row r="1997" spans="1:19">
      <c r="A1997">
        <v>60000094</v>
      </c>
      <c r="B1997">
        <v>37</v>
      </c>
      <c r="C1997" t="s">
        <v>18</v>
      </c>
      <c r="D1997" t="s">
        <v>19</v>
      </c>
      <c r="E1997" t="s">
        <v>85</v>
      </c>
      <c r="F1997" t="s">
        <v>21</v>
      </c>
      <c r="G1997" s="23">
        <v>0.25</v>
      </c>
      <c r="H1997" t="s">
        <v>53</v>
      </c>
      <c r="I1997" t="s">
        <v>60</v>
      </c>
      <c r="J1997" t="s">
        <v>61</v>
      </c>
      <c r="K1997" t="s">
        <v>113</v>
      </c>
      <c r="L1997" t="s">
        <v>26</v>
      </c>
      <c r="M1997" t="s">
        <v>125</v>
      </c>
      <c r="N1997" t="s">
        <v>51</v>
      </c>
      <c r="O1997">
        <v>6</v>
      </c>
      <c r="P1997">
        <v>37975</v>
      </c>
      <c r="Q1997">
        <f t="shared" si="34"/>
        <v>3.7975000000000002E-2</v>
      </c>
      <c r="R1997">
        <v>43252</v>
      </c>
      <c r="S1997" t="s">
        <v>122</v>
      </c>
    </row>
    <row r="1998" spans="1:19">
      <c r="A1998">
        <v>60000095</v>
      </c>
      <c r="B1998">
        <v>23</v>
      </c>
      <c r="C1998" t="s">
        <v>18</v>
      </c>
      <c r="D1998" t="s">
        <v>19</v>
      </c>
      <c r="E1998" t="s">
        <v>44</v>
      </c>
      <c r="F1998" t="s">
        <v>21</v>
      </c>
      <c r="G1998" s="23">
        <v>0.12</v>
      </c>
      <c r="H1998" t="s">
        <v>22</v>
      </c>
      <c r="I1998" t="s">
        <v>45</v>
      </c>
      <c r="J1998" t="s">
        <v>74</v>
      </c>
      <c r="K1998" t="s">
        <v>39</v>
      </c>
      <c r="L1998" t="s">
        <v>26</v>
      </c>
      <c r="M1998" t="s">
        <v>125</v>
      </c>
      <c r="N1998" t="s">
        <v>28</v>
      </c>
      <c r="O1998">
        <v>0</v>
      </c>
      <c r="P1998">
        <v>29675</v>
      </c>
      <c r="Q1998">
        <f t="shared" si="34"/>
        <v>2.9675E-2</v>
      </c>
      <c r="R1998">
        <v>43252</v>
      </c>
      <c r="S1998" t="s">
        <v>122</v>
      </c>
    </row>
    <row r="1999" spans="1:19">
      <c r="A1999">
        <v>60000096</v>
      </c>
      <c r="B1999">
        <v>40</v>
      </c>
      <c r="C1999" t="s">
        <v>33</v>
      </c>
      <c r="D1999" t="s">
        <v>40</v>
      </c>
      <c r="E1999" t="s">
        <v>20</v>
      </c>
      <c r="F1999" t="s">
        <v>21</v>
      </c>
      <c r="G1999" s="23">
        <v>0.31</v>
      </c>
      <c r="H1999" t="s">
        <v>53</v>
      </c>
      <c r="I1999" t="s">
        <v>68</v>
      </c>
      <c r="J1999" t="s">
        <v>58</v>
      </c>
      <c r="K1999" t="s">
        <v>25</v>
      </c>
      <c r="L1999" t="s">
        <v>26</v>
      </c>
      <c r="M1999" t="s">
        <v>125</v>
      </c>
      <c r="N1999" t="s">
        <v>28</v>
      </c>
      <c r="O1999">
        <v>0</v>
      </c>
      <c r="P1999">
        <v>51903</v>
      </c>
      <c r="Q1999">
        <f t="shared" si="34"/>
        <v>5.1902999999999998E-2</v>
      </c>
      <c r="R1999">
        <v>43252</v>
      </c>
      <c r="S1999" t="s">
        <v>122</v>
      </c>
    </row>
    <row r="2000" spans="1:19">
      <c r="A2000">
        <v>60000097</v>
      </c>
      <c r="B2000">
        <v>40</v>
      </c>
      <c r="C2000" t="s">
        <v>33</v>
      </c>
      <c r="D2000" t="s">
        <v>40</v>
      </c>
      <c r="E2000" t="s">
        <v>34</v>
      </c>
      <c r="F2000" t="s">
        <v>21</v>
      </c>
      <c r="G2000" s="23">
        <v>0.19</v>
      </c>
      <c r="H2000" t="s">
        <v>29</v>
      </c>
      <c r="I2000" t="s">
        <v>83</v>
      </c>
      <c r="J2000" t="s">
        <v>88</v>
      </c>
      <c r="K2000" t="s">
        <v>103</v>
      </c>
      <c r="L2000" t="s">
        <v>26</v>
      </c>
      <c r="M2000" t="s">
        <v>125</v>
      </c>
      <c r="N2000" t="s">
        <v>28</v>
      </c>
      <c r="O2000">
        <v>0</v>
      </c>
      <c r="P2000">
        <v>75407</v>
      </c>
      <c r="Q2000">
        <f t="shared" si="34"/>
        <v>7.5407000000000002E-2</v>
      </c>
      <c r="R2000">
        <v>43252</v>
      </c>
      <c r="S2000" t="s">
        <v>122</v>
      </c>
    </row>
    <row r="2001" spans="1:19">
      <c r="A2001">
        <v>60000098</v>
      </c>
      <c r="B2001">
        <v>62</v>
      </c>
      <c r="C2001" t="s">
        <v>33</v>
      </c>
      <c r="D2001" t="s">
        <v>40</v>
      </c>
      <c r="E2001" t="s">
        <v>72</v>
      </c>
      <c r="F2001" t="s">
        <v>21</v>
      </c>
      <c r="G2001" s="23">
        <v>0.35</v>
      </c>
      <c r="H2001" t="s">
        <v>42</v>
      </c>
      <c r="I2001" t="s">
        <v>37</v>
      </c>
      <c r="J2001" t="s">
        <v>78</v>
      </c>
      <c r="K2001" t="s">
        <v>99</v>
      </c>
      <c r="L2001" t="s">
        <v>26</v>
      </c>
      <c r="M2001" t="s">
        <v>125</v>
      </c>
      <c r="N2001" t="s">
        <v>28</v>
      </c>
      <c r="O2001">
        <v>0</v>
      </c>
      <c r="P2001">
        <v>53325</v>
      </c>
      <c r="Q2001">
        <f t="shared" si="34"/>
        <v>5.3324999999999997E-2</v>
      </c>
      <c r="R2001">
        <v>43252</v>
      </c>
      <c r="S2001" t="s">
        <v>122</v>
      </c>
    </row>
    <row r="2002" spans="1:19">
      <c r="A2002">
        <v>60000099</v>
      </c>
      <c r="B2002">
        <v>45</v>
      </c>
      <c r="C2002" t="s">
        <v>18</v>
      </c>
      <c r="D2002" t="s">
        <v>19</v>
      </c>
      <c r="E2002" t="s">
        <v>34</v>
      </c>
      <c r="F2002" t="s">
        <v>21</v>
      </c>
      <c r="G2002" s="23">
        <v>0.36</v>
      </c>
      <c r="H2002" t="s">
        <v>42</v>
      </c>
      <c r="I2002" t="s">
        <v>68</v>
      </c>
      <c r="J2002" t="s">
        <v>74</v>
      </c>
      <c r="K2002" t="s">
        <v>92</v>
      </c>
      <c r="L2002" t="s">
        <v>26</v>
      </c>
      <c r="M2002" t="s">
        <v>125</v>
      </c>
      <c r="N2002" t="s">
        <v>51</v>
      </c>
      <c r="O2002">
        <v>7</v>
      </c>
      <c r="P2002">
        <v>67527</v>
      </c>
      <c r="Q2002">
        <f t="shared" si="34"/>
        <v>6.7527000000000004E-2</v>
      </c>
      <c r="R2002">
        <v>43252</v>
      </c>
      <c r="S2002" t="s">
        <v>122</v>
      </c>
    </row>
    <row r="2003" spans="1:19">
      <c r="A2003">
        <v>60000100</v>
      </c>
      <c r="B2003">
        <v>58</v>
      </c>
      <c r="C2003" t="s">
        <v>33</v>
      </c>
      <c r="D2003" t="s">
        <v>40</v>
      </c>
      <c r="E2003" t="s">
        <v>85</v>
      </c>
      <c r="F2003" t="s">
        <v>21</v>
      </c>
      <c r="G2003" s="23">
        <v>0.17</v>
      </c>
      <c r="H2003" t="s">
        <v>22</v>
      </c>
      <c r="I2003" t="s">
        <v>83</v>
      </c>
      <c r="J2003" t="s">
        <v>38</v>
      </c>
      <c r="K2003" t="s">
        <v>84</v>
      </c>
      <c r="L2003" t="s">
        <v>26</v>
      </c>
      <c r="M2003" t="s">
        <v>125</v>
      </c>
      <c r="N2003" t="s">
        <v>51</v>
      </c>
      <c r="O2003">
        <v>5</v>
      </c>
      <c r="P2003">
        <v>41676</v>
      </c>
      <c r="Q2003">
        <f t="shared" si="34"/>
        <v>4.1675999999999998E-2</v>
      </c>
      <c r="R2003">
        <v>43252</v>
      </c>
      <c r="S2003" t="s">
        <v>122</v>
      </c>
    </row>
    <row r="2004" spans="1:19">
      <c r="A2004">
        <v>60000101</v>
      </c>
      <c r="B2004">
        <v>28</v>
      </c>
      <c r="C2004" t="s">
        <v>33</v>
      </c>
      <c r="D2004" t="s">
        <v>19</v>
      </c>
      <c r="E2004" t="s">
        <v>67</v>
      </c>
      <c r="F2004" t="s">
        <v>21</v>
      </c>
      <c r="G2004" s="23">
        <v>0.27</v>
      </c>
      <c r="H2004" t="s">
        <v>53</v>
      </c>
      <c r="I2004" t="s">
        <v>57</v>
      </c>
      <c r="J2004" t="s">
        <v>58</v>
      </c>
      <c r="K2004" t="s">
        <v>113</v>
      </c>
      <c r="L2004" t="s">
        <v>26</v>
      </c>
      <c r="M2004" t="s">
        <v>125</v>
      </c>
      <c r="N2004" t="s">
        <v>28</v>
      </c>
      <c r="O2004">
        <v>0</v>
      </c>
      <c r="P2004">
        <v>83260</v>
      </c>
      <c r="Q2004">
        <f t="shared" si="34"/>
        <v>8.3260000000000001E-2</v>
      </c>
      <c r="R2004">
        <v>43252</v>
      </c>
      <c r="S2004" t="s">
        <v>122</v>
      </c>
    </row>
    <row r="2005" spans="1:19">
      <c r="A2005">
        <v>60000102</v>
      </c>
      <c r="B2005">
        <v>49</v>
      </c>
      <c r="C2005" t="s">
        <v>33</v>
      </c>
      <c r="D2005" t="s">
        <v>40</v>
      </c>
      <c r="E2005" t="s">
        <v>64</v>
      </c>
      <c r="F2005" t="s">
        <v>21</v>
      </c>
      <c r="G2005" s="23">
        <v>0.28999999999999998</v>
      </c>
      <c r="H2005" t="s">
        <v>53</v>
      </c>
      <c r="I2005" t="s">
        <v>45</v>
      </c>
      <c r="J2005" t="s">
        <v>69</v>
      </c>
      <c r="K2005" t="s">
        <v>89</v>
      </c>
      <c r="L2005" t="s">
        <v>26</v>
      </c>
      <c r="M2005" t="s">
        <v>125</v>
      </c>
      <c r="N2005" t="s">
        <v>51</v>
      </c>
      <c r="O2005">
        <v>0</v>
      </c>
      <c r="P2005">
        <v>42293</v>
      </c>
      <c r="Q2005">
        <f t="shared" si="34"/>
        <v>4.2292999999999997E-2</v>
      </c>
      <c r="R2005">
        <v>43252</v>
      </c>
      <c r="S2005" t="s">
        <v>122</v>
      </c>
    </row>
    <row r="2006" spans="1:19">
      <c r="A2006">
        <v>60000103</v>
      </c>
      <c r="B2006">
        <v>41</v>
      </c>
      <c r="C2006" t="s">
        <v>33</v>
      </c>
      <c r="D2006" t="s">
        <v>40</v>
      </c>
      <c r="E2006" t="s">
        <v>67</v>
      </c>
      <c r="F2006" t="s">
        <v>21</v>
      </c>
      <c r="G2006" s="23">
        <v>0.23</v>
      </c>
      <c r="H2006" t="s">
        <v>29</v>
      </c>
      <c r="I2006" t="s">
        <v>30</v>
      </c>
      <c r="J2006" t="s">
        <v>38</v>
      </c>
      <c r="K2006" t="s">
        <v>39</v>
      </c>
      <c r="L2006" t="s">
        <v>26</v>
      </c>
      <c r="M2006" t="s">
        <v>125</v>
      </c>
      <c r="N2006" t="s">
        <v>51</v>
      </c>
      <c r="O2006">
        <v>4</v>
      </c>
      <c r="P2006">
        <v>31530</v>
      </c>
      <c r="Q2006">
        <f t="shared" si="34"/>
        <v>3.1530000000000002E-2</v>
      </c>
      <c r="R2006">
        <v>43252</v>
      </c>
      <c r="S2006" t="s">
        <v>122</v>
      </c>
    </row>
    <row r="2007" spans="1:19">
      <c r="A2007">
        <v>60000104</v>
      </c>
      <c r="B2007">
        <v>57</v>
      </c>
      <c r="C2007" t="s">
        <v>18</v>
      </c>
      <c r="D2007" t="s">
        <v>19</v>
      </c>
      <c r="E2007" t="s">
        <v>52</v>
      </c>
      <c r="F2007" t="s">
        <v>21</v>
      </c>
      <c r="G2007" s="23">
        <v>0.21</v>
      </c>
      <c r="H2007" t="s">
        <v>29</v>
      </c>
      <c r="I2007" t="s">
        <v>57</v>
      </c>
      <c r="J2007" t="s">
        <v>58</v>
      </c>
      <c r="K2007" t="s">
        <v>109</v>
      </c>
      <c r="L2007" t="s">
        <v>26</v>
      </c>
      <c r="M2007" t="s">
        <v>125</v>
      </c>
      <c r="N2007" t="s">
        <v>28</v>
      </c>
      <c r="O2007">
        <v>0</v>
      </c>
      <c r="P2007">
        <v>80431</v>
      </c>
      <c r="Q2007">
        <f t="shared" si="34"/>
        <v>8.0431000000000002E-2</v>
      </c>
      <c r="R2007">
        <v>43252</v>
      </c>
      <c r="S2007" t="s">
        <v>122</v>
      </c>
    </row>
    <row r="2008" spans="1:19">
      <c r="A2008">
        <v>60000105</v>
      </c>
      <c r="B2008">
        <v>56</v>
      </c>
      <c r="C2008" t="s">
        <v>18</v>
      </c>
      <c r="D2008" t="s">
        <v>19</v>
      </c>
      <c r="E2008" t="s">
        <v>44</v>
      </c>
      <c r="F2008" t="s">
        <v>21</v>
      </c>
      <c r="G2008" s="23">
        <v>0.36</v>
      </c>
      <c r="H2008" t="s">
        <v>42</v>
      </c>
      <c r="I2008" t="s">
        <v>70</v>
      </c>
      <c r="J2008" t="s">
        <v>66</v>
      </c>
      <c r="K2008" t="s">
        <v>106</v>
      </c>
      <c r="L2008" t="s">
        <v>26</v>
      </c>
      <c r="M2008" t="s">
        <v>125</v>
      </c>
      <c r="N2008" t="s">
        <v>51</v>
      </c>
      <c r="O2008">
        <v>2</v>
      </c>
      <c r="P2008">
        <v>27023</v>
      </c>
      <c r="Q2008">
        <f t="shared" si="34"/>
        <v>2.7022999999999998E-2</v>
      </c>
      <c r="R2008">
        <v>43252</v>
      </c>
      <c r="S2008" t="s">
        <v>122</v>
      </c>
    </row>
    <row r="2009" spans="1:19">
      <c r="A2009">
        <v>60000106</v>
      </c>
      <c r="B2009">
        <v>34</v>
      </c>
      <c r="C2009" t="s">
        <v>18</v>
      </c>
      <c r="D2009" t="s">
        <v>19</v>
      </c>
      <c r="E2009" t="s">
        <v>52</v>
      </c>
      <c r="F2009" t="s">
        <v>21</v>
      </c>
      <c r="G2009" s="23">
        <v>0.11</v>
      </c>
      <c r="H2009" t="s">
        <v>36</v>
      </c>
      <c r="I2009" t="s">
        <v>62</v>
      </c>
      <c r="J2009" t="s">
        <v>74</v>
      </c>
      <c r="K2009" t="s">
        <v>108</v>
      </c>
      <c r="L2009" t="s">
        <v>26</v>
      </c>
      <c r="M2009" t="s">
        <v>125</v>
      </c>
      <c r="N2009" t="s">
        <v>51</v>
      </c>
      <c r="O2009">
        <v>0</v>
      </c>
      <c r="P2009">
        <v>30628</v>
      </c>
      <c r="Q2009">
        <f t="shared" si="34"/>
        <v>3.0627999999999999E-2</v>
      </c>
      <c r="R2009">
        <v>43252</v>
      </c>
      <c r="S2009" t="s">
        <v>122</v>
      </c>
    </row>
    <row r="2010" spans="1:19">
      <c r="A2010">
        <v>60000107</v>
      </c>
      <c r="B2010">
        <v>48</v>
      </c>
      <c r="C2010" t="s">
        <v>33</v>
      </c>
      <c r="D2010" t="s">
        <v>19</v>
      </c>
      <c r="E2010" t="s">
        <v>34</v>
      </c>
      <c r="F2010" t="s">
        <v>21</v>
      </c>
      <c r="G2010" s="23">
        <v>0.11</v>
      </c>
      <c r="H2010" t="s">
        <v>36</v>
      </c>
      <c r="I2010" t="s">
        <v>80</v>
      </c>
      <c r="J2010" t="s">
        <v>61</v>
      </c>
      <c r="K2010" t="s">
        <v>90</v>
      </c>
      <c r="L2010" t="s">
        <v>26</v>
      </c>
      <c r="M2010" t="s">
        <v>125</v>
      </c>
      <c r="N2010" t="s">
        <v>51</v>
      </c>
      <c r="O2010">
        <v>7</v>
      </c>
      <c r="P2010">
        <v>84173</v>
      </c>
      <c r="Q2010">
        <f t="shared" si="34"/>
        <v>8.4172999999999998E-2</v>
      </c>
      <c r="R2010">
        <v>43252</v>
      </c>
      <c r="S2010" t="s">
        <v>122</v>
      </c>
    </row>
    <row r="2011" spans="1:19">
      <c r="A2011">
        <v>60000108</v>
      </c>
      <c r="B2011">
        <v>63</v>
      </c>
      <c r="C2011" t="s">
        <v>33</v>
      </c>
      <c r="D2011" t="s">
        <v>19</v>
      </c>
      <c r="E2011" t="s">
        <v>85</v>
      </c>
      <c r="F2011" t="s">
        <v>21</v>
      </c>
      <c r="G2011" s="23">
        <v>0.28000000000000003</v>
      </c>
      <c r="H2011" t="s">
        <v>53</v>
      </c>
      <c r="I2011" t="s">
        <v>45</v>
      </c>
      <c r="J2011" t="s">
        <v>61</v>
      </c>
      <c r="K2011" t="s">
        <v>102</v>
      </c>
      <c r="L2011" t="s">
        <v>26</v>
      </c>
      <c r="M2011" t="s">
        <v>125</v>
      </c>
      <c r="N2011" t="s">
        <v>51</v>
      </c>
      <c r="O2011">
        <v>4</v>
      </c>
      <c r="P2011">
        <v>40057</v>
      </c>
      <c r="Q2011">
        <f t="shared" si="34"/>
        <v>4.0057000000000002E-2</v>
      </c>
      <c r="R2011">
        <v>43252</v>
      </c>
      <c r="S2011" t="s">
        <v>122</v>
      </c>
    </row>
    <row r="2012" spans="1:19">
      <c r="A2012">
        <v>60000109</v>
      </c>
      <c r="B2012">
        <v>20</v>
      </c>
      <c r="C2012" t="s">
        <v>33</v>
      </c>
      <c r="D2012" t="s">
        <v>40</v>
      </c>
      <c r="E2012" t="s">
        <v>75</v>
      </c>
      <c r="F2012" t="s">
        <v>21</v>
      </c>
      <c r="G2012" s="23">
        <v>0.32</v>
      </c>
      <c r="H2012" t="s">
        <v>42</v>
      </c>
      <c r="I2012" t="s">
        <v>62</v>
      </c>
      <c r="J2012" t="s">
        <v>88</v>
      </c>
      <c r="K2012" t="s">
        <v>39</v>
      </c>
      <c r="L2012" t="s">
        <v>26</v>
      </c>
      <c r="M2012" t="s">
        <v>125</v>
      </c>
      <c r="N2012" t="s">
        <v>51</v>
      </c>
      <c r="O2012">
        <v>0</v>
      </c>
      <c r="P2012">
        <v>31074</v>
      </c>
      <c r="Q2012">
        <f t="shared" si="34"/>
        <v>3.1074000000000001E-2</v>
      </c>
      <c r="R2012">
        <v>43252</v>
      </c>
      <c r="S2012" t="s">
        <v>122</v>
      </c>
    </row>
    <row r="2013" spans="1:19">
      <c r="A2013">
        <v>60000110</v>
      </c>
      <c r="B2013">
        <v>50</v>
      </c>
      <c r="C2013" t="s">
        <v>18</v>
      </c>
      <c r="D2013" t="s">
        <v>40</v>
      </c>
      <c r="E2013" t="s">
        <v>20</v>
      </c>
      <c r="F2013" t="s">
        <v>21</v>
      </c>
      <c r="G2013" s="23">
        <v>0.35</v>
      </c>
      <c r="H2013" t="s">
        <v>42</v>
      </c>
      <c r="I2013" t="s">
        <v>80</v>
      </c>
      <c r="J2013" t="s">
        <v>91</v>
      </c>
      <c r="K2013" t="s">
        <v>114</v>
      </c>
      <c r="L2013" t="s">
        <v>26</v>
      </c>
      <c r="M2013" t="s">
        <v>125</v>
      </c>
      <c r="N2013" t="s">
        <v>51</v>
      </c>
      <c r="O2013">
        <v>5</v>
      </c>
      <c r="P2013">
        <v>40029</v>
      </c>
      <c r="Q2013">
        <f t="shared" si="34"/>
        <v>4.0029000000000002E-2</v>
      </c>
      <c r="R2013">
        <v>43252</v>
      </c>
      <c r="S2013" t="s">
        <v>122</v>
      </c>
    </row>
    <row r="2014" spans="1:19">
      <c r="A2014">
        <v>60000111</v>
      </c>
      <c r="B2014">
        <v>51</v>
      </c>
      <c r="C2014" t="s">
        <v>18</v>
      </c>
      <c r="D2014" t="s">
        <v>19</v>
      </c>
      <c r="E2014" t="s">
        <v>56</v>
      </c>
      <c r="F2014" t="s">
        <v>21</v>
      </c>
      <c r="G2014" s="23">
        <v>0.22</v>
      </c>
      <c r="H2014" t="s">
        <v>29</v>
      </c>
      <c r="I2014" t="s">
        <v>76</v>
      </c>
      <c r="J2014" t="s">
        <v>91</v>
      </c>
      <c r="K2014" t="s">
        <v>62</v>
      </c>
      <c r="L2014" t="s">
        <v>26</v>
      </c>
      <c r="M2014" t="s">
        <v>125</v>
      </c>
      <c r="N2014" t="s">
        <v>51</v>
      </c>
      <c r="O2014">
        <v>0</v>
      </c>
      <c r="P2014">
        <v>63650</v>
      </c>
      <c r="Q2014">
        <f t="shared" si="34"/>
        <v>6.3649999999999998E-2</v>
      </c>
      <c r="R2014">
        <v>43252</v>
      </c>
      <c r="S2014" t="s">
        <v>122</v>
      </c>
    </row>
    <row r="2015" spans="1:19">
      <c r="A2015">
        <v>60000112</v>
      </c>
      <c r="B2015">
        <v>63</v>
      </c>
      <c r="C2015" t="s">
        <v>18</v>
      </c>
      <c r="D2015" t="s">
        <v>40</v>
      </c>
      <c r="E2015" t="s">
        <v>34</v>
      </c>
      <c r="F2015" t="s">
        <v>21</v>
      </c>
      <c r="G2015" s="23">
        <v>0.28000000000000003</v>
      </c>
      <c r="H2015" t="s">
        <v>53</v>
      </c>
      <c r="I2015" t="s">
        <v>60</v>
      </c>
      <c r="J2015" t="s">
        <v>38</v>
      </c>
      <c r="K2015" t="s">
        <v>84</v>
      </c>
      <c r="L2015" t="s">
        <v>26</v>
      </c>
      <c r="M2015" t="s">
        <v>125</v>
      </c>
      <c r="N2015" t="s">
        <v>28</v>
      </c>
      <c r="O2015">
        <v>0</v>
      </c>
      <c r="P2015">
        <v>78866</v>
      </c>
      <c r="Q2015">
        <f t="shared" si="34"/>
        <v>7.8866000000000006E-2</v>
      </c>
      <c r="R2015">
        <v>43252</v>
      </c>
      <c r="S2015" t="s">
        <v>122</v>
      </c>
    </row>
    <row r="2016" spans="1:19">
      <c r="A2016">
        <v>60000113</v>
      </c>
      <c r="B2016">
        <v>53</v>
      </c>
      <c r="C2016" t="s">
        <v>33</v>
      </c>
      <c r="D2016" t="s">
        <v>40</v>
      </c>
      <c r="E2016" t="s">
        <v>20</v>
      </c>
      <c r="F2016" t="s">
        <v>21</v>
      </c>
      <c r="G2016" s="23">
        <v>0.25</v>
      </c>
      <c r="H2016" t="s">
        <v>53</v>
      </c>
      <c r="I2016" t="s">
        <v>30</v>
      </c>
      <c r="J2016" t="s">
        <v>88</v>
      </c>
      <c r="K2016" t="s">
        <v>62</v>
      </c>
      <c r="L2016" t="s">
        <v>26</v>
      </c>
      <c r="M2016" t="s">
        <v>125</v>
      </c>
      <c r="N2016" t="s">
        <v>51</v>
      </c>
      <c r="O2016">
        <v>3</v>
      </c>
      <c r="P2016">
        <v>51138</v>
      </c>
      <c r="Q2016">
        <f t="shared" si="34"/>
        <v>5.1138000000000003E-2</v>
      </c>
      <c r="R2016">
        <v>43252</v>
      </c>
      <c r="S2016" t="s">
        <v>122</v>
      </c>
    </row>
    <row r="2017" spans="1:19">
      <c r="A2017">
        <v>60000114</v>
      </c>
      <c r="B2017">
        <v>50</v>
      </c>
      <c r="C2017" t="s">
        <v>33</v>
      </c>
      <c r="D2017" t="s">
        <v>19</v>
      </c>
      <c r="E2017" t="s">
        <v>75</v>
      </c>
      <c r="F2017" t="s">
        <v>21</v>
      </c>
      <c r="G2017" s="23">
        <v>0.19</v>
      </c>
      <c r="H2017" t="s">
        <v>29</v>
      </c>
      <c r="I2017" t="s">
        <v>70</v>
      </c>
      <c r="J2017" t="s">
        <v>91</v>
      </c>
      <c r="K2017" t="s">
        <v>117</v>
      </c>
      <c r="L2017" t="s">
        <v>26</v>
      </c>
      <c r="M2017" t="s">
        <v>125</v>
      </c>
      <c r="N2017" t="s">
        <v>51</v>
      </c>
      <c r="O2017">
        <v>6</v>
      </c>
      <c r="P2017">
        <v>66491</v>
      </c>
      <c r="Q2017">
        <f t="shared" si="34"/>
        <v>6.6490999999999995E-2</v>
      </c>
      <c r="R2017">
        <v>43252</v>
      </c>
      <c r="S2017" t="s">
        <v>122</v>
      </c>
    </row>
    <row r="2018" spans="1:19">
      <c r="A2018">
        <v>60000115</v>
      </c>
      <c r="B2018">
        <v>31</v>
      </c>
      <c r="C2018" t="s">
        <v>33</v>
      </c>
      <c r="D2018" t="s">
        <v>19</v>
      </c>
      <c r="E2018" t="s">
        <v>44</v>
      </c>
      <c r="F2018" t="s">
        <v>21</v>
      </c>
      <c r="G2018" s="23">
        <v>0.17</v>
      </c>
      <c r="H2018" t="s">
        <v>22</v>
      </c>
      <c r="I2018" t="s">
        <v>45</v>
      </c>
      <c r="J2018" t="s">
        <v>88</v>
      </c>
      <c r="K2018" t="s">
        <v>113</v>
      </c>
      <c r="L2018" t="s">
        <v>26</v>
      </c>
      <c r="M2018" t="s">
        <v>125</v>
      </c>
      <c r="N2018" t="s">
        <v>51</v>
      </c>
      <c r="O2018">
        <v>3</v>
      </c>
      <c r="P2018">
        <v>48516</v>
      </c>
      <c r="Q2018">
        <f t="shared" si="34"/>
        <v>4.8515999999999997E-2</v>
      </c>
      <c r="R2018">
        <v>43252</v>
      </c>
      <c r="S2018" t="s">
        <v>122</v>
      </c>
    </row>
    <row r="2019" spans="1:19">
      <c r="A2019">
        <v>60000116</v>
      </c>
      <c r="B2019">
        <v>36</v>
      </c>
      <c r="C2019" t="s">
        <v>18</v>
      </c>
      <c r="D2019" t="s">
        <v>40</v>
      </c>
      <c r="E2019" t="s">
        <v>72</v>
      </c>
      <c r="F2019" t="s">
        <v>21</v>
      </c>
      <c r="G2019" s="23">
        <v>0.23</v>
      </c>
      <c r="H2019" t="s">
        <v>29</v>
      </c>
      <c r="I2019" t="s">
        <v>80</v>
      </c>
      <c r="J2019" t="s">
        <v>61</v>
      </c>
      <c r="K2019" t="s">
        <v>97</v>
      </c>
      <c r="L2019" t="s">
        <v>26</v>
      </c>
      <c r="M2019" t="s">
        <v>125</v>
      </c>
      <c r="N2019" t="s">
        <v>28</v>
      </c>
      <c r="O2019">
        <v>0</v>
      </c>
      <c r="P2019">
        <v>58625</v>
      </c>
      <c r="Q2019">
        <f t="shared" si="34"/>
        <v>5.8624999999999997E-2</v>
      </c>
      <c r="R2019">
        <v>43252</v>
      </c>
      <c r="S2019" t="s">
        <v>122</v>
      </c>
    </row>
    <row r="2020" spans="1:19">
      <c r="A2020">
        <v>60000117</v>
      </c>
      <c r="B2020">
        <v>38</v>
      </c>
      <c r="C2020" t="s">
        <v>33</v>
      </c>
      <c r="D2020" t="s">
        <v>19</v>
      </c>
      <c r="E2020" t="s">
        <v>52</v>
      </c>
      <c r="F2020" t="s">
        <v>21</v>
      </c>
      <c r="G2020" s="23">
        <v>0.2</v>
      </c>
      <c r="H2020" t="s">
        <v>29</v>
      </c>
      <c r="I2020" t="s">
        <v>76</v>
      </c>
      <c r="J2020" t="s">
        <v>54</v>
      </c>
      <c r="K2020" t="s">
        <v>97</v>
      </c>
      <c r="L2020" t="s">
        <v>26</v>
      </c>
      <c r="M2020" t="s">
        <v>125</v>
      </c>
      <c r="N2020" t="s">
        <v>51</v>
      </c>
      <c r="O2020">
        <v>1</v>
      </c>
      <c r="P2020">
        <v>35181</v>
      </c>
      <c r="Q2020">
        <f t="shared" si="34"/>
        <v>3.5180999999999997E-2</v>
      </c>
      <c r="R2020">
        <v>43252</v>
      </c>
      <c r="S2020" t="s">
        <v>122</v>
      </c>
    </row>
    <row r="2021" spans="1:19">
      <c r="A2021">
        <v>60000118</v>
      </c>
      <c r="B2021">
        <v>26</v>
      </c>
      <c r="C2021" t="s">
        <v>18</v>
      </c>
      <c r="D2021" t="s">
        <v>19</v>
      </c>
      <c r="E2021" t="s">
        <v>64</v>
      </c>
      <c r="F2021" t="s">
        <v>21</v>
      </c>
      <c r="G2021" s="23">
        <v>0.28000000000000003</v>
      </c>
      <c r="H2021" t="s">
        <v>53</v>
      </c>
      <c r="I2021" t="s">
        <v>83</v>
      </c>
      <c r="J2021" t="s">
        <v>66</v>
      </c>
      <c r="K2021" t="s">
        <v>43</v>
      </c>
      <c r="L2021" t="s">
        <v>26</v>
      </c>
      <c r="M2021" t="s">
        <v>125</v>
      </c>
      <c r="N2021" t="s">
        <v>28</v>
      </c>
      <c r="O2021">
        <v>0</v>
      </c>
      <c r="P2021">
        <v>30585</v>
      </c>
      <c r="Q2021">
        <f t="shared" si="34"/>
        <v>3.0585000000000001E-2</v>
      </c>
      <c r="R2021">
        <v>43252</v>
      </c>
      <c r="S2021" t="s">
        <v>122</v>
      </c>
    </row>
    <row r="2022" spans="1:19">
      <c r="A2022">
        <v>60000119</v>
      </c>
      <c r="B2022">
        <v>34</v>
      </c>
      <c r="C2022" t="s">
        <v>18</v>
      </c>
      <c r="D2022" t="s">
        <v>40</v>
      </c>
      <c r="E2022" t="s">
        <v>48</v>
      </c>
      <c r="F2022" t="s">
        <v>21</v>
      </c>
      <c r="G2022" s="23">
        <v>0.37</v>
      </c>
      <c r="H2022" t="s">
        <v>42</v>
      </c>
      <c r="I2022" t="s">
        <v>23</v>
      </c>
      <c r="J2022" t="s">
        <v>54</v>
      </c>
      <c r="K2022" t="s">
        <v>104</v>
      </c>
      <c r="L2022" t="s">
        <v>26</v>
      </c>
      <c r="M2022" t="s">
        <v>125</v>
      </c>
      <c r="N2022" t="s">
        <v>28</v>
      </c>
      <c r="O2022">
        <v>0</v>
      </c>
      <c r="P2022">
        <v>52519</v>
      </c>
      <c r="Q2022">
        <f t="shared" si="34"/>
        <v>5.2519000000000003E-2</v>
      </c>
      <c r="R2022">
        <v>43252</v>
      </c>
      <c r="S2022" t="s">
        <v>122</v>
      </c>
    </row>
    <row r="2023" spans="1:19">
      <c r="A2023">
        <v>60000120</v>
      </c>
      <c r="B2023">
        <v>35</v>
      </c>
      <c r="C2023" t="s">
        <v>18</v>
      </c>
      <c r="D2023" t="s">
        <v>19</v>
      </c>
      <c r="E2023" t="s">
        <v>34</v>
      </c>
      <c r="F2023" t="s">
        <v>21</v>
      </c>
      <c r="G2023" s="23">
        <v>0.37</v>
      </c>
      <c r="H2023" t="s">
        <v>42</v>
      </c>
      <c r="I2023" t="s">
        <v>65</v>
      </c>
      <c r="J2023" t="s">
        <v>54</v>
      </c>
      <c r="K2023" t="s">
        <v>47</v>
      </c>
      <c r="L2023" t="s">
        <v>26</v>
      </c>
      <c r="M2023" t="s">
        <v>125</v>
      </c>
      <c r="N2023" t="s">
        <v>28</v>
      </c>
      <c r="O2023">
        <v>0</v>
      </c>
      <c r="P2023">
        <v>33470</v>
      </c>
      <c r="Q2023">
        <f t="shared" si="34"/>
        <v>3.347E-2</v>
      </c>
      <c r="R2023">
        <v>43252</v>
      </c>
      <c r="S2023" t="s">
        <v>122</v>
      </c>
    </row>
    <row r="2024" spans="1:19">
      <c r="A2024">
        <v>60000121</v>
      </c>
      <c r="B2024">
        <v>48</v>
      </c>
      <c r="C2024" t="s">
        <v>18</v>
      </c>
      <c r="D2024" t="s">
        <v>19</v>
      </c>
      <c r="E2024" t="s">
        <v>56</v>
      </c>
      <c r="F2024" t="s">
        <v>21</v>
      </c>
      <c r="G2024" s="23">
        <v>0.2</v>
      </c>
      <c r="H2024" t="s">
        <v>29</v>
      </c>
      <c r="I2024" t="s">
        <v>70</v>
      </c>
      <c r="J2024" t="s">
        <v>31</v>
      </c>
      <c r="K2024" t="s">
        <v>111</v>
      </c>
      <c r="L2024" t="s">
        <v>26</v>
      </c>
      <c r="M2024" t="s">
        <v>125</v>
      </c>
      <c r="N2024" t="s">
        <v>28</v>
      </c>
      <c r="O2024">
        <v>0</v>
      </c>
      <c r="P2024">
        <v>35876</v>
      </c>
      <c r="Q2024">
        <f t="shared" si="34"/>
        <v>3.5875999999999998E-2</v>
      </c>
      <c r="R2024">
        <v>43252</v>
      </c>
      <c r="S2024" t="s">
        <v>122</v>
      </c>
    </row>
    <row r="2025" spans="1:19">
      <c r="A2025">
        <v>60000122</v>
      </c>
      <c r="B2025">
        <v>62</v>
      </c>
      <c r="C2025" t="s">
        <v>33</v>
      </c>
      <c r="D2025" t="s">
        <v>40</v>
      </c>
      <c r="E2025" t="s">
        <v>56</v>
      </c>
      <c r="F2025" t="s">
        <v>21</v>
      </c>
      <c r="G2025" s="23">
        <v>0.1</v>
      </c>
      <c r="H2025" t="s">
        <v>36</v>
      </c>
      <c r="I2025" t="s">
        <v>68</v>
      </c>
      <c r="J2025" t="s">
        <v>46</v>
      </c>
      <c r="K2025" t="s">
        <v>32</v>
      </c>
      <c r="L2025" t="s">
        <v>26</v>
      </c>
      <c r="M2025" t="s">
        <v>125</v>
      </c>
      <c r="N2025" t="s">
        <v>28</v>
      </c>
      <c r="O2025">
        <v>0</v>
      </c>
      <c r="P2025">
        <v>27806</v>
      </c>
      <c r="Q2025">
        <f t="shared" si="34"/>
        <v>2.7806000000000001E-2</v>
      </c>
      <c r="R2025">
        <v>43252</v>
      </c>
      <c r="S2025" t="s">
        <v>122</v>
      </c>
    </row>
    <row r="2026" spans="1:19">
      <c r="A2026">
        <v>60000123</v>
      </c>
      <c r="B2026">
        <v>63</v>
      </c>
      <c r="C2026" t="s">
        <v>33</v>
      </c>
      <c r="D2026" t="s">
        <v>19</v>
      </c>
      <c r="E2026" t="s">
        <v>48</v>
      </c>
      <c r="F2026" t="s">
        <v>21</v>
      </c>
      <c r="G2026" s="23">
        <v>0.21</v>
      </c>
      <c r="H2026" t="s">
        <v>29</v>
      </c>
      <c r="I2026" t="s">
        <v>45</v>
      </c>
      <c r="J2026" t="s">
        <v>91</v>
      </c>
      <c r="K2026" t="s">
        <v>99</v>
      </c>
      <c r="L2026" t="s">
        <v>26</v>
      </c>
      <c r="M2026" t="s">
        <v>125</v>
      </c>
      <c r="N2026" t="s">
        <v>51</v>
      </c>
      <c r="O2026">
        <v>7</v>
      </c>
      <c r="P2026">
        <v>63422</v>
      </c>
      <c r="Q2026">
        <f t="shared" si="34"/>
        <v>6.3422000000000006E-2</v>
      </c>
      <c r="R2026">
        <v>43252</v>
      </c>
      <c r="S2026" t="s">
        <v>122</v>
      </c>
    </row>
    <row r="2027" spans="1:19">
      <c r="A2027">
        <v>60000124</v>
      </c>
      <c r="B2027">
        <v>40</v>
      </c>
      <c r="C2027" t="s">
        <v>33</v>
      </c>
      <c r="D2027" t="s">
        <v>19</v>
      </c>
      <c r="E2027" t="s">
        <v>85</v>
      </c>
      <c r="F2027" t="s">
        <v>21</v>
      </c>
      <c r="G2027" s="23">
        <v>0.21</v>
      </c>
      <c r="H2027" t="s">
        <v>29</v>
      </c>
      <c r="I2027" t="s">
        <v>70</v>
      </c>
      <c r="J2027" t="s">
        <v>66</v>
      </c>
      <c r="K2027" t="s">
        <v>100</v>
      </c>
      <c r="L2027" t="s">
        <v>26</v>
      </c>
      <c r="M2027" t="s">
        <v>125</v>
      </c>
      <c r="N2027" t="s">
        <v>51</v>
      </c>
      <c r="O2027">
        <v>4</v>
      </c>
      <c r="P2027">
        <v>52615</v>
      </c>
      <c r="Q2027">
        <f t="shared" si="34"/>
        <v>5.2615000000000002E-2</v>
      </c>
      <c r="R2027">
        <v>43252</v>
      </c>
      <c r="S2027" t="s">
        <v>122</v>
      </c>
    </row>
    <row r="2028" spans="1:19">
      <c r="A2028">
        <v>60000125</v>
      </c>
      <c r="B2028">
        <v>32</v>
      </c>
      <c r="C2028" t="s">
        <v>33</v>
      </c>
      <c r="D2028" t="s">
        <v>19</v>
      </c>
      <c r="E2028" t="s">
        <v>41</v>
      </c>
      <c r="F2028" t="s">
        <v>21</v>
      </c>
      <c r="G2028" s="23">
        <v>0.35</v>
      </c>
      <c r="H2028" t="s">
        <v>42</v>
      </c>
      <c r="I2028" t="s">
        <v>45</v>
      </c>
      <c r="J2028" t="s">
        <v>74</v>
      </c>
      <c r="K2028" t="s">
        <v>93</v>
      </c>
      <c r="L2028" t="s">
        <v>26</v>
      </c>
      <c r="M2028" t="s">
        <v>125</v>
      </c>
      <c r="N2028" t="s">
        <v>28</v>
      </c>
      <c r="O2028">
        <v>0</v>
      </c>
      <c r="P2028">
        <v>77731</v>
      </c>
      <c r="Q2028">
        <f t="shared" si="34"/>
        <v>7.7730999999999995E-2</v>
      </c>
      <c r="R2028">
        <v>43252</v>
      </c>
      <c r="S2028" t="s">
        <v>122</v>
      </c>
    </row>
    <row r="2029" spans="1:19">
      <c r="A2029">
        <v>60000126</v>
      </c>
      <c r="B2029">
        <v>54</v>
      </c>
      <c r="C2029" t="s">
        <v>33</v>
      </c>
      <c r="D2029" t="s">
        <v>40</v>
      </c>
      <c r="E2029" t="s">
        <v>75</v>
      </c>
      <c r="F2029" t="s">
        <v>21</v>
      </c>
      <c r="G2029" s="23">
        <v>0.33</v>
      </c>
      <c r="H2029" t="s">
        <v>42</v>
      </c>
      <c r="I2029" t="s">
        <v>76</v>
      </c>
      <c r="J2029" t="s">
        <v>54</v>
      </c>
      <c r="K2029" t="s">
        <v>89</v>
      </c>
      <c r="L2029" t="s">
        <v>26</v>
      </c>
      <c r="M2029" t="s">
        <v>125</v>
      </c>
      <c r="N2029" t="s">
        <v>28</v>
      </c>
      <c r="O2029">
        <v>0</v>
      </c>
      <c r="P2029">
        <v>58121</v>
      </c>
      <c r="Q2029">
        <f t="shared" si="34"/>
        <v>5.8120999999999999E-2</v>
      </c>
      <c r="R2029">
        <v>43252</v>
      </c>
      <c r="S2029" t="s">
        <v>122</v>
      </c>
    </row>
    <row r="2030" spans="1:19">
      <c r="A2030">
        <v>60000127</v>
      </c>
      <c r="B2030">
        <v>21</v>
      </c>
      <c r="C2030" t="s">
        <v>33</v>
      </c>
      <c r="D2030" t="s">
        <v>40</v>
      </c>
      <c r="E2030" t="s">
        <v>75</v>
      </c>
      <c r="F2030" t="s">
        <v>21</v>
      </c>
      <c r="G2030" s="23">
        <v>0.23</v>
      </c>
      <c r="H2030" t="s">
        <v>29</v>
      </c>
      <c r="I2030" t="s">
        <v>30</v>
      </c>
      <c r="J2030" t="s">
        <v>24</v>
      </c>
      <c r="K2030" t="s">
        <v>62</v>
      </c>
      <c r="L2030" t="s">
        <v>26</v>
      </c>
      <c r="M2030" t="s">
        <v>125</v>
      </c>
      <c r="N2030" t="s">
        <v>51</v>
      </c>
      <c r="O2030">
        <v>4</v>
      </c>
      <c r="P2030">
        <v>48154</v>
      </c>
      <c r="Q2030">
        <f t="shared" si="34"/>
        <v>4.8154000000000002E-2</v>
      </c>
      <c r="R2030">
        <v>43252</v>
      </c>
      <c r="S2030" t="s">
        <v>122</v>
      </c>
    </row>
    <row r="2031" spans="1:19">
      <c r="A2031">
        <v>60000128</v>
      </c>
      <c r="B2031">
        <v>33</v>
      </c>
      <c r="C2031" t="s">
        <v>18</v>
      </c>
      <c r="D2031" t="s">
        <v>19</v>
      </c>
      <c r="E2031" t="s">
        <v>44</v>
      </c>
      <c r="F2031" t="s">
        <v>21</v>
      </c>
      <c r="G2031" s="23">
        <v>0.13</v>
      </c>
      <c r="H2031" t="s">
        <v>22</v>
      </c>
      <c r="I2031" t="s">
        <v>68</v>
      </c>
      <c r="J2031" t="s">
        <v>61</v>
      </c>
      <c r="K2031" t="s">
        <v>59</v>
      </c>
      <c r="L2031" t="s">
        <v>26</v>
      </c>
      <c r="M2031" t="s">
        <v>125</v>
      </c>
      <c r="N2031" t="s">
        <v>51</v>
      </c>
      <c r="O2031">
        <v>4</v>
      </c>
      <c r="P2031">
        <v>30044</v>
      </c>
      <c r="Q2031">
        <f t="shared" ref="Q2031:Q2094" si="35">+P2031/1000000</f>
        <v>3.0044000000000001E-2</v>
      </c>
      <c r="R2031">
        <v>43252</v>
      </c>
      <c r="S2031" t="s">
        <v>122</v>
      </c>
    </row>
    <row r="2032" spans="1:19">
      <c r="A2032">
        <v>60000129</v>
      </c>
      <c r="B2032">
        <v>41</v>
      </c>
      <c r="C2032" t="s">
        <v>33</v>
      </c>
      <c r="D2032" t="s">
        <v>40</v>
      </c>
      <c r="E2032" t="s">
        <v>72</v>
      </c>
      <c r="F2032" t="s">
        <v>21</v>
      </c>
      <c r="G2032" s="23">
        <v>0.12</v>
      </c>
      <c r="H2032" t="s">
        <v>22</v>
      </c>
      <c r="I2032" t="s">
        <v>60</v>
      </c>
      <c r="J2032" t="s">
        <v>38</v>
      </c>
      <c r="K2032" t="s">
        <v>83</v>
      </c>
      <c r="L2032" t="s">
        <v>26</v>
      </c>
      <c r="M2032" t="s">
        <v>125</v>
      </c>
      <c r="N2032" t="s">
        <v>51</v>
      </c>
      <c r="O2032">
        <v>1</v>
      </c>
      <c r="P2032">
        <v>70847</v>
      </c>
      <c r="Q2032">
        <f t="shared" si="35"/>
        <v>7.0846999999999993E-2</v>
      </c>
      <c r="R2032">
        <v>43252</v>
      </c>
      <c r="S2032" t="s">
        <v>122</v>
      </c>
    </row>
    <row r="2033" spans="1:19">
      <c r="A2033">
        <v>60000130</v>
      </c>
      <c r="B2033">
        <v>62</v>
      </c>
      <c r="C2033" t="s">
        <v>18</v>
      </c>
      <c r="D2033" t="s">
        <v>40</v>
      </c>
      <c r="E2033" t="s">
        <v>44</v>
      </c>
      <c r="F2033" t="s">
        <v>21</v>
      </c>
      <c r="G2033" s="23">
        <v>0.15</v>
      </c>
      <c r="H2033" t="s">
        <v>22</v>
      </c>
      <c r="I2033" t="s">
        <v>37</v>
      </c>
      <c r="J2033" t="s">
        <v>54</v>
      </c>
      <c r="K2033" t="s">
        <v>25</v>
      </c>
      <c r="L2033" t="s">
        <v>26</v>
      </c>
      <c r="M2033" t="s">
        <v>125</v>
      </c>
      <c r="N2033" t="s">
        <v>51</v>
      </c>
      <c r="O2033">
        <v>1</v>
      </c>
      <c r="P2033">
        <v>73043</v>
      </c>
      <c r="Q2033">
        <f t="shared" si="35"/>
        <v>7.3042999999999997E-2</v>
      </c>
      <c r="R2033">
        <v>43252</v>
      </c>
      <c r="S2033" t="s">
        <v>122</v>
      </c>
    </row>
    <row r="2034" spans="1:19">
      <c r="A2034">
        <v>60000131</v>
      </c>
      <c r="B2034">
        <v>55</v>
      </c>
      <c r="C2034" t="s">
        <v>33</v>
      </c>
      <c r="D2034" t="s">
        <v>19</v>
      </c>
      <c r="E2034" t="s">
        <v>48</v>
      </c>
      <c r="F2034" t="s">
        <v>21</v>
      </c>
      <c r="G2034" s="23">
        <v>0.21</v>
      </c>
      <c r="H2034" t="s">
        <v>29</v>
      </c>
      <c r="I2034" t="s">
        <v>76</v>
      </c>
      <c r="J2034" t="s">
        <v>78</v>
      </c>
      <c r="K2034" t="s">
        <v>109</v>
      </c>
      <c r="L2034" t="s">
        <v>26</v>
      </c>
      <c r="M2034" t="s">
        <v>125</v>
      </c>
      <c r="N2034" t="s">
        <v>28</v>
      </c>
      <c r="O2034">
        <v>0</v>
      </c>
      <c r="P2034">
        <v>31925</v>
      </c>
      <c r="Q2034">
        <f t="shared" si="35"/>
        <v>3.1925000000000002E-2</v>
      </c>
      <c r="R2034">
        <v>43252</v>
      </c>
      <c r="S2034" t="s">
        <v>122</v>
      </c>
    </row>
    <row r="2035" spans="1:19">
      <c r="A2035">
        <v>60000132</v>
      </c>
      <c r="B2035">
        <v>60</v>
      </c>
      <c r="C2035" t="s">
        <v>33</v>
      </c>
      <c r="D2035" t="s">
        <v>19</v>
      </c>
      <c r="E2035" t="s">
        <v>41</v>
      </c>
      <c r="F2035" t="s">
        <v>21</v>
      </c>
      <c r="G2035" s="23">
        <v>0.11</v>
      </c>
      <c r="H2035" t="s">
        <v>36</v>
      </c>
      <c r="I2035" t="s">
        <v>80</v>
      </c>
      <c r="J2035" t="s">
        <v>58</v>
      </c>
      <c r="K2035" t="s">
        <v>87</v>
      </c>
      <c r="L2035" t="s">
        <v>26</v>
      </c>
      <c r="M2035" t="s">
        <v>125</v>
      </c>
      <c r="N2035" t="s">
        <v>28</v>
      </c>
      <c r="O2035">
        <v>0</v>
      </c>
      <c r="P2035">
        <v>75752</v>
      </c>
      <c r="Q2035">
        <f t="shared" si="35"/>
        <v>7.5752E-2</v>
      </c>
      <c r="R2035">
        <v>43252</v>
      </c>
      <c r="S2035" t="s">
        <v>122</v>
      </c>
    </row>
    <row r="2036" spans="1:19">
      <c r="A2036">
        <v>60000133</v>
      </c>
      <c r="B2036">
        <v>43</v>
      </c>
      <c r="C2036" t="s">
        <v>33</v>
      </c>
      <c r="D2036" t="s">
        <v>19</v>
      </c>
      <c r="E2036" t="s">
        <v>72</v>
      </c>
      <c r="F2036" t="s">
        <v>21</v>
      </c>
      <c r="G2036" s="23">
        <v>0.21</v>
      </c>
      <c r="H2036" t="s">
        <v>29</v>
      </c>
      <c r="I2036" t="s">
        <v>45</v>
      </c>
      <c r="J2036" t="s">
        <v>69</v>
      </c>
      <c r="K2036" t="s">
        <v>97</v>
      </c>
      <c r="L2036" t="s">
        <v>26</v>
      </c>
      <c r="M2036" t="s">
        <v>125</v>
      </c>
      <c r="N2036" t="s">
        <v>28</v>
      </c>
      <c r="O2036">
        <v>0</v>
      </c>
      <c r="P2036">
        <v>24793</v>
      </c>
      <c r="Q2036">
        <f t="shared" si="35"/>
        <v>2.4792999999999999E-2</v>
      </c>
      <c r="R2036">
        <v>43252</v>
      </c>
      <c r="S2036" t="s">
        <v>122</v>
      </c>
    </row>
    <row r="2037" spans="1:19">
      <c r="A2037">
        <v>60000134</v>
      </c>
      <c r="B2037">
        <v>26</v>
      </c>
      <c r="C2037" t="s">
        <v>18</v>
      </c>
      <c r="D2037" t="s">
        <v>40</v>
      </c>
      <c r="E2037" t="s">
        <v>85</v>
      </c>
      <c r="F2037" t="s">
        <v>21</v>
      </c>
      <c r="G2037" s="23">
        <v>0.28999999999999998</v>
      </c>
      <c r="H2037" t="s">
        <v>53</v>
      </c>
      <c r="I2037" t="s">
        <v>86</v>
      </c>
      <c r="J2037" t="s">
        <v>74</v>
      </c>
      <c r="K2037" t="s">
        <v>49</v>
      </c>
      <c r="L2037" t="s">
        <v>26</v>
      </c>
      <c r="M2037" t="s">
        <v>125</v>
      </c>
      <c r="N2037" t="s">
        <v>51</v>
      </c>
      <c r="O2037">
        <v>0</v>
      </c>
      <c r="P2037">
        <v>58103</v>
      </c>
      <c r="Q2037">
        <f t="shared" si="35"/>
        <v>5.8103000000000002E-2</v>
      </c>
      <c r="R2037">
        <v>43252</v>
      </c>
      <c r="S2037" t="s">
        <v>122</v>
      </c>
    </row>
    <row r="2038" spans="1:19">
      <c r="A2038">
        <v>60000135</v>
      </c>
      <c r="B2038">
        <v>60</v>
      </c>
      <c r="C2038" t="s">
        <v>18</v>
      </c>
      <c r="D2038" t="s">
        <v>40</v>
      </c>
      <c r="E2038" t="s">
        <v>56</v>
      </c>
      <c r="F2038" t="s">
        <v>21</v>
      </c>
      <c r="G2038" s="23">
        <v>0.33</v>
      </c>
      <c r="H2038" t="s">
        <v>42</v>
      </c>
      <c r="I2038" t="s">
        <v>70</v>
      </c>
      <c r="J2038" t="s">
        <v>91</v>
      </c>
      <c r="K2038" t="s">
        <v>96</v>
      </c>
      <c r="L2038" t="s">
        <v>26</v>
      </c>
      <c r="M2038" t="s">
        <v>125</v>
      </c>
      <c r="N2038" t="s">
        <v>51</v>
      </c>
      <c r="O2038">
        <v>1</v>
      </c>
      <c r="P2038">
        <v>46478</v>
      </c>
      <c r="Q2038">
        <f t="shared" si="35"/>
        <v>4.6477999999999998E-2</v>
      </c>
      <c r="R2038">
        <v>43252</v>
      </c>
      <c r="S2038" t="s">
        <v>122</v>
      </c>
    </row>
    <row r="2039" spans="1:19">
      <c r="A2039">
        <v>60000136</v>
      </c>
      <c r="B2039">
        <v>34</v>
      </c>
      <c r="C2039" t="s">
        <v>18</v>
      </c>
      <c r="D2039" t="s">
        <v>19</v>
      </c>
      <c r="E2039" t="s">
        <v>20</v>
      </c>
      <c r="F2039" t="s">
        <v>21</v>
      </c>
      <c r="G2039" s="23">
        <v>0.3</v>
      </c>
      <c r="H2039" t="s">
        <v>53</v>
      </c>
      <c r="I2039" t="s">
        <v>70</v>
      </c>
      <c r="J2039" t="s">
        <v>24</v>
      </c>
      <c r="K2039" t="s">
        <v>109</v>
      </c>
      <c r="L2039" t="s">
        <v>26</v>
      </c>
      <c r="M2039" t="s">
        <v>125</v>
      </c>
      <c r="N2039" t="s">
        <v>51</v>
      </c>
      <c r="O2039">
        <v>3</v>
      </c>
      <c r="P2039">
        <v>83401</v>
      </c>
      <c r="Q2039">
        <f t="shared" si="35"/>
        <v>8.3401000000000003E-2</v>
      </c>
      <c r="R2039">
        <v>43252</v>
      </c>
      <c r="S2039" t="s">
        <v>122</v>
      </c>
    </row>
    <row r="2040" spans="1:19">
      <c r="A2040">
        <v>60000137</v>
      </c>
      <c r="B2040">
        <v>55</v>
      </c>
      <c r="C2040" t="s">
        <v>18</v>
      </c>
      <c r="D2040" t="s">
        <v>19</v>
      </c>
      <c r="E2040" t="s">
        <v>75</v>
      </c>
      <c r="F2040" t="s">
        <v>21</v>
      </c>
      <c r="G2040" s="23">
        <v>0.25</v>
      </c>
      <c r="H2040" t="s">
        <v>53</v>
      </c>
      <c r="I2040" t="s">
        <v>60</v>
      </c>
      <c r="J2040" t="s">
        <v>74</v>
      </c>
      <c r="K2040" t="s">
        <v>71</v>
      </c>
      <c r="L2040" t="s">
        <v>26</v>
      </c>
      <c r="M2040" t="s">
        <v>125</v>
      </c>
      <c r="N2040" t="s">
        <v>28</v>
      </c>
      <c r="O2040">
        <v>0</v>
      </c>
      <c r="P2040">
        <v>61812</v>
      </c>
      <c r="Q2040">
        <f t="shared" si="35"/>
        <v>6.1811999999999999E-2</v>
      </c>
      <c r="R2040">
        <v>43252</v>
      </c>
      <c r="S2040" t="s">
        <v>122</v>
      </c>
    </row>
    <row r="2041" spans="1:19">
      <c r="A2041">
        <v>60000138</v>
      </c>
      <c r="B2041">
        <v>26</v>
      </c>
      <c r="C2041" t="s">
        <v>18</v>
      </c>
      <c r="D2041" t="s">
        <v>19</v>
      </c>
      <c r="E2041" t="s">
        <v>85</v>
      </c>
      <c r="F2041" t="s">
        <v>21</v>
      </c>
      <c r="G2041" s="23">
        <v>0.33</v>
      </c>
      <c r="H2041" t="s">
        <v>42</v>
      </c>
      <c r="I2041" t="s">
        <v>62</v>
      </c>
      <c r="J2041" t="s">
        <v>31</v>
      </c>
      <c r="K2041" t="s">
        <v>108</v>
      </c>
      <c r="L2041" t="s">
        <v>26</v>
      </c>
      <c r="M2041" t="s">
        <v>125</v>
      </c>
      <c r="N2041" t="s">
        <v>28</v>
      </c>
      <c r="O2041">
        <v>0</v>
      </c>
      <c r="P2041">
        <v>58973</v>
      </c>
      <c r="Q2041">
        <f t="shared" si="35"/>
        <v>5.8972999999999998E-2</v>
      </c>
      <c r="R2041">
        <v>43252</v>
      </c>
      <c r="S2041" t="s">
        <v>122</v>
      </c>
    </row>
    <row r="2042" spans="1:19">
      <c r="A2042">
        <v>60000139</v>
      </c>
      <c r="B2042">
        <v>31</v>
      </c>
      <c r="C2042" t="s">
        <v>18</v>
      </c>
      <c r="D2042" t="s">
        <v>40</v>
      </c>
      <c r="E2042" t="s">
        <v>52</v>
      </c>
      <c r="F2042" t="s">
        <v>21</v>
      </c>
      <c r="G2042" s="23">
        <v>0.23</v>
      </c>
      <c r="H2042" t="s">
        <v>29</v>
      </c>
      <c r="I2042" t="s">
        <v>83</v>
      </c>
      <c r="J2042" t="s">
        <v>66</v>
      </c>
      <c r="K2042" t="s">
        <v>95</v>
      </c>
      <c r="L2042" t="s">
        <v>26</v>
      </c>
      <c r="M2042" t="s">
        <v>125</v>
      </c>
      <c r="N2042" t="s">
        <v>28</v>
      </c>
      <c r="O2042">
        <v>0</v>
      </c>
      <c r="P2042">
        <v>36477</v>
      </c>
      <c r="Q2042">
        <f t="shared" si="35"/>
        <v>3.6477000000000002E-2</v>
      </c>
      <c r="R2042">
        <v>43252</v>
      </c>
      <c r="S2042" t="s">
        <v>122</v>
      </c>
    </row>
    <row r="2043" spans="1:19">
      <c r="A2043">
        <v>60000140</v>
      </c>
      <c r="B2043">
        <v>43</v>
      </c>
      <c r="C2043" t="s">
        <v>33</v>
      </c>
      <c r="D2043" t="s">
        <v>40</v>
      </c>
      <c r="E2043" t="s">
        <v>56</v>
      </c>
      <c r="F2043" t="s">
        <v>21</v>
      </c>
      <c r="G2043" s="23">
        <v>0.33</v>
      </c>
      <c r="H2043" t="s">
        <v>42</v>
      </c>
      <c r="I2043" t="s">
        <v>37</v>
      </c>
      <c r="J2043" t="s">
        <v>54</v>
      </c>
      <c r="K2043" t="s">
        <v>92</v>
      </c>
      <c r="L2043" t="s">
        <v>26</v>
      </c>
      <c r="M2043" t="s">
        <v>125</v>
      </c>
      <c r="N2043" t="s">
        <v>51</v>
      </c>
      <c r="O2043">
        <v>4</v>
      </c>
      <c r="P2043">
        <v>33098</v>
      </c>
      <c r="Q2043">
        <f t="shared" si="35"/>
        <v>3.3098000000000002E-2</v>
      </c>
      <c r="R2043">
        <v>43252</v>
      </c>
      <c r="S2043" t="s">
        <v>122</v>
      </c>
    </row>
    <row r="2044" spans="1:19">
      <c r="A2044">
        <v>60000141</v>
      </c>
      <c r="B2044">
        <v>55</v>
      </c>
      <c r="C2044" t="s">
        <v>18</v>
      </c>
      <c r="D2044" t="s">
        <v>40</v>
      </c>
      <c r="E2044" t="s">
        <v>72</v>
      </c>
      <c r="F2044" t="s">
        <v>21</v>
      </c>
      <c r="G2044" s="23">
        <v>0.12</v>
      </c>
      <c r="H2044" t="s">
        <v>22</v>
      </c>
      <c r="I2044" t="s">
        <v>62</v>
      </c>
      <c r="J2044" t="s">
        <v>58</v>
      </c>
      <c r="K2044" t="s">
        <v>32</v>
      </c>
      <c r="L2044" t="s">
        <v>26</v>
      </c>
      <c r="M2044" t="s">
        <v>125</v>
      </c>
      <c r="N2044" t="s">
        <v>51</v>
      </c>
      <c r="O2044">
        <v>0</v>
      </c>
      <c r="P2044">
        <v>71611</v>
      </c>
      <c r="Q2044">
        <f t="shared" si="35"/>
        <v>7.1610999999999994E-2</v>
      </c>
      <c r="R2044">
        <v>43252</v>
      </c>
      <c r="S2044" t="s">
        <v>122</v>
      </c>
    </row>
    <row r="2045" spans="1:19">
      <c r="A2045">
        <v>60000142</v>
      </c>
      <c r="B2045">
        <v>22</v>
      </c>
      <c r="C2045" t="s">
        <v>33</v>
      </c>
      <c r="D2045" t="s">
        <v>40</v>
      </c>
      <c r="E2045" t="s">
        <v>41</v>
      </c>
      <c r="F2045" t="s">
        <v>21</v>
      </c>
      <c r="G2045" s="23">
        <v>0.38</v>
      </c>
      <c r="H2045" t="s">
        <v>42</v>
      </c>
      <c r="I2045" t="s">
        <v>80</v>
      </c>
      <c r="J2045" t="s">
        <v>58</v>
      </c>
      <c r="K2045" t="s">
        <v>104</v>
      </c>
      <c r="L2045" t="s">
        <v>26</v>
      </c>
      <c r="M2045" t="s">
        <v>125</v>
      </c>
      <c r="N2045" t="s">
        <v>28</v>
      </c>
      <c r="O2045">
        <v>0</v>
      </c>
      <c r="P2045">
        <v>29276</v>
      </c>
      <c r="Q2045">
        <f t="shared" si="35"/>
        <v>2.9276E-2</v>
      </c>
      <c r="R2045">
        <v>43252</v>
      </c>
      <c r="S2045" t="s">
        <v>122</v>
      </c>
    </row>
    <row r="2046" spans="1:19">
      <c r="A2046">
        <v>60000143</v>
      </c>
      <c r="B2046">
        <v>44</v>
      </c>
      <c r="C2046" t="s">
        <v>18</v>
      </c>
      <c r="D2046" t="s">
        <v>40</v>
      </c>
      <c r="E2046" t="s">
        <v>41</v>
      </c>
      <c r="F2046" t="s">
        <v>21</v>
      </c>
      <c r="G2046" s="23">
        <v>0.35</v>
      </c>
      <c r="H2046" t="s">
        <v>42</v>
      </c>
      <c r="I2046" t="s">
        <v>73</v>
      </c>
      <c r="J2046" t="s">
        <v>24</v>
      </c>
      <c r="K2046" t="s">
        <v>112</v>
      </c>
      <c r="L2046" t="s">
        <v>26</v>
      </c>
      <c r="M2046" t="s">
        <v>125</v>
      </c>
      <c r="N2046" t="s">
        <v>51</v>
      </c>
      <c r="O2046">
        <v>2</v>
      </c>
      <c r="P2046">
        <v>26313</v>
      </c>
      <c r="Q2046">
        <f t="shared" si="35"/>
        <v>2.6313E-2</v>
      </c>
      <c r="R2046">
        <v>43252</v>
      </c>
      <c r="S2046" t="s">
        <v>122</v>
      </c>
    </row>
    <row r="2047" spans="1:19">
      <c r="A2047">
        <v>60000144</v>
      </c>
      <c r="B2047">
        <v>51</v>
      </c>
      <c r="C2047" t="s">
        <v>33</v>
      </c>
      <c r="D2047" t="s">
        <v>19</v>
      </c>
      <c r="E2047" t="s">
        <v>64</v>
      </c>
      <c r="F2047" t="s">
        <v>21</v>
      </c>
      <c r="G2047" s="23">
        <v>0.15</v>
      </c>
      <c r="H2047" t="s">
        <v>22</v>
      </c>
      <c r="I2047" t="s">
        <v>76</v>
      </c>
      <c r="J2047" t="s">
        <v>78</v>
      </c>
      <c r="K2047" t="s">
        <v>105</v>
      </c>
      <c r="L2047" t="s">
        <v>26</v>
      </c>
      <c r="M2047" t="s">
        <v>125</v>
      </c>
      <c r="N2047" t="s">
        <v>28</v>
      </c>
      <c r="O2047">
        <v>0</v>
      </c>
      <c r="P2047">
        <v>35278</v>
      </c>
      <c r="Q2047">
        <f t="shared" si="35"/>
        <v>3.5277999999999997E-2</v>
      </c>
      <c r="R2047">
        <v>43252</v>
      </c>
      <c r="S2047" t="s">
        <v>122</v>
      </c>
    </row>
    <row r="2048" spans="1:19">
      <c r="A2048">
        <v>60000145</v>
      </c>
      <c r="B2048">
        <v>62</v>
      </c>
      <c r="C2048" t="s">
        <v>33</v>
      </c>
      <c r="D2048" t="s">
        <v>19</v>
      </c>
      <c r="E2048" t="s">
        <v>72</v>
      </c>
      <c r="F2048" t="s">
        <v>21</v>
      </c>
      <c r="G2048" s="23">
        <v>0.16</v>
      </c>
      <c r="H2048" t="s">
        <v>22</v>
      </c>
      <c r="I2048" t="s">
        <v>80</v>
      </c>
      <c r="J2048" t="s">
        <v>91</v>
      </c>
      <c r="K2048" t="s">
        <v>112</v>
      </c>
      <c r="L2048" t="s">
        <v>26</v>
      </c>
      <c r="M2048" t="s">
        <v>125</v>
      </c>
      <c r="N2048" t="s">
        <v>51</v>
      </c>
      <c r="O2048">
        <v>2</v>
      </c>
      <c r="P2048">
        <v>72189</v>
      </c>
      <c r="Q2048">
        <f t="shared" si="35"/>
        <v>7.2189000000000003E-2</v>
      </c>
      <c r="R2048">
        <v>43252</v>
      </c>
      <c r="S2048" t="s">
        <v>122</v>
      </c>
    </row>
    <row r="2049" spans="1:19">
      <c r="A2049">
        <v>60000146</v>
      </c>
      <c r="B2049">
        <v>46</v>
      </c>
      <c r="C2049" t="s">
        <v>18</v>
      </c>
      <c r="D2049" t="s">
        <v>40</v>
      </c>
      <c r="E2049" t="s">
        <v>72</v>
      </c>
      <c r="F2049" t="s">
        <v>21</v>
      </c>
      <c r="G2049" s="23">
        <v>0.19</v>
      </c>
      <c r="H2049" t="s">
        <v>29</v>
      </c>
      <c r="I2049" t="s">
        <v>68</v>
      </c>
      <c r="J2049" t="s">
        <v>31</v>
      </c>
      <c r="K2049" t="s">
        <v>106</v>
      </c>
      <c r="L2049" t="s">
        <v>26</v>
      </c>
      <c r="M2049" t="s">
        <v>125</v>
      </c>
      <c r="N2049" t="s">
        <v>28</v>
      </c>
      <c r="O2049">
        <v>0</v>
      </c>
      <c r="P2049">
        <v>47169</v>
      </c>
      <c r="Q2049">
        <f t="shared" si="35"/>
        <v>4.7169000000000003E-2</v>
      </c>
      <c r="R2049">
        <v>43252</v>
      </c>
      <c r="S2049" t="s">
        <v>122</v>
      </c>
    </row>
    <row r="2050" spans="1:19">
      <c r="A2050">
        <v>60000147</v>
      </c>
      <c r="B2050">
        <v>22</v>
      </c>
      <c r="C2050" t="s">
        <v>33</v>
      </c>
      <c r="D2050" t="s">
        <v>19</v>
      </c>
      <c r="E2050" t="s">
        <v>34</v>
      </c>
      <c r="F2050" t="s">
        <v>21</v>
      </c>
      <c r="G2050" s="23">
        <v>0.37</v>
      </c>
      <c r="H2050" t="s">
        <v>42</v>
      </c>
      <c r="I2050" t="s">
        <v>30</v>
      </c>
      <c r="J2050" t="s">
        <v>58</v>
      </c>
      <c r="K2050" t="s">
        <v>79</v>
      </c>
      <c r="L2050" t="s">
        <v>26</v>
      </c>
      <c r="M2050" t="s">
        <v>125</v>
      </c>
      <c r="N2050" t="s">
        <v>28</v>
      </c>
      <c r="O2050">
        <v>0</v>
      </c>
      <c r="P2050">
        <v>33136</v>
      </c>
      <c r="Q2050">
        <f t="shared" si="35"/>
        <v>3.3135999999999999E-2</v>
      </c>
      <c r="R2050">
        <v>43252</v>
      </c>
      <c r="S2050" t="s">
        <v>122</v>
      </c>
    </row>
    <row r="2051" spans="1:19">
      <c r="A2051">
        <v>60000148</v>
      </c>
      <c r="B2051">
        <v>47</v>
      </c>
      <c r="C2051" t="s">
        <v>18</v>
      </c>
      <c r="D2051" t="s">
        <v>40</v>
      </c>
      <c r="E2051" t="s">
        <v>72</v>
      </c>
      <c r="F2051" t="s">
        <v>21</v>
      </c>
      <c r="G2051" s="23">
        <v>0.18</v>
      </c>
      <c r="H2051" t="s">
        <v>22</v>
      </c>
      <c r="I2051" t="s">
        <v>76</v>
      </c>
      <c r="J2051" t="s">
        <v>46</v>
      </c>
      <c r="K2051" t="s">
        <v>93</v>
      </c>
      <c r="L2051" t="s">
        <v>26</v>
      </c>
      <c r="M2051" t="s">
        <v>125</v>
      </c>
      <c r="N2051" t="s">
        <v>51</v>
      </c>
      <c r="O2051">
        <v>7</v>
      </c>
      <c r="P2051">
        <v>60885</v>
      </c>
      <c r="Q2051">
        <f t="shared" si="35"/>
        <v>6.0885000000000002E-2</v>
      </c>
      <c r="R2051">
        <v>43252</v>
      </c>
      <c r="S2051" t="s">
        <v>122</v>
      </c>
    </row>
    <row r="2052" spans="1:19">
      <c r="A2052">
        <v>60000149</v>
      </c>
      <c r="B2052">
        <v>63</v>
      </c>
      <c r="C2052" t="s">
        <v>18</v>
      </c>
      <c r="D2052" t="s">
        <v>19</v>
      </c>
      <c r="E2052" t="s">
        <v>48</v>
      </c>
      <c r="F2052" t="s">
        <v>21</v>
      </c>
      <c r="G2052" s="23">
        <v>0.2</v>
      </c>
      <c r="H2052" t="s">
        <v>29</v>
      </c>
      <c r="I2052" t="s">
        <v>45</v>
      </c>
      <c r="J2052" t="s">
        <v>78</v>
      </c>
      <c r="K2052" t="s">
        <v>79</v>
      </c>
      <c r="L2052" t="s">
        <v>26</v>
      </c>
      <c r="M2052" t="s">
        <v>125</v>
      </c>
      <c r="N2052" t="s">
        <v>51</v>
      </c>
      <c r="O2052">
        <v>2</v>
      </c>
      <c r="P2052">
        <v>74807</v>
      </c>
      <c r="Q2052">
        <f t="shared" si="35"/>
        <v>7.4806999999999998E-2</v>
      </c>
      <c r="R2052">
        <v>43252</v>
      </c>
      <c r="S2052" t="s">
        <v>122</v>
      </c>
    </row>
    <row r="2053" spans="1:19">
      <c r="A2053">
        <v>60000150</v>
      </c>
      <c r="B2053">
        <v>52</v>
      </c>
      <c r="C2053" t="s">
        <v>33</v>
      </c>
      <c r="D2053" t="s">
        <v>40</v>
      </c>
      <c r="E2053" t="s">
        <v>72</v>
      </c>
      <c r="F2053" t="s">
        <v>21</v>
      </c>
      <c r="G2053" s="23">
        <v>0.1</v>
      </c>
      <c r="H2053" t="s">
        <v>36</v>
      </c>
      <c r="I2053" t="s">
        <v>80</v>
      </c>
      <c r="J2053" t="s">
        <v>54</v>
      </c>
      <c r="K2053" t="s">
        <v>82</v>
      </c>
      <c r="L2053" t="s">
        <v>26</v>
      </c>
      <c r="M2053" t="s">
        <v>125</v>
      </c>
      <c r="N2053" t="s">
        <v>51</v>
      </c>
      <c r="O2053">
        <v>5</v>
      </c>
      <c r="P2053">
        <v>60944</v>
      </c>
      <c r="Q2053">
        <f t="shared" si="35"/>
        <v>6.0943999999999998E-2</v>
      </c>
      <c r="R2053">
        <v>43252</v>
      </c>
      <c r="S2053" t="s">
        <v>122</v>
      </c>
    </row>
    <row r="2054" spans="1:19">
      <c r="A2054">
        <v>60000151</v>
      </c>
      <c r="B2054">
        <v>31</v>
      </c>
      <c r="C2054" t="s">
        <v>18</v>
      </c>
      <c r="D2054" t="s">
        <v>19</v>
      </c>
      <c r="E2054" t="s">
        <v>56</v>
      </c>
      <c r="F2054" t="s">
        <v>21</v>
      </c>
      <c r="G2054" s="23">
        <v>0.23</v>
      </c>
      <c r="H2054" t="s">
        <v>29</v>
      </c>
      <c r="I2054" t="s">
        <v>68</v>
      </c>
      <c r="J2054" t="s">
        <v>58</v>
      </c>
      <c r="K2054" t="s">
        <v>107</v>
      </c>
      <c r="L2054" t="s">
        <v>26</v>
      </c>
      <c r="M2054" t="s">
        <v>125</v>
      </c>
      <c r="N2054" t="s">
        <v>28</v>
      </c>
      <c r="O2054">
        <v>0</v>
      </c>
      <c r="P2054">
        <v>58918</v>
      </c>
      <c r="Q2054">
        <f t="shared" si="35"/>
        <v>5.8917999999999998E-2</v>
      </c>
      <c r="R2054">
        <v>43252</v>
      </c>
      <c r="S2054" t="s">
        <v>122</v>
      </c>
    </row>
    <row r="2055" spans="1:19">
      <c r="A2055">
        <v>60000152</v>
      </c>
      <c r="B2055">
        <v>24</v>
      </c>
      <c r="C2055" t="s">
        <v>18</v>
      </c>
      <c r="D2055" t="s">
        <v>19</v>
      </c>
      <c r="E2055" t="s">
        <v>56</v>
      </c>
      <c r="F2055" t="s">
        <v>21</v>
      </c>
      <c r="G2055" s="23">
        <v>0.35</v>
      </c>
      <c r="H2055" t="s">
        <v>42</v>
      </c>
      <c r="I2055" t="s">
        <v>86</v>
      </c>
      <c r="J2055" t="s">
        <v>88</v>
      </c>
      <c r="K2055" t="s">
        <v>47</v>
      </c>
      <c r="L2055" t="s">
        <v>26</v>
      </c>
      <c r="M2055" t="s">
        <v>125</v>
      </c>
      <c r="N2055" t="s">
        <v>28</v>
      </c>
      <c r="O2055">
        <v>0</v>
      </c>
      <c r="P2055">
        <v>37923</v>
      </c>
      <c r="Q2055">
        <f t="shared" si="35"/>
        <v>3.7922999999999998E-2</v>
      </c>
      <c r="R2055">
        <v>43252</v>
      </c>
      <c r="S2055" t="s">
        <v>122</v>
      </c>
    </row>
    <row r="2056" spans="1:19">
      <c r="A2056">
        <v>60000153</v>
      </c>
      <c r="B2056">
        <v>38</v>
      </c>
      <c r="C2056" t="s">
        <v>33</v>
      </c>
      <c r="D2056" t="s">
        <v>19</v>
      </c>
      <c r="E2056" t="s">
        <v>75</v>
      </c>
      <c r="F2056" t="s">
        <v>21</v>
      </c>
      <c r="G2056" s="23">
        <v>0.36</v>
      </c>
      <c r="H2056" t="s">
        <v>42</v>
      </c>
      <c r="I2056" t="s">
        <v>57</v>
      </c>
      <c r="J2056" t="s">
        <v>38</v>
      </c>
      <c r="K2056" t="s">
        <v>84</v>
      </c>
      <c r="L2056" t="s">
        <v>26</v>
      </c>
      <c r="M2056" t="s">
        <v>125</v>
      </c>
      <c r="N2056" t="s">
        <v>28</v>
      </c>
      <c r="O2056">
        <v>0</v>
      </c>
      <c r="P2056">
        <v>75896</v>
      </c>
      <c r="Q2056">
        <f t="shared" si="35"/>
        <v>7.5896000000000005E-2</v>
      </c>
      <c r="R2056">
        <v>43252</v>
      </c>
      <c r="S2056" t="s">
        <v>122</v>
      </c>
    </row>
    <row r="2057" spans="1:19">
      <c r="A2057">
        <v>60000154</v>
      </c>
      <c r="B2057">
        <v>35</v>
      </c>
      <c r="C2057" t="s">
        <v>33</v>
      </c>
      <c r="D2057" t="s">
        <v>19</v>
      </c>
      <c r="E2057" t="s">
        <v>75</v>
      </c>
      <c r="F2057" t="s">
        <v>21</v>
      </c>
      <c r="G2057" s="23">
        <v>0.16</v>
      </c>
      <c r="H2057" t="s">
        <v>22</v>
      </c>
      <c r="I2057" t="s">
        <v>65</v>
      </c>
      <c r="J2057" t="s">
        <v>38</v>
      </c>
      <c r="K2057" t="s">
        <v>118</v>
      </c>
      <c r="L2057" t="s">
        <v>26</v>
      </c>
      <c r="M2057" t="s">
        <v>125</v>
      </c>
      <c r="N2057" t="s">
        <v>28</v>
      </c>
      <c r="O2057">
        <v>0</v>
      </c>
      <c r="P2057">
        <v>39248</v>
      </c>
      <c r="Q2057">
        <f t="shared" si="35"/>
        <v>3.9247999999999998E-2</v>
      </c>
      <c r="R2057">
        <v>43252</v>
      </c>
      <c r="S2057" t="s">
        <v>122</v>
      </c>
    </row>
    <row r="2058" spans="1:19">
      <c r="A2058">
        <v>60000155</v>
      </c>
      <c r="B2058">
        <v>58</v>
      </c>
      <c r="C2058" t="s">
        <v>33</v>
      </c>
      <c r="D2058" t="s">
        <v>40</v>
      </c>
      <c r="E2058" t="s">
        <v>44</v>
      </c>
      <c r="F2058" t="s">
        <v>21</v>
      </c>
      <c r="G2058" s="23">
        <v>0.32</v>
      </c>
      <c r="H2058" t="s">
        <v>42</v>
      </c>
      <c r="I2058" t="s">
        <v>30</v>
      </c>
      <c r="J2058" t="s">
        <v>31</v>
      </c>
      <c r="K2058" t="s">
        <v>117</v>
      </c>
      <c r="L2058" t="s">
        <v>26</v>
      </c>
      <c r="M2058" t="s">
        <v>125</v>
      </c>
      <c r="N2058" t="s">
        <v>51</v>
      </c>
      <c r="O2058">
        <v>2</v>
      </c>
      <c r="P2058">
        <v>61793</v>
      </c>
      <c r="Q2058">
        <f t="shared" si="35"/>
        <v>6.1793000000000001E-2</v>
      </c>
      <c r="R2058">
        <v>43252</v>
      </c>
      <c r="S2058" t="s">
        <v>122</v>
      </c>
    </row>
    <row r="2059" spans="1:19">
      <c r="A2059">
        <v>60000156</v>
      </c>
      <c r="B2059">
        <v>43</v>
      </c>
      <c r="C2059" t="s">
        <v>33</v>
      </c>
      <c r="D2059" t="s">
        <v>40</v>
      </c>
      <c r="E2059" t="s">
        <v>48</v>
      </c>
      <c r="F2059" t="s">
        <v>21</v>
      </c>
      <c r="G2059" s="23">
        <v>0.35</v>
      </c>
      <c r="H2059" t="s">
        <v>42</v>
      </c>
      <c r="I2059" t="s">
        <v>57</v>
      </c>
      <c r="J2059" t="s">
        <v>61</v>
      </c>
      <c r="K2059" t="s">
        <v>60</v>
      </c>
      <c r="L2059" t="s">
        <v>26</v>
      </c>
      <c r="M2059" t="s">
        <v>125</v>
      </c>
      <c r="N2059" t="s">
        <v>28</v>
      </c>
      <c r="O2059">
        <v>0</v>
      </c>
      <c r="P2059">
        <v>84062</v>
      </c>
      <c r="Q2059">
        <f t="shared" si="35"/>
        <v>8.4061999999999998E-2</v>
      </c>
      <c r="R2059">
        <v>43252</v>
      </c>
      <c r="S2059" t="s">
        <v>122</v>
      </c>
    </row>
    <row r="2060" spans="1:19">
      <c r="A2060">
        <v>60000157</v>
      </c>
      <c r="B2060">
        <v>36</v>
      </c>
      <c r="C2060" t="s">
        <v>33</v>
      </c>
      <c r="D2060" t="s">
        <v>40</v>
      </c>
      <c r="E2060" t="s">
        <v>75</v>
      </c>
      <c r="F2060" t="s">
        <v>21</v>
      </c>
      <c r="G2060" s="23">
        <v>0.11</v>
      </c>
      <c r="H2060" t="s">
        <v>36</v>
      </c>
      <c r="I2060" t="s">
        <v>60</v>
      </c>
      <c r="J2060" t="s">
        <v>31</v>
      </c>
      <c r="K2060" t="s">
        <v>113</v>
      </c>
      <c r="L2060" t="s">
        <v>26</v>
      </c>
      <c r="M2060" t="s">
        <v>125</v>
      </c>
      <c r="N2060" t="s">
        <v>51</v>
      </c>
      <c r="O2060">
        <v>6</v>
      </c>
      <c r="P2060">
        <v>50759</v>
      </c>
      <c r="Q2060">
        <f t="shared" si="35"/>
        <v>5.0758999999999999E-2</v>
      </c>
      <c r="R2060">
        <v>43252</v>
      </c>
      <c r="S2060" t="s">
        <v>122</v>
      </c>
    </row>
    <row r="2061" spans="1:19">
      <c r="A2061">
        <v>60000158</v>
      </c>
      <c r="B2061">
        <v>35</v>
      </c>
      <c r="C2061" t="s">
        <v>33</v>
      </c>
      <c r="D2061" t="s">
        <v>19</v>
      </c>
      <c r="E2061" t="s">
        <v>64</v>
      </c>
      <c r="F2061" t="s">
        <v>21</v>
      </c>
      <c r="G2061" s="23">
        <v>0.31</v>
      </c>
      <c r="H2061" t="s">
        <v>53</v>
      </c>
      <c r="I2061" t="s">
        <v>23</v>
      </c>
      <c r="J2061" t="s">
        <v>46</v>
      </c>
      <c r="K2061" t="s">
        <v>113</v>
      </c>
      <c r="L2061" t="s">
        <v>26</v>
      </c>
      <c r="M2061" t="s">
        <v>125</v>
      </c>
      <c r="N2061" t="s">
        <v>51</v>
      </c>
      <c r="O2061">
        <v>6</v>
      </c>
      <c r="P2061">
        <v>29568</v>
      </c>
      <c r="Q2061">
        <f t="shared" si="35"/>
        <v>2.9568000000000001E-2</v>
      </c>
      <c r="R2061">
        <v>43252</v>
      </c>
      <c r="S2061" t="s">
        <v>122</v>
      </c>
    </row>
    <row r="2062" spans="1:19">
      <c r="A2062">
        <v>60000159</v>
      </c>
      <c r="B2062">
        <v>54</v>
      </c>
      <c r="C2062" t="s">
        <v>18</v>
      </c>
      <c r="D2062" t="s">
        <v>40</v>
      </c>
      <c r="E2062" t="s">
        <v>52</v>
      </c>
      <c r="F2062" t="s">
        <v>21</v>
      </c>
      <c r="G2062" s="23">
        <v>0.27</v>
      </c>
      <c r="H2062" t="s">
        <v>53</v>
      </c>
      <c r="I2062" t="s">
        <v>76</v>
      </c>
      <c r="J2062" t="s">
        <v>54</v>
      </c>
      <c r="K2062" t="s">
        <v>83</v>
      </c>
      <c r="L2062" t="s">
        <v>26</v>
      </c>
      <c r="M2062" t="s">
        <v>125</v>
      </c>
      <c r="N2062" t="s">
        <v>51</v>
      </c>
      <c r="O2062">
        <v>3</v>
      </c>
      <c r="P2062">
        <v>71682</v>
      </c>
      <c r="Q2062">
        <f t="shared" si="35"/>
        <v>7.1681999999999996E-2</v>
      </c>
      <c r="R2062">
        <v>43252</v>
      </c>
      <c r="S2062" t="s">
        <v>122</v>
      </c>
    </row>
    <row r="2063" spans="1:19">
      <c r="A2063">
        <v>60000160</v>
      </c>
      <c r="B2063">
        <v>52</v>
      </c>
      <c r="C2063" t="s">
        <v>33</v>
      </c>
      <c r="D2063" t="s">
        <v>40</v>
      </c>
      <c r="E2063" t="s">
        <v>34</v>
      </c>
      <c r="F2063" t="s">
        <v>21</v>
      </c>
      <c r="G2063" s="23">
        <v>0.19</v>
      </c>
      <c r="H2063" t="s">
        <v>29</v>
      </c>
      <c r="I2063" t="s">
        <v>65</v>
      </c>
      <c r="J2063" t="s">
        <v>58</v>
      </c>
      <c r="K2063" t="s">
        <v>106</v>
      </c>
      <c r="L2063" t="s">
        <v>26</v>
      </c>
      <c r="M2063" t="s">
        <v>125</v>
      </c>
      <c r="N2063" t="s">
        <v>28</v>
      </c>
      <c r="O2063">
        <v>0</v>
      </c>
      <c r="P2063">
        <v>70908</v>
      </c>
      <c r="Q2063">
        <f t="shared" si="35"/>
        <v>7.0907999999999999E-2</v>
      </c>
      <c r="R2063">
        <v>43252</v>
      </c>
      <c r="S2063" t="s">
        <v>122</v>
      </c>
    </row>
    <row r="2064" spans="1:19">
      <c r="A2064">
        <v>60000161</v>
      </c>
      <c r="B2064">
        <v>58</v>
      </c>
      <c r="C2064" t="s">
        <v>33</v>
      </c>
      <c r="D2064" t="s">
        <v>19</v>
      </c>
      <c r="E2064" t="s">
        <v>20</v>
      </c>
      <c r="F2064" t="s">
        <v>21</v>
      </c>
      <c r="G2064" s="23">
        <v>0.27</v>
      </c>
      <c r="H2064" t="s">
        <v>53</v>
      </c>
      <c r="I2064" t="s">
        <v>68</v>
      </c>
      <c r="J2064" t="s">
        <v>58</v>
      </c>
      <c r="K2064" t="s">
        <v>50</v>
      </c>
      <c r="L2064" t="s">
        <v>26</v>
      </c>
      <c r="M2064" t="s">
        <v>125</v>
      </c>
      <c r="N2064" t="s">
        <v>51</v>
      </c>
      <c r="O2064">
        <v>4</v>
      </c>
      <c r="P2064">
        <v>62729</v>
      </c>
      <c r="Q2064">
        <f t="shared" si="35"/>
        <v>6.2728999999999993E-2</v>
      </c>
      <c r="R2064">
        <v>43252</v>
      </c>
      <c r="S2064" t="s">
        <v>122</v>
      </c>
    </row>
    <row r="2065" spans="1:19">
      <c r="A2065">
        <v>60000162</v>
      </c>
      <c r="B2065">
        <v>25</v>
      </c>
      <c r="C2065" t="s">
        <v>18</v>
      </c>
      <c r="D2065" t="s">
        <v>19</v>
      </c>
      <c r="E2065" t="s">
        <v>52</v>
      </c>
      <c r="F2065" t="s">
        <v>21</v>
      </c>
      <c r="G2065" s="23">
        <v>0.21</v>
      </c>
      <c r="H2065" t="s">
        <v>29</v>
      </c>
      <c r="I2065" t="s">
        <v>37</v>
      </c>
      <c r="J2065" t="s">
        <v>58</v>
      </c>
      <c r="K2065" t="s">
        <v>100</v>
      </c>
      <c r="L2065" t="s">
        <v>26</v>
      </c>
      <c r="M2065" t="s">
        <v>125</v>
      </c>
      <c r="N2065" t="s">
        <v>51</v>
      </c>
      <c r="O2065">
        <v>5</v>
      </c>
      <c r="P2065">
        <v>51872</v>
      </c>
      <c r="Q2065">
        <f t="shared" si="35"/>
        <v>5.1872000000000001E-2</v>
      </c>
      <c r="R2065">
        <v>43252</v>
      </c>
      <c r="S2065" t="s">
        <v>122</v>
      </c>
    </row>
    <row r="2066" spans="1:19">
      <c r="A2066">
        <v>60000163</v>
      </c>
      <c r="B2066">
        <v>35</v>
      </c>
      <c r="C2066" t="s">
        <v>18</v>
      </c>
      <c r="D2066" t="s">
        <v>19</v>
      </c>
      <c r="E2066" t="s">
        <v>41</v>
      </c>
      <c r="F2066" t="s">
        <v>21</v>
      </c>
      <c r="G2066" s="23">
        <v>0.37</v>
      </c>
      <c r="H2066" t="s">
        <v>42</v>
      </c>
      <c r="I2066" t="s">
        <v>70</v>
      </c>
      <c r="J2066" t="s">
        <v>74</v>
      </c>
      <c r="K2066" t="s">
        <v>107</v>
      </c>
      <c r="L2066" t="s">
        <v>26</v>
      </c>
      <c r="M2066" t="s">
        <v>125</v>
      </c>
      <c r="N2066" t="s">
        <v>28</v>
      </c>
      <c r="O2066">
        <v>0</v>
      </c>
      <c r="P2066">
        <v>41202</v>
      </c>
      <c r="Q2066">
        <f t="shared" si="35"/>
        <v>4.1202000000000003E-2</v>
      </c>
      <c r="R2066">
        <v>43252</v>
      </c>
      <c r="S2066" t="s">
        <v>122</v>
      </c>
    </row>
    <row r="2067" spans="1:19">
      <c r="A2067">
        <v>60000164</v>
      </c>
      <c r="B2067">
        <v>21</v>
      </c>
      <c r="C2067" t="s">
        <v>33</v>
      </c>
      <c r="D2067" t="s">
        <v>40</v>
      </c>
      <c r="E2067" t="s">
        <v>44</v>
      </c>
      <c r="F2067" t="s">
        <v>21</v>
      </c>
      <c r="G2067" s="23">
        <v>0.33</v>
      </c>
      <c r="H2067" t="s">
        <v>42</v>
      </c>
      <c r="I2067" t="s">
        <v>73</v>
      </c>
      <c r="J2067" t="s">
        <v>46</v>
      </c>
      <c r="K2067" t="s">
        <v>81</v>
      </c>
      <c r="L2067" t="s">
        <v>26</v>
      </c>
      <c r="M2067" t="s">
        <v>125</v>
      </c>
      <c r="N2067" t="s">
        <v>51</v>
      </c>
      <c r="O2067">
        <v>6</v>
      </c>
      <c r="P2067">
        <v>54180</v>
      </c>
      <c r="Q2067">
        <f t="shared" si="35"/>
        <v>5.4179999999999999E-2</v>
      </c>
      <c r="R2067">
        <v>43252</v>
      </c>
      <c r="S2067" t="s">
        <v>122</v>
      </c>
    </row>
    <row r="2068" spans="1:19">
      <c r="A2068">
        <v>60000165</v>
      </c>
      <c r="B2068">
        <v>59</v>
      </c>
      <c r="C2068" t="s">
        <v>33</v>
      </c>
      <c r="D2068" t="s">
        <v>19</v>
      </c>
      <c r="E2068" t="s">
        <v>34</v>
      </c>
      <c r="F2068" t="s">
        <v>21</v>
      </c>
      <c r="G2068" s="23">
        <v>0.12</v>
      </c>
      <c r="H2068" t="s">
        <v>22</v>
      </c>
      <c r="I2068" t="s">
        <v>83</v>
      </c>
      <c r="J2068" t="s">
        <v>88</v>
      </c>
      <c r="K2068" t="s">
        <v>83</v>
      </c>
      <c r="L2068" t="s">
        <v>26</v>
      </c>
      <c r="M2068" t="s">
        <v>125</v>
      </c>
      <c r="N2068" t="s">
        <v>51</v>
      </c>
      <c r="O2068">
        <v>6</v>
      </c>
      <c r="P2068">
        <v>59795</v>
      </c>
      <c r="Q2068">
        <f t="shared" si="35"/>
        <v>5.9795000000000001E-2</v>
      </c>
      <c r="R2068">
        <v>43252</v>
      </c>
      <c r="S2068" t="s">
        <v>122</v>
      </c>
    </row>
    <row r="2069" spans="1:19">
      <c r="A2069">
        <v>60000166</v>
      </c>
      <c r="B2069">
        <v>27</v>
      </c>
      <c r="C2069" t="s">
        <v>33</v>
      </c>
      <c r="D2069" t="s">
        <v>19</v>
      </c>
      <c r="E2069" t="s">
        <v>56</v>
      </c>
      <c r="F2069" t="s">
        <v>21</v>
      </c>
      <c r="G2069" s="23">
        <v>0.37</v>
      </c>
      <c r="H2069" t="s">
        <v>42</v>
      </c>
      <c r="I2069" t="s">
        <v>70</v>
      </c>
      <c r="J2069" t="s">
        <v>91</v>
      </c>
      <c r="K2069" t="s">
        <v>49</v>
      </c>
      <c r="L2069" t="s">
        <v>26</v>
      </c>
      <c r="M2069" t="s">
        <v>125</v>
      </c>
      <c r="N2069" t="s">
        <v>28</v>
      </c>
      <c r="O2069">
        <v>0</v>
      </c>
      <c r="P2069">
        <v>26722</v>
      </c>
      <c r="Q2069">
        <f t="shared" si="35"/>
        <v>2.6721999999999999E-2</v>
      </c>
      <c r="R2069">
        <v>43252</v>
      </c>
      <c r="S2069" t="s">
        <v>122</v>
      </c>
    </row>
    <row r="2070" spans="1:19">
      <c r="A2070">
        <v>60000167</v>
      </c>
      <c r="B2070">
        <v>63</v>
      </c>
      <c r="C2070" t="s">
        <v>33</v>
      </c>
      <c r="D2070" t="s">
        <v>19</v>
      </c>
      <c r="E2070" t="s">
        <v>41</v>
      </c>
      <c r="F2070" t="s">
        <v>21</v>
      </c>
      <c r="G2070" s="23">
        <v>0.36</v>
      </c>
      <c r="H2070" t="s">
        <v>42</v>
      </c>
      <c r="I2070" t="s">
        <v>60</v>
      </c>
      <c r="J2070" t="s">
        <v>54</v>
      </c>
      <c r="K2070" t="s">
        <v>89</v>
      </c>
      <c r="L2070" t="s">
        <v>26</v>
      </c>
      <c r="M2070" t="s">
        <v>125</v>
      </c>
      <c r="N2070" t="s">
        <v>51</v>
      </c>
      <c r="O2070">
        <v>0</v>
      </c>
      <c r="P2070">
        <v>39648</v>
      </c>
      <c r="Q2070">
        <f t="shared" si="35"/>
        <v>3.9648000000000003E-2</v>
      </c>
      <c r="R2070">
        <v>43252</v>
      </c>
      <c r="S2070" t="s">
        <v>122</v>
      </c>
    </row>
    <row r="2071" spans="1:19">
      <c r="A2071">
        <v>60000168</v>
      </c>
      <c r="B2071">
        <v>45</v>
      </c>
      <c r="C2071" t="s">
        <v>33</v>
      </c>
      <c r="D2071" t="s">
        <v>40</v>
      </c>
      <c r="E2071" t="s">
        <v>72</v>
      </c>
      <c r="F2071" t="s">
        <v>21</v>
      </c>
      <c r="G2071" s="23">
        <v>0.35</v>
      </c>
      <c r="H2071" t="s">
        <v>42</v>
      </c>
      <c r="I2071" t="s">
        <v>83</v>
      </c>
      <c r="J2071" t="s">
        <v>46</v>
      </c>
      <c r="K2071" t="s">
        <v>71</v>
      </c>
      <c r="L2071" t="s">
        <v>26</v>
      </c>
      <c r="M2071" t="s">
        <v>125</v>
      </c>
      <c r="N2071" t="s">
        <v>51</v>
      </c>
      <c r="O2071">
        <v>5</v>
      </c>
      <c r="P2071">
        <v>63995</v>
      </c>
      <c r="Q2071">
        <f t="shared" si="35"/>
        <v>6.3994999999999996E-2</v>
      </c>
      <c r="R2071">
        <v>43252</v>
      </c>
      <c r="S2071" t="s">
        <v>122</v>
      </c>
    </row>
    <row r="2072" spans="1:19">
      <c r="A2072">
        <v>60000169</v>
      </c>
      <c r="B2072">
        <v>56</v>
      </c>
      <c r="C2072" t="s">
        <v>33</v>
      </c>
      <c r="D2072" t="s">
        <v>40</v>
      </c>
      <c r="E2072" t="s">
        <v>20</v>
      </c>
      <c r="F2072" t="s">
        <v>21</v>
      </c>
      <c r="G2072" s="23">
        <v>0.25</v>
      </c>
      <c r="H2072" t="s">
        <v>53</v>
      </c>
      <c r="I2072" t="s">
        <v>73</v>
      </c>
      <c r="J2072" t="s">
        <v>54</v>
      </c>
      <c r="K2072" t="s">
        <v>87</v>
      </c>
      <c r="L2072" t="s">
        <v>26</v>
      </c>
      <c r="M2072" t="s">
        <v>125</v>
      </c>
      <c r="N2072" t="s">
        <v>51</v>
      </c>
      <c r="O2072">
        <v>5</v>
      </c>
      <c r="P2072">
        <v>76037</v>
      </c>
      <c r="Q2072">
        <f t="shared" si="35"/>
        <v>7.6036999999999993E-2</v>
      </c>
      <c r="R2072">
        <v>43252</v>
      </c>
      <c r="S2072" t="s">
        <v>122</v>
      </c>
    </row>
    <row r="2073" spans="1:19">
      <c r="A2073">
        <v>60000170</v>
      </c>
      <c r="B2073">
        <v>26</v>
      </c>
      <c r="C2073" t="s">
        <v>18</v>
      </c>
      <c r="D2073" t="s">
        <v>40</v>
      </c>
      <c r="E2073" t="s">
        <v>67</v>
      </c>
      <c r="F2073" t="s">
        <v>21</v>
      </c>
      <c r="G2073" s="23">
        <v>0.17</v>
      </c>
      <c r="H2073" t="s">
        <v>22</v>
      </c>
      <c r="I2073" t="s">
        <v>70</v>
      </c>
      <c r="J2073" t="s">
        <v>38</v>
      </c>
      <c r="K2073" t="s">
        <v>89</v>
      </c>
      <c r="L2073" t="s">
        <v>26</v>
      </c>
      <c r="M2073" t="s">
        <v>125</v>
      </c>
      <c r="N2073" t="s">
        <v>28</v>
      </c>
      <c r="O2073">
        <v>0</v>
      </c>
      <c r="P2073">
        <v>56856</v>
      </c>
      <c r="Q2073">
        <f t="shared" si="35"/>
        <v>5.6855999999999997E-2</v>
      </c>
      <c r="R2073">
        <v>43252</v>
      </c>
      <c r="S2073" t="s">
        <v>122</v>
      </c>
    </row>
    <row r="2074" spans="1:19">
      <c r="A2074">
        <v>60000171</v>
      </c>
      <c r="B2074">
        <v>32</v>
      </c>
      <c r="C2074" t="s">
        <v>18</v>
      </c>
      <c r="D2074" t="s">
        <v>19</v>
      </c>
      <c r="E2074" t="s">
        <v>44</v>
      </c>
      <c r="F2074" t="s">
        <v>21</v>
      </c>
      <c r="G2074" s="23">
        <v>0.33</v>
      </c>
      <c r="H2074" t="s">
        <v>42</v>
      </c>
      <c r="I2074" t="s">
        <v>45</v>
      </c>
      <c r="J2074" t="s">
        <v>78</v>
      </c>
      <c r="K2074" t="s">
        <v>107</v>
      </c>
      <c r="L2074" t="s">
        <v>26</v>
      </c>
      <c r="M2074" t="s">
        <v>125</v>
      </c>
      <c r="N2074" t="s">
        <v>28</v>
      </c>
      <c r="O2074">
        <v>0</v>
      </c>
      <c r="P2074">
        <v>60704</v>
      </c>
      <c r="Q2074">
        <f t="shared" si="35"/>
        <v>6.0704000000000001E-2</v>
      </c>
      <c r="R2074">
        <v>43252</v>
      </c>
      <c r="S2074" t="s">
        <v>122</v>
      </c>
    </row>
    <row r="2075" spans="1:19">
      <c r="A2075">
        <v>60000172</v>
      </c>
      <c r="B2075">
        <v>55</v>
      </c>
      <c r="C2075" t="s">
        <v>33</v>
      </c>
      <c r="D2075" t="s">
        <v>19</v>
      </c>
      <c r="E2075" t="s">
        <v>85</v>
      </c>
      <c r="F2075" t="s">
        <v>21</v>
      </c>
      <c r="G2075" s="23">
        <v>0.25</v>
      </c>
      <c r="H2075" t="s">
        <v>53</v>
      </c>
      <c r="I2075" t="s">
        <v>62</v>
      </c>
      <c r="J2075" t="s">
        <v>24</v>
      </c>
      <c r="K2075" t="s">
        <v>108</v>
      </c>
      <c r="L2075" t="s">
        <v>26</v>
      </c>
      <c r="M2075" t="s">
        <v>125</v>
      </c>
      <c r="N2075" t="s">
        <v>28</v>
      </c>
      <c r="O2075">
        <v>0</v>
      </c>
      <c r="P2075">
        <v>50080</v>
      </c>
      <c r="Q2075">
        <f t="shared" si="35"/>
        <v>5.008E-2</v>
      </c>
      <c r="R2075">
        <v>43252</v>
      </c>
      <c r="S2075" t="s">
        <v>122</v>
      </c>
    </row>
    <row r="2076" spans="1:19">
      <c r="A2076">
        <v>60000173</v>
      </c>
      <c r="B2076">
        <v>50</v>
      </c>
      <c r="C2076" t="s">
        <v>33</v>
      </c>
      <c r="D2076" t="s">
        <v>19</v>
      </c>
      <c r="E2076" t="s">
        <v>34</v>
      </c>
      <c r="F2076" t="s">
        <v>21</v>
      </c>
      <c r="G2076" s="23">
        <v>0.21</v>
      </c>
      <c r="H2076" t="s">
        <v>29</v>
      </c>
      <c r="I2076" t="s">
        <v>80</v>
      </c>
      <c r="J2076" t="s">
        <v>31</v>
      </c>
      <c r="K2076" t="s">
        <v>84</v>
      </c>
      <c r="L2076" t="s">
        <v>26</v>
      </c>
      <c r="M2076" t="s">
        <v>125</v>
      </c>
      <c r="N2076" t="s">
        <v>28</v>
      </c>
      <c r="O2076">
        <v>0</v>
      </c>
      <c r="P2076">
        <v>26389</v>
      </c>
      <c r="Q2076">
        <f t="shared" si="35"/>
        <v>2.6388999999999999E-2</v>
      </c>
      <c r="R2076">
        <v>43252</v>
      </c>
      <c r="S2076" t="s">
        <v>122</v>
      </c>
    </row>
    <row r="2077" spans="1:19">
      <c r="A2077">
        <v>60000174</v>
      </c>
      <c r="B2077">
        <v>23</v>
      </c>
      <c r="C2077" t="s">
        <v>33</v>
      </c>
      <c r="D2077" t="s">
        <v>19</v>
      </c>
      <c r="E2077" t="s">
        <v>85</v>
      </c>
      <c r="F2077" t="s">
        <v>21</v>
      </c>
      <c r="G2077" s="23">
        <v>0.25</v>
      </c>
      <c r="H2077" t="s">
        <v>53</v>
      </c>
      <c r="I2077" t="s">
        <v>57</v>
      </c>
      <c r="J2077" t="s">
        <v>38</v>
      </c>
      <c r="K2077" t="s">
        <v>98</v>
      </c>
      <c r="L2077" t="s">
        <v>26</v>
      </c>
      <c r="M2077" t="s">
        <v>125</v>
      </c>
      <c r="N2077" t="s">
        <v>28</v>
      </c>
      <c r="O2077">
        <v>0</v>
      </c>
      <c r="P2077">
        <v>29057</v>
      </c>
      <c r="Q2077">
        <f t="shared" si="35"/>
        <v>2.9056999999999999E-2</v>
      </c>
      <c r="R2077">
        <v>43252</v>
      </c>
      <c r="S2077" t="s">
        <v>122</v>
      </c>
    </row>
    <row r="2078" spans="1:19">
      <c r="A2078">
        <v>60000175</v>
      </c>
      <c r="B2078">
        <v>45</v>
      </c>
      <c r="C2078" t="s">
        <v>33</v>
      </c>
      <c r="D2078" t="s">
        <v>40</v>
      </c>
      <c r="E2078" t="s">
        <v>75</v>
      </c>
      <c r="F2078" t="s">
        <v>21</v>
      </c>
      <c r="G2078" s="23">
        <v>0.14000000000000001</v>
      </c>
      <c r="H2078" t="s">
        <v>22</v>
      </c>
      <c r="I2078" t="s">
        <v>37</v>
      </c>
      <c r="J2078" t="s">
        <v>31</v>
      </c>
      <c r="K2078" t="s">
        <v>114</v>
      </c>
      <c r="L2078" t="s">
        <v>26</v>
      </c>
      <c r="M2078" t="s">
        <v>125</v>
      </c>
      <c r="N2078" t="s">
        <v>51</v>
      </c>
      <c r="O2078">
        <v>6</v>
      </c>
      <c r="P2078">
        <v>33747</v>
      </c>
      <c r="Q2078">
        <f t="shared" si="35"/>
        <v>3.3746999999999999E-2</v>
      </c>
      <c r="R2078">
        <v>43252</v>
      </c>
      <c r="S2078" t="s">
        <v>122</v>
      </c>
    </row>
    <row r="2079" spans="1:19">
      <c r="A2079">
        <v>60000176</v>
      </c>
      <c r="B2079">
        <v>32</v>
      </c>
      <c r="C2079" t="s">
        <v>33</v>
      </c>
      <c r="D2079" t="s">
        <v>40</v>
      </c>
      <c r="E2079" t="s">
        <v>64</v>
      </c>
      <c r="F2079" t="s">
        <v>21</v>
      </c>
      <c r="G2079" s="23">
        <v>0.27</v>
      </c>
      <c r="H2079" t="s">
        <v>53</v>
      </c>
      <c r="I2079" t="s">
        <v>68</v>
      </c>
      <c r="J2079" t="s">
        <v>88</v>
      </c>
      <c r="K2079" t="s">
        <v>63</v>
      </c>
      <c r="L2079" t="s">
        <v>26</v>
      </c>
      <c r="M2079" t="s">
        <v>125</v>
      </c>
      <c r="N2079" t="s">
        <v>51</v>
      </c>
      <c r="O2079">
        <v>2</v>
      </c>
      <c r="P2079">
        <v>39675</v>
      </c>
      <c r="Q2079">
        <f t="shared" si="35"/>
        <v>3.9675000000000002E-2</v>
      </c>
      <c r="R2079">
        <v>43252</v>
      </c>
      <c r="S2079" t="s">
        <v>122</v>
      </c>
    </row>
    <row r="2080" spans="1:19">
      <c r="A2080">
        <v>60000177</v>
      </c>
      <c r="B2080">
        <v>49</v>
      </c>
      <c r="C2080" t="s">
        <v>18</v>
      </c>
      <c r="D2080" t="s">
        <v>19</v>
      </c>
      <c r="E2080" t="s">
        <v>67</v>
      </c>
      <c r="F2080" t="s">
        <v>21</v>
      </c>
      <c r="G2080" s="23">
        <v>0.34</v>
      </c>
      <c r="H2080" t="s">
        <v>42</v>
      </c>
      <c r="I2080" t="s">
        <v>80</v>
      </c>
      <c r="J2080" t="s">
        <v>54</v>
      </c>
      <c r="K2080" t="s">
        <v>96</v>
      </c>
      <c r="L2080" t="s">
        <v>26</v>
      </c>
      <c r="M2080" t="s">
        <v>125</v>
      </c>
      <c r="N2080" t="s">
        <v>51</v>
      </c>
      <c r="O2080">
        <v>3</v>
      </c>
      <c r="P2080">
        <v>32052</v>
      </c>
      <c r="Q2080">
        <f t="shared" si="35"/>
        <v>3.2051999999999997E-2</v>
      </c>
      <c r="R2080">
        <v>43252</v>
      </c>
      <c r="S2080" t="s">
        <v>122</v>
      </c>
    </row>
    <row r="2081" spans="1:19">
      <c r="A2081">
        <v>60000178</v>
      </c>
      <c r="B2081">
        <v>49</v>
      </c>
      <c r="C2081" t="s">
        <v>33</v>
      </c>
      <c r="D2081" t="s">
        <v>40</v>
      </c>
      <c r="E2081" t="s">
        <v>72</v>
      </c>
      <c r="F2081" t="s">
        <v>21</v>
      </c>
      <c r="G2081" s="23">
        <v>0.31</v>
      </c>
      <c r="H2081" t="s">
        <v>53</v>
      </c>
      <c r="I2081" t="s">
        <v>57</v>
      </c>
      <c r="J2081" t="s">
        <v>78</v>
      </c>
      <c r="K2081" t="s">
        <v>118</v>
      </c>
      <c r="L2081" t="s">
        <v>26</v>
      </c>
      <c r="M2081" t="s">
        <v>125</v>
      </c>
      <c r="N2081" t="s">
        <v>51</v>
      </c>
      <c r="O2081">
        <v>6</v>
      </c>
      <c r="P2081">
        <v>84649</v>
      </c>
      <c r="Q2081">
        <f t="shared" si="35"/>
        <v>8.4649000000000002E-2</v>
      </c>
      <c r="R2081">
        <v>43252</v>
      </c>
      <c r="S2081" t="s">
        <v>122</v>
      </c>
    </row>
    <row r="2082" spans="1:19">
      <c r="A2082">
        <v>60000179</v>
      </c>
      <c r="B2082">
        <v>32</v>
      </c>
      <c r="C2082" t="s">
        <v>18</v>
      </c>
      <c r="D2082" t="s">
        <v>40</v>
      </c>
      <c r="E2082" t="s">
        <v>48</v>
      </c>
      <c r="F2082" t="s">
        <v>21</v>
      </c>
      <c r="G2082" s="23">
        <v>0.27</v>
      </c>
      <c r="H2082" t="s">
        <v>53</v>
      </c>
      <c r="I2082" t="s">
        <v>65</v>
      </c>
      <c r="J2082" t="s">
        <v>58</v>
      </c>
      <c r="K2082" t="s">
        <v>83</v>
      </c>
      <c r="L2082" t="s">
        <v>26</v>
      </c>
      <c r="M2082" t="s">
        <v>125</v>
      </c>
      <c r="N2082" t="s">
        <v>28</v>
      </c>
      <c r="O2082">
        <v>0</v>
      </c>
      <c r="P2082">
        <v>54095</v>
      </c>
      <c r="Q2082">
        <f t="shared" si="35"/>
        <v>5.4094999999999997E-2</v>
      </c>
      <c r="R2082">
        <v>43252</v>
      </c>
      <c r="S2082" t="s">
        <v>122</v>
      </c>
    </row>
    <row r="2083" spans="1:19">
      <c r="A2083">
        <v>60000180</v>
      </c>
      <c r="B2083">
        <v>33</v>
      </c>
      <c r="C2083" t="s">
        <v>18</v>
      </c>
      <c r="D2083" t="s">
        <v>40</v>
      </c>
      <c r="E2083" t="s">
        <v>48</v>
      </c>
      <c r="F2083" t="s">
        <v>21</v>
      </c>
      <c r="G2083" s="23">
        <v>0.33</v>
      </c>
      <c r="H2083" t="s">
        <v>42</v>
      </c>
      <c r="I2083" t="s">
        <v>57</v>
      </c>
      <c r="J2083" t="s">
        <v>38</v>
      </c>
      <c r="K2083" t="s">
        <v>104</v>
      </c>
      <c r="L2083" t="s">
        <v>26</v>
      </c>
      <c r="M2083" t="s">
        <v>125</v>
      </c>
      <c r="N2083" t="s">
        <v>51</v>
      </c>
      <c r="O2083">
        <v>1</v>
      </c>
      <c r="P2083">
        <v>77038</v>
      </c>
      <c r="Q2083">
        <f t="shared" si="35"/>
        <v>7.7037999999999995E-2</v>
      </c>
      <c r="R2083">
        <v>43252</v>
      </c>
      <c r="S2083" t="s">
        <v>122</v>
      </c>
    </row>
    <row r="2084" spans="1:19">
      <c r="A2084">
        <v>60000181</v>
      </c>
      <c r="B2084">
        <v>59</v>
      </c>
      <c r="C2084" t="s">
        <v>33</v>
      </c>
      <c r="D2084" t="s">
        <v>19</v>
      </c>
      <c r="E2084" t="s">
        <v>41</v>
      </c>
      <c r="F2084" t="s">
        <v>21</v>
      </c>
      <c r="G2084" s="23">
        <v>0.12</v>
      </c>
      <c r="H2084" t="s">
        <v>22</v>
      </c>
      <c r="I2084" t="s">
        <v>57</v>
      </c>
      <c r="J2084" t="s">
        <v>24</v>
      </c>
      <c r="K2084" t="s">
        <v>105</v>
      </c>
      <c r="L2084" t="s">
        <v>26</v>
      </c>
      <c r="M2084" t="s">
        <v>125</v>
      </c>
      <c r="N2084" t="s">
        <v>28</v>
      </c>
      <c r="O2084">
        <v>0</v>
      </c>
      <c r="P2084">
        <v>51058</v>
      </c>
      <c r="Q2084">
        <f t="shared" si="35"/>
        <v>5.1057999999999999E-2</v>
      </c>
      <c r="R2084">
        <v>43252</v>
      </c>
      <c r="S2084" t="s">
        <v>122</v>
      </c>
    </row>
    <row r="2085" spans="1:19">
      <c r="A2085">
        <v>60000182</v>
      </c>
      <c r="B2085">
        <v>57</v>
      </c>
      <c r="C2085" t="s">
        <v>18</v>
      </c>
      <c r="D2085" t="s">
        <v>40</v>
      </c>
      <c r="E2085" t="s">
        <v>48</v>
      </c>
      <c r="F2085" t="s">
        <v>21</v>
      </c>
      <c r="G2085" s="23">
        <v>0.11</v>
      </c>
      <c r="H2085" t="s">
        <v>36</v>
      </c>
      <c r="I2085" t="s">
        <v>30</v>
      </c>
      <c r="J2085" t="s">
        <v>24</v>
      </c>
      <c r="K2085" t="s">
        <v>104</v>
      </c>
      <c r="L2085" t="s">
        <v>26</v>
      </c>
      <c r="M2085" t="s">
        <v>125</v>
      </c>
      <c r="N2085" t="s">
        <v>28</v>
      </c>
      <c r="O2085">
        <v>0</v>
      </c>
      <c r="P2085">
        <v>84183</v>
      </c>
      <c r="Q2085">
        <f t="shared" si="35"/>
        <v>8.4182999999999994E-2</v>
      </c>
      <c r="R2085">
        <v>43252</v>
      </c>
      <c r="S2085" t="s">
        <v>122</v>
      </c>
    </row>
    <row r="2086" spans="1:19">
      <c r="A2086">
        <v>60000183</v>
      </c>
      <c r="B2086">
        <v>61</v>
      </c>
      <c r="C2086" t="s">
        <v>18</v>
      </c>
      <c r="D2086" t="s">
        <v>19</v>
      </c>
      <c r="E2086" t="s">
        <v>85</v>
      </c>
      <c r="F2086" t="s">
        <v>21</v>
      </c>
      <c r="G2086" s="23">
        <v>0.33</v>
      </c>
      <c r="H2086" t="s">
        <v>42</v>
      </c>
      <c r="I2086" t="s">
        <v>62</v>
      </c>
      <c r="J2086" t="s">
        <v>58</v>
      </c>
      <c r="K2086" t="s">
        <v>105</v>
      </c>
      <c r="L2086" t="s">
        <v>26</v>
      </c>
      <c r="M2086" t="s">
        <v>125</v>
      </c>
      <c r="N2086" t="s">
        <v>28</v>
      </c>
      <c r="O2086">
        <v>0</v>
      </c>
      <c r="P2086">
        <v>48307</v>
      </c>
      <c r="Q2086">
        <f t="shared" si="35"/>
        <v>4.8307000000000003E-2</v>
      </c>
      <c r="R2086">
        <v>43252</v>
      </c>
      <c r="S2086" t="s">
        <v>122</v>
      </c>
    </row>
    <row r="2087" spans="1:19">
      <c r="A2087">
        <v>60000184</v>
      </c>
      <c r="B2087">
        <v>41</v>
      </c>
      <c r="C2087" t="s">
        <v>33</v>
      </c>
      <c r="D2087" t="s">
        <v>19</v>
      </c>
      <c r="E2087" t="s">
        <v>64</v>
      </c>
      <c r="F2087" t="s">
        <v>21</v>
      </c>
      <c r="G2087" s="23">
        <v>0.25</v>
      </c>
      <c r="H2087" t="s">
        <v>53</v>
      </c>
      <c r="I2087" t="s">
        <v>73</v>
      </c>
      <c r="J2087" t="s">
        <v>46</v>
      </c>
      <c r="K2087" t="s">
        <v>62</v>
      </c>
      <c r="L2087" t="s">
        <v>26</v>
      </c>
      <c r="M2087" t="s">
        <v>125</v>
      </c>
      <c r="N2087" t="s">
        <v>51</v>
      </c>
      <c r="O2087">
        <v>1</v>
      </c>
      <c r="P2087">
        <v>26567</v>
      </c>
      <c r="Q2087">
        <f t="shared" si="35"/>
        <v>2.6567E-2</v>
      </c>
      <c r="R2087">
        <v>43252</v>
      </c>
      <c r="S2087" t="s">
        <v>122</v>
      </c>
    </row>
    <row r="2088" spans="1:19">
      <c r="A2088">
        <v>60000185</v>
      </c>
      <c r="B2088">
        <v>46</v>
      </c>
      <c r="C2088" t="s">
        <v>33</v>
      </c>
      <c r="D2088" t="s">
        <v>40</v>
      </c>
      <c r="E2088" t="s">
        <v>34</v>
      </c>
      <c r="F2088" t="s">
        <v>21</v>
      </c>
      <c r="G2088" s="23">
        <v>0.37</v>
      </c>
      <c r="H2088" t="s">
        <v>42</v>
      </c>
      <c r="I2088" t="s">
        <v>73</v>
      </c>
      <c r="J2088" t="s">
        <v>58</v>
      </c>
      <c r="K2088" t="s">
        <v>117</v>
      </c>
      <c r="L2088" t="s">
        <v>26</v>
      </c>
      <c r="M2088" t="s">
        <v>125</v>
      </c>
      <c r="N2088" t="s">
        <v>51</v>
      </c>
      <c r="O2088">
        <v>0</v>
      </c>
      <c r="P2088">
        <v>60974</v>
      </c>
      <c r="Q2088">
        <f t="shared" si="35"/>
        <v>6.0974E-2</v>
      </c>
      <c r="R2088">
        <v>43252</v>
      </c>
      <c r="S2088" t="s">
        <v>122</v>
      </c>
    </row>
    <row r="2089" spans="1:19">
      <c r="A2089">
        <v>60000186</v>
      </c>
      <c r="B2089">
        <v>43</v>
      </c>
      <c r="C2089" t="s">
        <v>33</v>
      </c>
      <c r="D2089" t="s">
        <v>19</v>
      </c>
      <c r="E2089" t="s">
        <v>75</v>
      </c>
      <c r="F2089" t="s">
        <v>21</v>
      </c>
      <c r="G2089" s="23">
        <v>0.16</v>
      </c>
      <c r="H2089" t="s">
        <v>22</v>
      </c>
      <c r="I2089" t="s">
        <v>65</v>
      </c>
      <c r="J2089" t="s">
        <v>46</v>
      </c>
      <c r="K2089" t="s">
        <v>55</v>
      </c>
      <c r="L2089" t="s">
        <v>26</v>
      </c>
      <c r="M2089" t="s">
        <v>125</v>
      </c>
      <c r="N2089" t="s">
        <v>51</v>
      </c>
      <c r="O2089">
        <v>2</v>
      </c>
      <c r="P2089">
        <v>42439</v>
      </c>
      <c r="Q2089">
        <f t="shared" si="35"/>
        <v>4.2438999999999998E-2</v>
      </c>
      <c r="R2089">
        <v>43252</v>
      </c>
      <c r="S2089" t="s">
        <v>122</v>
      </c>
    </row>
    <row r="2090" spans="1:19">
      <c r="A2090">
        <v>60000187</v>
      </c>
      <c r="B2090">
        <v>23</v>
      </c>
      <c r="C2090" t="s">
        <v>33</v>
      </c>
      <c r="D2090" t="s">
        <v>19</v>
      </c>
      <c r="E2090" t="s">
        <v>72</v>
      </c>
      <c r="F2090" t="s">
        <v>21</v>
      </c>
      <c r="G2090" s="23">
        <v>0.38</v>
      </c>
      <c r="H2090" t="s">
        <v>42</v>
      </c>
      <c r="I2090" t="s">
        <v>49</v>
      </c>
      <c r="J2090" t="s">
        <v>54</v>
      </c>
      <c r="K2090" t="s">
        <v>32</v>
      </c>
      <c r="L2090" t="s">
        <v>26</v>
      </c>
      <c r="M2090" t="s">
        <v>125</v>
      </c>
      <c r="N2090" t="s">
        <v>28</v>
      </c>
      <c r="O2090">
        <v>0</v>
      </c>
      <c r="P2090">
        <v>55285</v>
      </c>
      <c r="Q2090">
        <f t="shared" si="35"/>
        <v>5.5285000000000001E-2</v>
      </c>
      <c r="R2090">
        <v>43252</v>
      </c>
      <c r="S2090" t="s">
        <v>122</v>
      </c>
    </row>
    <row r="2091" spans="1:19">
      <c r="A2091">
        <v>60000188</v>
      </c>
      <c r="B2091">
        <v>31</v>
      </c>
      <c r="C2091" t="s">
        <v>33</v>
      </c>
      <c r="D2091" t="s">
        <v>40</v>
      </c>
      <c r="E2091" t="s">
        <v>72</v>
      </c>
      <c r="F2091" t="s">
        <v>21</v>
      </c>
      <c r="G2091" s="23">
        <v>0.17</v>
      </c>
      <c r="H2091" t="s">
        <v>22</v>
      </c>
      <c r="I2091" t="s">
        <v>68</v>
      </c>
      <c r="J2091" t="s">
        <v>46</v>
      </c>
      <c r="K2091" t="s">
        <v>102</v>
      </c>
      <c r="L2091" t="s">
        <v>26</v>
      </c>
      <c r="M2091" t="s">
        <v>125</v>
      </c>
      <c r="N2091" t="s">
        <v>51</v>
      </c>
      <c r="O2091">
        <v>4</v>
      </c>
      <c r="P2091">
        <v>53544</v>
      </c>
      <c r="Q2091">
        <f t="shared" si="35"/>
        <v>5.3544000000000001E-2</v>
      </c>
      <c r="R2091">
        <v>43252</v>
      </c>
      <c r="S2091" t="s">
        <v>122</v>
      </c>
    </row>
    <row r="2092" spans="1:19">
      <c r="A2092">
        <v>60000189</v>
      </c>
      <c r="B2092">
        <v>20</v>
      </c>
      <c r="C2092" t="s">
        <v>33</v>
      </c>
      <c r="D2092" t="s">
        <v>19</v>
      </c>
      <c r="E2092" t="s">
        <v>41</v>
      </c>
      <c r="F2092" t="s">
        <v>21</v>
      </c>
      <c r="G2092" s="23">
        <v>0.26</v>
      </c>
      <c r="H2092" t="s">
        <v>53</v>
      </c>
      <c r="I2092" t="s">
        <v>83</v>
      </c>
      <c r="J2092" t="s">
        <v>38</v>
      </c>
      <c r="K2092" t="s">
        <v>115</v>
      </c>
      <c r="L2092" t="s">
        <v>26</v>
      </c>
      <c r="M2092" t="s">
        <v>125</v>
      </c>
      <c r="N2092" t="s">
        <v>51</v>
      </c>
      <c r="O2092">
        <v>7</v>
      </c>
      <c r="P2092">
        <v>73705</v>
      </c>
      <c r="Q2092">
        <f t="shared" si="35"/>
        <v>7.3705000000000007E-2</v>
      </c>
      <c r="R2092">
        <v>43252</v>
      </c>
      <c r="S2092" t="s">
        <v>122</v>
      </c>
    </row>
    <row r="2093" spans="1:19">
      <c r="A2093">
        <v>60000190</v>
      </c>
      <c r="B2093">
        <v>64</v>
      </c>
      <c r="C2093" t="s">
        <v>18</v>
      </c>
      <c r="D2093" t="s">
        <v>40</v>
      </c>
      <c r="E2093" t="s">
        <v>44</v>
      </c>
      <c r="F2093" t="s">
        <v>21</v>
      </c>
      <c r="G2093" s="23">
        <v>0.19</v>
      </c>
      <c r="H2093" t="s">
        <v>29</v>
      </c>
      <c r="I2093" t="s">
        <v>68</v>
      </c>
      <c r="J2093" t="s">
        <v>24</v>
      </c>
      <c r="K2093" t="s">
        <v>71</v>
      </c>
      <c r="L2093" t="s">
        <v>26</v>
      </c>
      <c r="M2093" t="s">
        <v>125</v>
      </c>
      <c r="N2093" t="s">
        <v>28</v>
      </c>
      <c r="O2093">
        <v>0</v>
      </c>
      <c r="P2093">
        <v>45558</v>
      </c>
      <c r="Q2093">
        <f t="shared" si="35"/>
        <v>4.5558000000000001E-2</v>
      </c>
      <c r="R2093">
        <v>43252</v>
      </c>
      <c r="S2093" t="s">
        <v>122</v>
      </c>
    </row>
    <row r="2094" spans="1:19">
      <c r="A2094">
        <v>60000191</v>
      </c>
      <c r="B2094">
        <v>26</v>
      </c>
      <c r="C2094" t="s">
        <v>33</v>
      </c>
      <c r="D2094" t="s">
        <v>19</v>
      </c>
      <c r="E2094" t="s">
        <v>44</v>
      </c>
      <c r="F2094" t="s">
        <v>21</v>
      </c>
      <c r="G2094" s="23">
        <v>0.22</v>
      </c>
      <c r="H2094" t="s">
        <v>29</v>
      </c>
      <c r="I2094" t="s">
        <v>73</v>
      </c>
      <c r="J2094" t="s">
        <v>31</v>
      </c>
      <c r="K2094" t="s">
        <v>102</v>
      </c>
      <c r="L2094" t="s">
        <v>26</v>
      </c>
      <c r="M2094" t="s">
        <v>125</v>
      </c>
      <c r="N2094" t="s">
        <v>28</v>
      </c>
      <c r="O2094">
        <v>0</v>
      </c>
      <c r="P2094">
        <v>52826</v>
      </c>
      <c r="Q2094">
        <f t="shared" si="35"/>
        <v>5.2825999999999998E-2</v>
      </c>
      <c r="R2094">
        <v>43252</v>
      </c>
      <c r="S2094" t="s">
        <v>122</v>
      </c>
    </row>
    <row r="2095" spans="1:19">
      <c r="A2095">
        <v>60000192</v>
      </c>
      <c r="B2095">
        <v>46</v>
      </c>
      <c r="C2095" t="s">
        <v>18</v>
      </c>
      <c r="D2095" t="s">
        <v>19</v>
      </c>
      <c r="E2095" t="s">
        <v>20</v>
      </c>
      <c r="F2095" t="s">
        <v>21</v>
      </c>
      <c r="G2095" s="23">
        <v>0.23</v>
      </c>
      <c r="H2095" t="s">
        <v>29</v>
      </c>
      <c r="I2095" t="s">
        <v>86</v>
      </c>
      <c r="J2095" t="s">
        <v>31</v>
      </c>
      <c r="K2095" t="s">
        <v>110</v>
      </c>
      <c r="L2095" t="s">
        <v>26</v>
      </c>
      <c r="M2095" t="s">
        <v>125</v>
      </c>
      <c r="N2095" t="s">
        <v>51</v>
      </c>
      <c r="O2095">
        <v>1</v>
      </c>
      <c r="P2095">
        <v>82293</v>
      </c>
      <c r="Q2095">
        <f t="shared" ref="Q2095:Q2158" si="36">+P2095/1000000</f>
        <v>8.2293000000000005E-2</v>
      </c>
      <c r="R2095">
        <v>43252</v>
      </c>
      <c r="S2095" t="s">
        <v>122</v>
      </c>
    </row>
    <row r="2096" spans="1:19">
      <c r="A2096">
        <v>60000193</v>
      </c>
      <c r="B2096">
        <v>45</v>
      </c>
      <c r="C2096" t="s">
        <v>33</v>
      </c>
      <c r="D2096" t="s">
        <v>40</v>
      </c>
      <c r="E2096" t="s">
        <v>85</v>
      </c>
      <c r="F2096" t="s">
        <v>21</v>
      </c>
      <c r="G2096" s="23">
        <v>0.21</v>
      </c>
      <c r="H2096" t="s">
        <v>29</v>
      </c>
      <c r="I2096" t="s">
        <v>23</v>
      </c>
      <c r="J2096" t="s">
        <v>24</v>
      </c>
      <c r="K2096" t="s">
        <v>87</v>
      </c>
      <c r="L2096" t="s">
        <v>26</v>
      </c>
      <c r="M2096" t="s">
        <v>125</v>
      </c>
      <c r="N2096" t="s">
        <v>28</v>
      </c>
      <c r="O2096">
        <v>0</v>
      </c>
      <c r="P2096">
        <v>40443</v>
      </c>
      <c r="Q2096">
        <f t="shared" si="36"/>
        <v>4.0443E-2</v>
      </c>
      <c r="R2096">
        <v>43252</v>
      </c>
      <c r="S2096" t="s">
        <v>122</v>
      </c>
    </row>
    <row r="2097" spans="1:19">
      <c r="A2097">
        <v>60000194</v>
      </c>
      <c r="B2097">
        <v>45</v>
      </c>
      <c r="C2097" t="s">
        <v>18</v>
      </c>
      <c r="D2097" t="s">
        <v>19</v>
      </c>
      <c r="E2097" t="s">
        <v>85</v>
      </c>
      <c r="F2097" t="s">
        <v>21</v>
      </c>
      <c r="G2097" s="23">
        <v>0.18</v>
      </c>
      <c r="H2097" t="s">
        <v>22</v>
      </c>
      <c r="I2097" t="s">
        <v>57</v>
      </c>
      <c r="J2097" t="s">
        <v>78</v>
      </c>
      <c r="K2097" t="s">
        <v>115</v>
      </c>
      <c r="L2097" t="s">
        <v>26</v>
      </c>
      <c r="M2097" t="s">
        <v>125</v>
      </c>
      <c r="N2097" t="s">
        <v>28</v>
      </c>
      <c r="O2097">
        <v>0</v>
      </c>
      <c r="P2097">
        <v>43835</v>
      </c>
      <c r="Q2097">
        <f t="shared" si="36"/>
        <v>4.3834999999999999E-2</v>
      </c>
      <c r="R2097">
        <v>43252</v>
      </c>
      <c r="S2097" t="s">
        <v>122</v>
      </c>
    </row>
    <row r="2098" spans="1:19">
      <c r="A2098">
        <v>60000195</v>
      </c>
      <c r="B2098">
        <v>56</v>
      </c>
      <c r="C2098" t="s">
        <v>33</v>
      </c>
      <c r="D2098" t="s">
        <v>19</v>
      </c>
      <c r="E2098" t="s">
        <v>85</v>
      </c>
      <c r="F2098" t="s">
        <v>21</v>
      </c>
      <c r="G2098" s="23">
        <v>0.3</v>
      </c>
      <c r="H2098" t="s">
        <v>53</v>
      </c>
      <c r="I2098" t="s">
        <v>30</v>
      </c>
      <c r="J2098" t="s">
        <v>31</v>
      </c>
      <c r="K2098" t="s">
        <v>102</v>
      </c>
      <c r="L2098" t="s">
        <v>26</v>
      </c>
      <c r="M2098" t="s">
        <v>125</v>
      </c>
      <c r="N2098" t="s">
        <v>51</v>
      </c>
      <c r="O2098">
        <v>3</v>
      </c>
      <c r="P2098">
        <v>49676</v>
      </c>
      <c r="Q2098">
        <f t="shared" si="36"/>
        <v>4.9675999999999998E-2</v>
      </c>
      <c r="R2098">
        <v>43252</v>
      </c>
      <c r="S2098" t="s">
        <v>122</v>
      </c>
    </row>
    <row r="2099" spans="1:19">
      <c r="A2099">
        <v>60000196</v>
      </c>
      <c r="B2099">
        <v>25</v>
      </c>
      <c r="C2099" t="s">
        <v>33</v>
      </c>
      <c r="D2099" t="s">
        <v>19</v>
      </c>
      <c r="E2099" t="s">
        <v>67</v>
      </c>
      <c r="F2099" t="s">
        <v>21</v>
      </c>
      <c r="G2099" s="23">
        <v>0.16</v>
      </c>
      <c r="H2099" t="s">
        <v>22</v>
      </c>
      <c r="I2099" t="s">
        <v>62</v>
      </c>
      <c r="J2099" t="s">
        <v>69</v>
      </c>
      <c r="K2099" t="s">
        <v>113</v>
      </c>
      <c r="L2099" t="s">
        <v>26</v>
      </c>
      <c r="M2099" t="s">
        <v>125</v>
      </c>
      <c r="N2099" t="s">
        <v>28</v>
      </c>
      <c r="O2099">
        <v>0</v>
      </c>
      <c r="P2099">
        <v>58756</v>
      </c>
      <c r="Q2099">
        <f t="shared" si="36"/>
        <v>5.8756000000000003E-2</v>
      </c>
      <c r="R2099">
        <v>43252</v>
      </c>
      <c r="S2099" t="s">
        <v>122</v>
      </c>
    </row>
    <row r="2100" spans="1:19">
      <c r="A2100">
        <v>60000197</v>
      </c>
      <c r="B2100">
        <v>50</v>
      </c>
      <c r="C2100" t="s">
        <v>33</v>
      </c>
      <c r="D2100" t="s">
        <v>19</v>
      </c>
      <c r="E2100" t="s">
        <v>41</v>
      </c>
      <c r="F2100" t="s">
        <v>21</v>
      </c>
      <c r="G2100" s="23">
        <v>0.22</v>
      </c>
      <c r="H2100" t="s">
        <v>29</v>
      </c>
      <c r="I2100" t="s">
        <v>65</v>
      </c>
      <c r="J2100" t="s">
        <v>24</v>
      </c>
      <c r="K2100" t="s">
        <v>106</v>
      </c>
      <c r="L2100" t="s">
        <v>26</v>
      </c>
      <c r="M2100" t="s">
        <v>125</v>
      </c>
      <c r="N2100" t="s">
        <v>28</v>
      </c>
      <c r="O2100">
        <v>0</v>
      </c>
      <c r="P2100">
        <v>44749</v>
      </c>
      <c r="Q2100">
        <f t="shared" si="36"/>
        <v>4.4748999999999997E-2</v>
      </c>
      <c r="R2100">
        <v>43252</v>
      </c>
      <c r="S2100" t="s">
        <v>122</v>
      </c>
    </row>
    <row r="2101" spans="1:19">
      <c r="A2101">
        <v>60000198</v>
      </c>
      <c r="B2101">
        <v>21</v>
      </c>
      <c r="C2101" t="s">
        <v>18</v>
      </c>
      <c r="D2101" t="s">
        <v>19</v>
      </c>
      <c r="E2101" t="s">
        <v>64</v>
      </c>
      <c r="F2101" t="s">
        <v>21</v>
      </c>
      <c r="G2101" s="23">
        <v>0.3</v>
      </c>
      <c r="H2101" t="s">
        <v>53</v>
      </c>
      <c r="I2101" t="s">
        <v>68</v>
      </c>
      <c r="J2101" t="s">
        <v>66</v>
      </c>
      <c r="K2101" t="s">
        <v>43</v>
      </c>
      <c r="L2101" t="s">
        <v>26</v>
      </c>
      <c r="M2101" t="s">
        <v>125</v>
      </c>
      <c r="N2101" t="s">
        <v>51</v>
      </c>
      <c r="O2101">
        <v>0</v>
      </c>
      <c r="P2101">
        <v>51884</v>
      </c>
      <c r="Q2101">
        <f t="shared" si="36"/>
        <v>5.1884E-2</v>
      </c>
      <c r="R2101">
        <v>43252</v>
      </c>
      <c r="S2101" t="s">
        <v>122</v>
      </c>
    </row>
    <row r="2102" spans="1:19">
      <c r="A2102">
        <v>60000199</v>
      </c>
      <c r="B2102">
        <v>64</v>
      </c>
      <c r="C2102" t="s">
        <v>18</v>
      </c>
      <c r="D2102" t="s">
        <v>19</v>
      </c>
      <c r="E2102" t="s">
        <v>67</v>
      </c>
      <c r="F2102" t="s">
        <v>21</v>
      </c>
      <c r="G2102" s="23">
        <v>0.33</v>
      </c>
      <c r="H2102" t="s">
        <v>42</v>
      </c>
      <c r="I2102" t="s">
        <v>76</v>
      </c>
      <c r="J2102" t="s">
        <v>74</v>
      </c>
      <c r="K2102" t="s">
        <v>116</v>
      </c>
      <c r="L2102" t="s">
        <v>26</v>
      </c>
      <c r="M2102" t="s">
        <v>125</v>
      </c>
      <c r="N2102" t="s">
        <v>28</v>
      </c>
      <c r="O2102">
        <v>0</v>
      </c>
      <c r="P2102">
        <v>50267</v>
      </c>
      <c r="Q2102">
        <f t="shared" si="36"/>
        <v>5.0266999999999999E-2</v>
      </c>
      <c r="R2102">
        <v>43252</v>
      </c>
      <c r="S2102" t="s">
        <v>122</v>
      </c>
    </row>
    <row r="2103" spans="1:19">
      <c r="A2103">
        <v>60000200</v>
      </c>
      <c r="B2103">
        <v>35</v>
      </c>
      <c r="C2103" t="s">
        <v>33</v>
      </c>
      <c r="D2103" t="s">
        <v>40</v>
      </c>
      <c r="E2103" t="s">
        <v>34</v>
      </c>
      <c r="F2103" t="s">
        <v>21</v>
      </c>
      <c r="G2103" s="23">
        <v>0.25</v>
      </c>
      <c r="H2103" t="s">
        <v>53</v>
      </c>
      <c r="I2103" t="s">
        <v>37</v>
      </c>
      <c r="J2103" t="s">
        <v>31</v>
      </c>
      <c r="K2103" t="s">
        <v>117</v>
      </c>
      <c r="L2103" t="s">
        <v>26</v>
      </c>
      <c r="M2103" t="s">
        <v>125</v>
      </c>
      <c r="N2103" t="s">
        <v>28</v>
      </c>
      <c r="O2103">
        <v>0</v>
      </c>
      <c r="P2103">
        <v>31636</v>
      </c>
      <c r="Q2103">
        <f t="shared" si="36"/>
        <v>3.1635999999999997E-2</v>
      </c>
      <c r="R2103">
        <v>43252</v>
      </c>
      <c r="S2103" t="s">
        <v>122</v>
      </c>
    </row>
    <row r="2104" spans="1:19">
      <c r="A2104">
        <v>60000201</v>
      </c>
      <c r="B2104">
        <v>31</v>
      </c>
      <c r="C2104" t="s">
        <v>33</v>
      </c>
      <c r="D2104" t="s">
        <v>19</v>
      </c>
      <c r="E2104" t="s">
        <v>20</v>
      </c>
      <c r="F2104" t="s">
        <v>21</v>
      </c>
      <c r="G2104" s="23">
        <v>0.25</v>
      </c>
      <c r="H2104" t="s">
        <v>53</v>
      </c>
      <c r="I2104" t="s">
        <v>23</v>
      </c>
      <c r="J2104" t="s">
        <v>88</v>
      </c>
      <c r="K2104" t="s">
        <v>55</v>
      </c>
      <c r="L2104" t="s">
        <v>26</v>
      </c>
      <c r="M2104" t="s">
        <v>125</v>
      </c>
      <c r="N2104" t="s">
        <v>51</v>
      </c>
      <c r="O2104">
        <v>3</v>
      </c>
      <c r="P2104">
        <v>77924</v>
      </c>
      <c r="Q2104">
        <f t="shared" si="36"/>
        <v>7.7923999999999993E-2</v>
      </c>
      <c r="R2104">
        <v>43252</v>
      </c>
      <c r="S2104" t="s">
        <v>122</v>
      </c>
    </row>
    <row r="2105" spans="1:19">
      <c r="A2105">
        <v>60000202</v>
      </c>
      <c r="B2105">
        <v>26</v>
      </c>
      <c r="C2105" t="s">
        <v>33</v>
      </c>
      <c r="D2105" t="s">
        <v>19</v>
      </c>
      <c r="E2105" t="s">
        <v>44</v>
      </c>
      <c r="F2105" t="s">
        <v>21</v>
      </c>
      <c r="G2105" s="23">
        <v>0.12</v>
      </c>
      <c r="H2105" t="s">
        <v>22</v>
      </c>
      <c r="I2105" t="s">
        <v>65</v>
      </c>
      <c r="J2105" t="s">
        <v>66</v>
      </c>
      <c r="K2105" t="s">
        <v>117</v>
      </c>
      <c r="L2105" t="s">
        <v>26</v>
      </c>
      <c r="M2105" t="s">
        <v>125</v>
      </c>
      <c r="N2105" t="s">
        <v>51</v>
      </c>
      <c r="O2105">
        <v>0</v>
      </c>
      <c r="P2105">
        <v>35126</v>
      </c>
      <c r="Q2105">
        <f t="shared" si="36"/>
        <v>3.5125999999999998E-2</v>
      </c>
      <c r="R2105">
        <v>43252</v>
      </c>
      <c r="S2105" t="s">
        <v>122</v>
      </c>
    </row>
    <row r="2106" spans="1:19">
      <c r="A2106">
        <v>60000203</v>
      </c>
      <c r="B2106">
        <v>61</v>
      </c>
      <c r="C2106" t="s">
        <v>33</v>
      </c>
      <c r="D2106" t="s">
        <v>19</v>
      </c>
      <c r="E2106" t="s">
        <v>85</v>
      </c>
      <c r="F2106" t="s">
        <v>21</v>
      </c>
      <c r="G2106" s="23">
        <v>0.1</v>
      </c>
      <c r="H2106" t="s">
        <v>36</v>
      </c>
      <c r="I2106" t="s">
        <v>68</v>
      </c>
      <c r="J2106" t="s">
        <v>46</v>
      </c>
      <c r="K2106" t="s">
        <v>103</v>
      </c>
      <c r="L2106" t="s">
        <v>26</v>
      </c>
      <c r="M2106" t="s">
        <v>125</v>
      </c>
      <c r="N2106" t="s">
        <v>51</v>
      </c>
      <c r="O2106">
        <v>2</v>
      </c>
      <c r="P2106">
        <v>74576</v>
      </c>
      <c r="Q2106">
        <f t="shared" si="36"/>
        <v>7.4576000000000003E-2</v>
      </c>
      <c r="R2106">
        <v>43252</v>
      </c>
      <c r="S2106" t="s">
        <v>122</v>
      </c>
    </row>
    <row r="2107" spans="1:19">
      <c r="A2107">
        <v>60000204</v>
      </c>
      <c r="B2107">
        <v>27</v>
      </c>
      <c r="C2107" t="s">
        <v>18</v>
      </c>
      <c r="D2107" t="s">
        <v>40</v>
      </c>
      <c r="E2107" t="s">
        <v>67</v>
      </c>
      <c r="F2107" t="s">
        <v>21</v>
      </c>
      <c r="G2107" s="23">
        <v>0.31</v>
      </c>
      <c r="H2107" t="s">
        <v>53</v>
      </c>
      <c r="I2107" t="s">
        <v>57</v>
      </c>
      <c r="J2107" t="s">
        <v>38</v>
      </c>
      <c r="K2107" t="s">
        <v>109</v>
      </c>
      <c r="L2107" t="s">
        <v>26</v>
      </c>
      <c r="M2107" t="s">
        <v>125</v>
      </c>
      <c r="N2107" t="s">
        <v>28</v>
      </c>
      <c r="O2107">
        <v>0</v>
      </c>
      <c r="P2107">
        <v>42426</v>
      </c>
      <c r="Q2107">
        <f t="shared" si="36"/>
        <v>4.2425999999999998E-2</v>
      </c>
      <c r="R2107">
        <v>43252</v>
      </c>
      <c r="S2107" t="s">
        <v>122</v>
      </c>
    </row>
    <row r="2108" spans="1:19">
      <c r="A2108">
        <v>60000205</v>
      </c>
      <c r="B2108">
        <v>36</v>
      </c>
      <c r="C2108" t="s">
        <v>33</v>
      </c>
      <c r="D2108" t="s">
        <v>40</v>
      </c>
      <c r="E2108" t="s">
        <v>75</v>
      </c>
      <c r="F2108" t="s">
        <v>21</v>
      </c>
      <c r="G2108" s="23">
        <v>0.2</v>
      </c>
      <c r="H2108" t="s">
        <v>29</v>
      </c>
      <c r="I2108" t="s">
        <v>60</v>
      </c>
      <c r="J2108" t="s">
        <v>31</v>
      </c>
      <c r="K2108" t="s">
        <v>113</v>
      </c>
      <c r="L2108" t="s">
        <v>26</v>
      </c>
      <c r="M2108" t="s">
        <v>125</v>
      </c>
      <c r="N2108" t="s">
        <v>28</v>
      </c>
      <c r="O2108">
        <v>0</v>
      </c>
      <c r="P2108">
        <v>41369</v>
      </c>
      <c r="Q2108">
        <f t="shared" si="36"/>
        <v>4.1369000000000003E-2</v>
      </c>
      <c r="R2108">
        <v>43252</v>
      </c>
      <c r="S2108" t="s">
        <v>122</v>
      </c>
    </row>
    <row r="2109" spans="1:19">
      <c r="A2109">
        <v>60000206</v>
      </c>
      <c r="B2109">
        <v>41</v>
      </c>
      <c r="C2109" t="s">
        <v>18</v>
      </c>
      <c r="D2109" t="s">
        <v>19</v>
      </c>
      <c r="E2109" t="s">
        <v>85</v>
      </c>
      <c r="F2109" t="s">
        <v>21</v>
      </c>
      <c r="G2109" s="23">
        <v>0.28999999999999998</v>
      </c>
      <c r="H2109" t="s">
        <v>53</v>
      </c>
      <c r="I2109" t="s">
        <v>76</v>
      </c>
      <c r="J2109" t="s">
        <v>24</v>
      </c>
      <c r="K2109" t="s">
        <v>107</v>
      </c>
      <c r="L2109" t="s">
        <v>26</v>
      </c>
      <c r="M2109" t="s">
        <v>125</v>
      </c>
      <c r="N2109" t="s">
        <v>51</v>
      </c>
      <c r="O2109">
        <v>2</v>
      </c>
      <c r="P2109">
        <v>80132</v>
      </c>
      <c r="Q2109">
        <f t="shared" si="36"/>
        <v>8.0131999999999995E-2</v>
      </c>
      <c r="R2109">
        <v>43252</v>
      </c>
      <c r="S2109" t="s">
        <v>122</v>
      </c>
    </row>
    <row r="2110" spans="1:19">
      <c r="A2110">
        <v>60000207</v>
      </c>
      <c r="B2110">
        <v>20</v>
      </c>
      <c r="C2110" t="s">
        <v>33</v>
      </c>
      <c r="D2110" t="s">
        <v>19</v>
      </c>
      <c r="E2110" t="s">
        <v>44</v>
      </c>
      <c r="F2110" t="s">
        <v>21</v>
      </c>
      <c r="G2110" s="23">
        <v>0.17</v>
      </c>
      <c r="H2110" t="s">
        <v>22</v>
      </c>
      <c r="I2110" t="s">
        <v>70</v>
      </c>
      <c r="J2110" t="s">
        <v>88</v>
      </c>
      <c r="K2110" t="s">
        <v>98</v>
      </c>
      <c r="L2110" t="s">
        <v>26</v>
      </c>
      <c r="M2110" t="s">
        <v>125</v>
      </c>
      <c r="N2110" t="s">
        <v>28</v>
      </c>
      <c r="O2110">
        <v>0</v>
      </c>
      <c r="P2110">
        <v>54339</v>
      </c>
      <c r="Q2110">
        <f t="shared" si="36"/>
        <v>5.4338999999999998E-2</v>
      </c>
      <c r="R2110">
        <v>43252</v>
      </c>
      <c r="S2110" t="s">
        <v>122</v>
      </c>
    </row>
    <row r="2111" spans="1:19">
      <c r="A2111">
        <v>60000208</v>
      </c>
      <c r="B2111">
        <v>44</v>
      </c>
      <c r="C2111" t="s">
        <v>18</v>
      </c>
      <c r="D2111" t="s">
        <v>40</v>
      </c>
      <c r="E2111" t="s">
        <v>75</v>
      </c>
      <c r="F2111" t="s">
        <v>21</v>
      </c>
      <c r="G2111" s="23">
        <v>0.34</v>
      </c>
      <c r="H2111" t="s">
        <v>42</v>
      </c>
      <c r="I2111" t="s">
        <v>62</v>
      </c>
      <c r="J2111" t="s">
        <v>38</v>
      </c>
      <c r="K2111" t="s">
        <v>108</v>
      </c>
      <c r="L2111" t="s">
        <v>26</v>
      </c>
      <c r="M2111" t="s">
        <v>125</v>
      </c>
      <c r="N2111" t="s">
        <v>51</v>
      </c>
      <c r="O2111">
        <v>2</v>
      </c>
      <c r="P2111">
        <v>29293</v>
      </c>
      <c r="Q2111">
        <f t="shared" si="36"/>
        <v>2.9293E-2</v>
      </c>
      <c r="R2111">
        <v>43252</v>
      </c>
      <c r="S2111" t="s">
        <v>122</v>
      </c>
    </row>
    <row r="2112" spans="1:19">
      <c r="A2112">
        <v>60000209</v>
      </c>
      <c r="B2112">
        <v>35</v>
      </c>
      <c r="C2112" t="s">
        <v>18</v>
      </c>
      <c r="D2112" t="s">
        <v>19</v>
      </c>
      <c r="E2112" t="s">
        <v>64</v>
      </c>
      <c r="F2112" t="s">
        <v>21</v>
      </c>
      <c r="G2112" s="23">
        <v>0.35</v>
      </c>
      <c r="H2112" t="s">
        <v>42</v>
      </c>
      <c r="I2112" t="s">
        <v>49</v>
      </c>
      <c r="J2112" t="s">
        <v>38</v>
      </c>
      <c r="K2112" t="s">
        <v>102</v>
      </c>
      <c r="L2112" t="s">
        <v>26</v>
      </c>
      <c r="M2112" t="s">
        <v>125</v>
      </c>
      <c r="N2112" t="s">
        <v>51</v>
      </c>
      <c r="O2112">
        <v>2</v>
      </c>
      <c r="P2112">
        <v>49172</v>
      </c>
      <c r="Q2112">
        <f t="shared" si="36"/>
        <v>4.9172E-2</v>
      </c>
      <c r="R2112">
        <v>43252</v>
      </c>
      <c r="S2112" t="s">
        <v>122</v>
      </c>
    </row>
    <row r="2113" spans="1:19">
      <c r="A2113">
        <v>60000210</v>
      </c>
      <c r="B2113">
        <v>55</v>
      </c>
      <c r="C2113" t="s">
        <v>33</v>
      </c>
      <c r="D2113" t="s">
        <v>19</v>
      </c>
      <c r="E2113" t="s">
        <v>75</v>
      </c>
      <c r="F2113" t="s">
        <v>21</v>
      </c>
      <c r="G2113" s="23">
        <v>0.25</v>
      </c>
      <c r="H2113" t="s">
        <v>53</v>
      </c>
      <c r="I2113" t="s">
        <v>60</v>
      </c>
      <c r="J2113" t="s">
        <v>46</v>
      </c>
      <c r="K2113" t="s">
        <v>50</v>
      </c>
      <c r="L2113" t="s">
        <v>26</v>
      </c>
      <c r="M2113" t="s">
        <v>125</v>
      </c>
      <c r="N2113" t="s">
        <v>51</v>
      </c>
      <c r="O2113">
        <v>1</v>
      </c>
      <c r="P2113">
        <v>56939</v>
      </c>
      <c r="Q2113">
        <f t="shared" si="36"/>
        <v>5.6938999999999997E-2</v>
      </c>
      <c r="R2113">
        <v>43252</v>
      </c>
      <c r="S2113" t="s">
        <v>122</v>
      </c>
    </row>
    <row r="2114" spans="1:19">
      <c r="A2114">
        <v>60000211</v>
      </c>
      <c r="B2114">
        <v>62</v>
      </c>
      <c r="C2114" t="s">
        <v>33</v>
      </c>
      <c r="D2114" t="s">
        <v>40</v>
      </c>
      <c r="E2114" t="s">
        <v>41</v>
      </c>
      <c r="F2114" t="s">
        <v>21</v>
      </c>
      <c r="G2114" s="23">
        <v>0.13</v>
      </c>
      <c r="H2114" t="s">
        <v>22</v>
      </c>
      <c r="I2114" t="s">
        <v>30</v>
      </c>
      <c r="J2114" t="s">
        <v>38</v>
      </c>
      <c r="K2114" t="s">
        <v>59</v>
      </c>
      <c r="L2114" t="s">
        <v>26</v>
      </c>
      <c r="M2114" t="s">
        <v>125</v>
      </c>
      <c r="N2114" t="s">
        <v>51</v>
      </c>
      <c r="O2114">
        <v>6</v>
      </c>
      <c r="P2114">
        <v>68211</v>
      </c>
      <c r="Q2114">
        <f t="shared" si="36"/>
        <v>6.8210999999999994E-2</v>
      </c>
      <c r="R2114">
        <v>43252</v>
      </c>
      <c r="S2114" t="s">
        <v>122</v>
      </c>
    </row>
    <row r="2115" spans="1:19">
      <c r="A2115">
        <v>60000212</v>
      </c>
      <c r="B2115">
        <v>32</v>
      </c>
      <c r="C2115" t="s">
        <v>33</v>
      </c>
      <c r="D2115" t="s">
        <v>19</v>
      </c>
      <c r="E2115" t="s">
        <v>20</v>
      </c>
      <c r="F2115" t="s">
        <v>21</v>
      </c>
      <c r="G2115" s="23">
        <v>0.3</v>
      </c>
      <c r="H2115" t="s">
        <v>53</v>
      </c>
      <c r="I2115" t="s">
        <v>68</v>
      </c>
      <c r="J2115" t="s">
        <v>88</v>
      </c>
      <c r="K2115" t="s">
        <v>59</v>
      </c>
      <c r="L2115" t="s">
        <v>26</v>
      </c>
      <c r="M2115" t="s">
        <v>125</v>
      </c>
      <c r="N2115" t="s">
        <v>51</v>
      </c>
      <c r="O2115">
        <v>3</v>
      </c>
      <c r="P2115">
        <v>28402</v>
      </c>
      <c r="Q2115">
        <f t="shared" si="36"/>
        <v>2.8402E-2</v>
      </c>
      <c r="R2115">
        <v>43252</v>
      </c>
      <c r="S2115" t="s">
        <v>122</v>
      </c>
    </row>
    <row r="2116" spans="1:19">
      <c r="A2116">
        <v>60000213</v>
      </c>
      <c r="B2116">
        <v>56</v>
      </c>
      <c r="C2116" t="s">
        <v>18</v>
      </c>
      <c r="D2116" t="s">
        <v>19</v>
      </c>
      <c r="E2116" t="s">
        <v>41</v>
      </c>
      <c r="F2116" t="s">
        <v>21</v>
      </c>
      <c r="G2116" s="23">
        <v>0.31</v>
      </c>
      <c r="H2116" t="s">
        <v>53</v>
      </c>
      <c r="I2116" t="s">
        <v>83</v>
      </c>
      <c r="J2116" t="s">
        <v>46</v>
      </c>
      <c r="K2116" t="s">
        <v>87</v>
      </c>
      <c r="L2116" t="s">
        <v>26</v>
      </c>
      <c r="M2116" t="s">
        <v>125</v>
      </c>
      <c r="N2116" t="s">
        <v>51</v>
      </c>
      <c r="O2116">
        <v>7</v>
      </c>
      <c r="P2116">
        <v>55637</v>
      </c>
      <c r="Q2116">
        <f t="shared" si="36"/>
        <v>5.5636999999999999E-2</v>
      </c>
      <c r="R2116">
        <v>43252</v>
      </c>
      <c r="S2116" t="s">
        <v>122</v>
      </c>
    </row>
    <row r="2117" spans="1:19">
      <c r="A2117">
        <v>60000214</v>
      </c>
      <c r="B2117">
        <v>31</v>
      </c>
      <c r="C2117" t="s">
        <v>33</v>
      </c>
      <c r="D2117" t="s">
        <v>19</v>
      </c>
      <c r="E2117" t="s">
        <v>41</v>
      </c>
      <c r="F2117" t="s">
        <v>21</v>
      </c>
      <c r="G2117" s="23">
        <v>0.28999999999999998</v>
      </c>
      <c r="H2117" t="s">
        <v>53</v>
      </c>
      <c r="I2117" t="s">
        <v>83</v>
      </c>
      <c r="J2117" t="s">
        <v>24</v>
      </c>
      <c r="K2117" t="s">
        <v>47</v>
      </c>
      <c r="L2117" t="s">
        <v>26</v>
      </c>
      <c r="M2117" t="s">
        <v>125</v>
      </c>
      <c r="N2117" t="s">
        <v>51</v>
      </c>
      <c r="O2117">
        <v>7</v>
      </c>
      <c r="P2117">
        <v>60695</v>
      </c>
      <c r="Q2117">
        <f t="shared" si="36"/>
        <v>6.0694999999999999E-2</v>
      </c>
      <c r="R2117">
        <v>43252</v>
      </c>
      <c r="S2117" t="s">
        <v>122</v>
      </c>
    </row>
    <row r="2118" spans="1:19">
      <c r="A2118">
        <v>60000215</v>
      </c>
      <c r="B2118">
        <v>49</v>
      </c>
      <c r="C2118" t="s">
        <v>18</v>
      </c>
      <c r="D2118" t="s">
        <v>40</v>
      </c>
      <c r="E2118" t="s">
        <v>64</v>
      </c>
      <c r="F2118" t="s">
        <v>21</v>
      </c>
      <c r="G2118" s="23">
        <v>0.35</v>
      </c>
      <c r="H2118" t="s">
        <v>42</v>
      </c>
      <c r="I2118" t="s">
        <v>73</v>
      </c>
      <c r="J2118" t="s">
        <v>66</v>
      </c>
      <c r="K2118" t="s">
        <v>105</v>
      </c>
      <c r="L2118" t="s">
        <v>26</v>
      </c>
      <c r="M2118" t="s">
        <v>125</v>
      </c>
      <c r="N2118" t="s">
        <v>28</v>
      </c>
      <c r="O2118">
        <v>0</v>
      </c>
      <c r="P2118">
        <v>48064</v>
      </c>
      <c r="Q2118">
        <f t="shared" si="36"/>
        <v>4.8064000000000003E-2</v>
      </c>
      <c r="R2118">
        <v>43252</v>
      </c>
      <c r="S2118" t="s">
        <v>122</v>
      </c>
    </row>
    <row r="2119" spans="1:19">
      <c r="A2119">
        <v>60000216</v>
      </c>
      <c r="B2119">
        <v>21</v>
      </c>
      <c r="C2119" t="s">
        <v>18</v>
      </c>
      <c r="D2119" t="s">
        <v>40</v>
      </c>
      <c r="E2119" t="s">
        <v>67</v>
      </c>
      <c r="F2119" t="s">
        <v>21</v>
      </c>
      <c r="G2119" s="23">
        <v>0.37</v>
      </c>
      <c r="H2119" t="s">
        <v>42</v>
      </c>
      <c r="I2119" t="s">
        <v>65</v>
      </c>
      <c r="J2119" t="s">
        <v>66</v>
      </c>
      <c r="K2119" t="s">
        <v>114</v>
      </c>
      <c r="L2119" t="s">
        <v>26</v>
      </c>
      <c r="M2119" t="s">
        <v>125</v>
      </c>
      <c r="N2119" t="s">
        <v>28</v>
      </c>
      <c r="O2119">
        <v>0</v>
      </c>
      <c r="P2119">
        <v>65535</v>
      </c>
      <c r="Q2119">
        <f t="shared" si="36"/>
        <v>6.5534999999999996E-2</v>
      </c>
      <c r="R2119">
        <v>43252</v>
      </c>
      <c r="S2119" t="s">
        <v>122</v>
      </c>
    </row>
    <row r="2120" spans="1:19">
      <c r="A2120">
        <v>60000217</v>
      </c>
      <c r="B2120">
        <v>32</v>
      </c>
      <c r="C2120" t="s">
        <v>18</v>
      </c>
      <c r="D2120" t="s">
        <v>40</v>
      </c>
      <c r="E2120" t="s">
        <v>34</v>
      </c>
      <c r="F2120" t="s">
        <v>21</v>
      </c>
      <c r="G2120" s="23">
        <v>0.21</v>
      </c>
      <c r="H2120" t="s">
        <v>29</v>
      </c>
      <c r="I2120" t="s">
        <v>62</v>
      </c>
      <c r="J2120" t="s">
        <v>61</v>
      </c>
      <c r="K2120" t="s">
        <v>117</v>
      </c>
      <c r="L2120" t="s">
        <v>26</v>
      </c>
      <c r="M2120" t="s">
        <v>125</v>
      </c>
      <c r="N2120" t="s">
        <v>51</v>
      </c>
      <c r="O2120">
        <v>5</v>
      </c>
      <c r="P2120">
        <v>29266</v>
      </c>
      <c r="Q2120">
        <f t="shared" si="36"/>
        <v>2.9266E-2</v>
      </c>
      <c r="R2120">
        <v>43252</v>
      </c>
      <c r="S2120" t="s">
        <v>122</v>
      </c>
    </row>
    <row r="2121" spans="1:19">
      <c r="A2121">
        <v>60000218</v>
      </c>
      <c r="B2121">
        <v>43</v>
      </c>
      <c r="C2121" t="s">
        <v>33</v>
      </c>
      <c r="D2121" t="s">
        <v>19</v>
      </c>
      <c r="E2121" t="s">
        <v>67</v>
      </c>
      <c r="F2121" t="s">
        <v>21</v>
      </c>
      <c r="G2121" s="23">
        <v>0.32</v>
      </c>
      <c r="H2121" t="s">
        <v>42</v>
      </c>
      <c r="I2121" t="s">
        <v>57</v>
      </c>
      <c r="J2121" t="s">
        <v>74</v>
      </c>
      <c r="K2121" t="s">
        <v>25</v>
      </c>
      <c r="L2121" t="s">
        <v>26</v>
      </c>
      <c r="M2121" t="s">
        <v>125</v>
      </c>
      <c r="N2121" t="s">
        <v>51</v>
      </c>
      <c r="O2121">
        <v>2</v>
      </c>
      <c r="P2121">
        <v>45406</v>
      </c>
      <c r="Q2121">
        <f t="shared" si="36"/>
        <v>4.5406000000000002E-2</v>
      </c>
      <c r="R2121">
        <v>43252</v>
      </c>
      <c r="S2121" t="s">
        <v>122</v>
      </c>
    </row>
    <row r="2122" spans="1:19">
      <c r="A2122">
        <v>60000219</v>
      </c>
      <c r="B2122">
        <v>22</v>
      </c>
      <c r="C2122" t="s">
        <v>18</v>
      </c>
      <c r="D2122" t="s">
        <v>40</v>
      </c>
      <c r="E2122" t="s">
        <v>67</v>
      </c>
      <c r="F2122" t="s">
        <v>21</v>
      </c>
      <c r="G2122" s="23">
        <v>0.19</v>
      </c>
      <c r="H2122" t="s">
        <v>29</v>
      </c>
      <c r="I2122" t="s">
        <v>65</v>
      </c>
      <c r="J2122" t="s">
        <v>31</v>
      </c>
      <c r="K2122" t="s">
        <v>109</v>
      </c>
      <c r="L2122" t="s">
        <v>26</v>
      </c>
      <c r="M2122" t="s">
        <v>125</v>
      </c>
      <c r="N2122" t="s">
        <v>28</v>
      </c>
      <c r="O2122">
        <v>0</v>
      </c>
      <c r="P2122">
        <v>41428</v>
      </c>
      <c r="Q2122">
        <f t="shared" si="36"/>
        <v>4.1428E-2</v>
      </c>
      <c r="R2122">
        <v>43252</v>
      </c>
      <c r="S2122" t="s">
        <v>122</v>
      </c>
    </row>
    <row r="2123" spans="1:19">
      <c r="A2123">
        <v>60000220</v>
      </c>
      <c r="B2123">
        <v>31</v>
      </c>
      <c r="C2123" t="s">
        <v>18</v>
      </c>
      <c r="D2123" t="s">
        <v>19</v>
      </c>
      <c r="E2123" t="s">
        <v>72</v>
      </c>
      <c r="F2123" t="s">
        <v>21</v>
      </c>
      <c r="G2123" s="23">
        <v>0.27</v>
      </c>
      <c r="H2123" t="s">
        <v>53</v>
      </c>
      <c r="I2123" t="s">
        <v>37</v>
      </c>
      <c r="J2123" t="s">
        <v>58</v>
      </c>
      <c r="K2123" t="s">
        <v>99</v>
      </c>
      <c r="L2123" t="s">
        <v>26</v>
      </c>
      <c r="M2123" t="s">
        <v>125</v>
      </c>
      <c r="N2123" t="s">
        <v>28</v>
      </c>
      <c r="O2123">
        <v>0</v>
      </c>
      <c r="P2123">
        <v>73750</v>
      </c>
      <c r="Q2123">
        <f t="shared" si="36"/>
        <v>7.3749999999999996E-2</v>
      </c>
      <c r="R2123">
        <v>43252</v>
      </c>
      <c r="S2123" t="s">
        <v>122</v>
      </c>
    </row>
    <row r="2124" spans="1:19">
      <c r="A2124">
        <v>60000221</v>
      </c>
      <c r="B2124">
        <v>29</v>
      </c>
      <c r="C2124" t="s">
        <v>18</v>
      </c>
      <c r="D2124" t="s">
        <v>40</v>
      </c>
      <c r="E2124" t="s">
        <v>52</v>
      </c>
      <c r="F2124" t="s">
        <v>21</v>
      </c>
      <c r="G2124" s="23">
        <v>0.14000000000000001</v>
      </c>
      <c r="H2124" t="s">
        <v>22</v>
      </c>
      <c r="I2124" t="s">
        <v>49</v>
      </c>
      <c r="J2124" t="s">
        <v>61</v>
      </c>
      <c r="K2124" t="s">
        <v>111</v>
      </c>
      <c r="L2124" t="s">
        <v>26</v>
      </c>
      <c r="M2124" t="s">
        <v>125</v>
      </c>
      <c r="N2124" t="s">
        <v>51</v>
      </c>
      <c r="O2124">
        <v>2</v>
      </c>
      <c r="P2124">
        <v>72331</v>
      </c>
      <c r="Q2124">
        <f t="shared" si="36"/>
        <v>7.2331000000000006E-2</v>
      </c>
      <c r="R2124">
        <v>43252</v>
      </c>
      <c r="S2124" t="s">
        <v>122</v>
      </c>
    </row>
    <row r="2125" spans="1:19">
      <c r="A2125">
        <v>60000222</v>
      </c>
      <c r="B2125">
        <v>31</v>
      </c>
      <c r="C2125" t="s">
        <v>33</v>
      </c>
      <c r="D2125" t="s">
        <v>19</v>
      </c>
      <c r="E2125" t="s">
        <v>64</v>
      </c>
      <c r="F2125" t="s">
        <v>21</v>
      </c>
      <c r="G2125" s="23">
        <v>0.2</v>
      </c>
      <c r="H2125" t="s">
        <v>29</v>
      </c>
      <c r="I2125" t="s">
        <v>30</v>
      </c>
      <c r="J2125" t="s">
        <v>58</v>
      </c>
      <c r="K2125" t="s">
        <v>55</v>
      </c>
      <c r="L2125" t="s">
        <v>26</v>
      </c>
      <c r="M2125" t="s">
        <v>125</v>
      </c>
      <c r="N2125" t="s">
        <v>28</v>
      </c>
      <c r="O2125">
        <v>0</v>
      </c>
      <c r="P2125">
        <v>35213</v>
      </c>
      <c r="Q2125">
        <f t="shared" si="36"/>
        <v>3.5213000000000001E-2</v>
      </c>
      <c r="R2125">
        <v>43252</v>
      </c>
      <c r="S2125" t="s">
        <v>122</v>
      </c>
    </row>
    <row r="2126" spans="1:19">
      <c r="A2126">
        <v>60000223</v>
      </c>
      <c r="B2126">
        <v>60</v>
      </c>
      <c r="C2126" t="s">
        <v>18</v>
      </c>
      <c r="D2126" t="s">
        <v>40</v>
      </c>
      <c r="E2126" t="s">
        <v>85</v>
      </c>
      <c r="F2126" t="s">
        <v>21</v>
      </c>
      <c r="G2126" s="23">
        <v>0.13</v>
      </c>
      <c r="H2126" t="s">
        <v>22</v>
      </c>
      <c r="I2126" t="s">
        <v>60</v>
      </c>
      <c r="J2126" t="s">
        <v>58</v>
      </c>
      <c r="K2126" t="s">
        <v>50</v>
      </c>
      <c r="L2126" t="s">
        <v>26</v>
      </c>
      <c r="M2126" t="s">
        <v>125</v>
      </c>
      <c r="N2126" t="s">
        <v>51</v>
      </c>
      <c r="O2126">
        <v>4</v>
      </c>
      <c r="P2126">
        <v>82583</v>
      </c>
      <c r="Q2126">
        <f t="shared" si="36"/>
        <v>8.2583000000000004E-2</v>
      </c>
      <c r="R2126">
        <v>43252</v>
      </c>
      <c r="S2126" t="s">
        <v>122</v>
      </c>
    </row>
    <row r="2127" spans="1:19">
      <c r="A2127">
        <v>60000224</v>
      </c>
      <c r="B2127">
        <v>58</v>
      </c>
      <c r="C2127" t="s">
        <v>18</v>
      </c>
      <c r="D2127" t="s">
        <v>19</v>
      </c>
      <c r="E2127" t="s">
        <v>41</v>
      </c>
      <c r="F2127" t="s">
        <v>21</v>
      </c>
      <c r="G2127" s="23">
        <v>0.28999999999999998</v>
      </c>
      <c r="H2127" t="s">
        <v>53</v>
      </c>
      <c r="I2127" t="s">
        <v>68</v>
      </c>
      <c r="J2127" t="s">
        <v>46</v>
      </c>
      <c r="K2127" t="s">
        <v>95</v>
      </c>
      <c r="L2127" t="s">
        <v>26</v>
      </c>
      <c r="M2127" t="s">
        <v>125</v>
      </c>
      <c r="N2127" t="s">
        <v>51</v>
      </c>
      <c r="O2127">
        <v>2</v>
      </c>
      <c r="P2127">
        <v>80511</v>
      </c>
      <c r="Q2127">
        <f t="shared" si="36"/>
        <v>8.0510999999999999E-2</v>
      </c>
      <c r="R2127">
        <v>43252</v>
      </c>
      <c r="S2127" t="s">
        <v>122</v>
      </c>
    </row>
    <row r="2128" spans="1:19">
      <c r="A2128">
        <v>60000225</v>
      </c>
      <c r="B2128">
        <v>26</v>
      </c>
      <c r="C2128" t="s">
        <v>33</v>
      </c>
      <c r="D2128" t="s">
        <v>19</v>
      </c>
      <c r="E2128" t="s">
        <v>20</v>
      </c>
      <c r="F2128" t="s">
        <v>21</v>
      </c>
      <c r="G2128" s="23">
        <v>0.35</v>
      </c>
      <c r="H2128" t="s">
        <v>42</v>
      </c>
      <c r="I2128" t="s">
        <v>83</v>
      </c>
      <c r="J2128" t="s">
        <v>24</v>
      </c>
      <c r="K2128" t="s">
        <v>103</v>
      </c>
      <c r="L2128" t="s">
        <v>26</v>
      </c>
      <c r="M2128" t="s">
        <v>125</v>
      </c>
      <c r="N2128" t="s">
        <v>51</v>
      </c>
      <c r="O2128">
        <v>0</v>
      </c>
      <c r="P2128">
        <v>62373</v>
      </c>
      <c r="Q2128">
        <f t="shared" si="36"/>
        <v>6.2372999999999998E-2</v>
      </c>
      <c r="R2128">
        <v>43252</v>
      </c>
      <c r="S2128" t="s">
        <v>122</v>
      </c>
    </row>
    <row r="2129" spans="1:19">
      <c r="A2129">
        <v>60000226</v>
      </c>
      <c r="B2129">
        <v>62</v>
      </c>
      <c r="C2129" t="s">
        <v>18</v>
      </c>
      <c r="D2129" t="s">
        <v>40</v>
      </c>
      <c r="E2129" t="s">
        <v>20</v>
      </c>
      <c r="F2129" t="s">
        <v>21</v>
      </c>
      <c r="G2129" s="23">
        <v>0.38</v>
      </c>
      <c r="H2129" t="s">
        <v>42</v>
      </c>
      <c r="I2129" t="s">
        <v>68</v>
      </c>
      <c r="J2129" t="s">
        <v>54</v>
      </c>
      <c r="K2129" t="s">
        <v>83</v>
      </c>
      <c r="L2129" t="s">
        <v>26</v>
      </c>
      <c r="M2129" t="s">
        <v>125</v>
      </c>
      <c r="N2129" t="s">
        <v>51</v>
      </c>
      <c r="O2129">
        <v>3</v>
      </c>
      <c r="P2129">
        <v>67931</v>
      </c>
      <c r="Q2129">
        <f t="shared" si="36"/>
        <v>6.7931000000000005E-2</v>
      </c>
      <c r="R2129">
        <v>43252</v>
      </c>
      <c r="S2129" t="s">
        <v>122</v>
      </c>
    </row>
    <row r="2130" spans="1:19">
      <c r="A2130">
        <v>60000227</v>
      </c>
      <c r="B2130">
        <v>26</v>
      </c>
      <c r="C2130" t="s">
        <v>33</v>
      </c>
      <c r="D2130" t="s">
        <v>19</v>
      </c>
      <c r="E2130" t="s">
        <v>20</v>
      </c>
      <c r="F2130" t="s">
        <v>21</v>
      </c>
      <c r="G2130" s="23">
        <v>0.32</v>
      </c>
      <c r="H2130" t="s">
        <v>42</v>
      </c>
      <c r="I2130" t="s">
        <v>45</v>
      </c>
      <c r="J2130" t="s">
        <v>91</v>
      </c>
      <c r="K2130" t="s">
        <v>71</v>
      </c>
      <c r="L2130" t="s">
        <v>26</v>
      </c>
      <c r="M2130" t="s">
        <v>125</v>
      </c>
      <c r="N2130" t="s">
        <v>28</v>
      </c>
      <c r="O2130">
        <v>0</v>
      </c>
      <c r="P2130">
        <v>64359</v>
      </c>
      <c r="Q2130">
        <f t="shared" si="36"/>
        <v>6.4359E-2</v>
      </c>
      <c r="R2130">
        <v>43252</v>
      </c>
      <c r="S2130" t="s">
        <v>122</v>
      </c>
    </row>
    <row r="2131" spans="1:19">
      <c r="A2131">
        <v>60000228</v>
      </c>
      <c r="B2131">
        <v>59</v>
      </c>
      <c r="C2131" t="s">
        <v>33</v>
      </c>
      <c r="D2131" t="s">
        <v>19</v>
      </c>
      <c r="E2131" t="s">
        <v>20</v>
      </c>
      <c r="F2131" t="s">
        <v>21</v>
      </c>
      <c r="G2131" s="23">
        <v>0.11</v>
      </c>
      <c r="H2131" t="s">
        <v>36</v>
      </c>
      <c r="I2131" t="s">
        <v>68</v>
      </c>
      <c r="J2131" t="s">
        <v>58</v>
      </c>
      <c r="K2131" t="s">
        <v>32</v>
      </c>
      <c r="L2131" t="s">
        <v>26</v>
      </c>
      <c r="M2131" t="s">
        <v>125</v>
      </c>
      <c r="N2131" t="s">
        <v>51</v>
      </c>
      <c r="O2131">
        <v>7</v>
      </c>
      <c r="P2131">
        <v>63840</v>
      </c>
      <c r="Q2131">
        <f t="shared" si="36"/>
        <v>6.3839999999999994E-2</v>
      </c>
      <c r="R2131">
        <v>43252</v>
      </c>
      <c r="S2131" t="s">
        <v>122</v>
      </c>
    </row>
    <row r="2132" spans="1:19">
      <c r="A2132">
        <v>60000229</v>
      </c>
      <c r="B2132">
        <v>49</v>
      </c>
      <c r="C2132" t="s">
        <v>18</v>
      </c>
      <c r="D2132" t="s">
        <v>19</v>
      </c>
      <c r="E2132" t="s">
        <v>41</v>
      </c>
      <c r="F2132" t="s">
        <v>21</v>
      </c>
      <c r="G2132" s="23">
        <v>0.16</v>
      </c>
      <c r="H2132" t="s">
        <v>22</v>
      </c>
      <c r="I2132" t="s">
        <v>70</v>
      </c>
      <c r="J2132" t="s">
        <v>69</v>
      </c>
      <c r="K2132" t="s">
        <v>59</v>
      </c>
      <c r="L2132" t="s">
        <v>26</v>
      </c>
      <c r="M2132" t="s">
        <v>125</v>
      </c>
      <c r="N2132" t="s">
        <v>51</v>
      </c>
      <c r="O2132">
        <v>4</v>
      </c>
      <c r="P2132">
        <v>72038</v>
      </c>
      <c r="Q2132">
        <f t="shared" si="36"/>
        <v>7.2038000000000005E-2</v>
      </c>
      <c r="R2132">
        <v>43252</v>
      </c>
      <c r="S2132" t="s">
        <v>122</v>
      </c>
    </row>
    <row r="2133" spans="1:19">
      <c r="A2133">
        <v>60000230</v>
      </c>
      <c r="B2133">
        <v>26</v>
      </c>
      <c r="C2133" t="s">
        <v>18</v>
      </c>
      <c r="D2133" t="s">
        <v>19</v>
      </c>
      <c r="E2133" t="s">
        <v>52</v>
      </c>
      <c r="F2133" t="s">
        <v>21</v>
      </c>
      <c r="G2133" s="23">
        <v>0.28999999999999998</v>
      </c>
      <c r="H2133" t="s">
        <v>53</v>
      </c>
      <c r="I2133" t="s">
        <v>37</v>
      </c>
      <c r="J2133" t="s">
        <v>74</v>
      </c>
      <c r="K2133" t="s">
        <v>108</v>
      </c>
      <c r="L2133" t="s">
        <v>26</v>
      </c>
      <c r="M2133" t="s">
        <v>125</v>
      </c>
      <c r="N2133" t="s">
        <v>51</v>
      </c>
      <c r="O2133">
        <v>4</v>
      </c>
      <c r="P2133">
        <v>26811</v>
      </c>
      <c r="Q2133">
        <f t="shared" si="36"/>
        <v>2.6811000000000001E-2</v>
      </c>
      <c r="R2133">
        <v>43252</v>
      </c>
      <c r="S2133" t="s">
        <v>122</v>
      </c>
    </row>
    <row r="2134" spans="1:19">
      <c r="A2134">
        <v>60000231</v>
      </c>
      <c r="B2134">
        <v>27</v>
      </c>
      <c r="C2134" t="s">
        <v>18</v>
      </c>
      <c r="D2134" t="s">
        <v>19</v>
      </c>
      <c r="E2134" t="s">
        <v>41</v>
      </c>
      <c r="F2134" t="s">
        <v>21</v>
      </c>
      <c r="G2134" s="23">
        <v>0.24</v>
      </c>
      <c r="H2134" t="s">
        <v>29</v>
      </c>
      <c r="I2134" t="s">
        <v>30</v>
      </c>
      <c r="J2134" t="s">
        <v>46</v>
      </c>
      <c r="K2134" t="s">
        <v>117</v>
      </c>
      <c r="L2134" t="s">
        <v>26</v>
      </c>
      <c r="M2134" t="s">
        <v>125</v>
      </c>
      <c r="N2134" t="s">
        <v>51</v>
      </c>
      <c r="O2134">
        <v>0</v>
      </c>
      <c r="P2134">
        <v>23963</v>
      </c>
      <c r="Q2134">
        <f t="shared" si="36"/>
        <v>2.3963000000000002E-2</v>
      </c>
      <c r="R2134">
        <v>43252</v>
      </c>
      <c r="S2134" t="s">
        <v>122</v>
      </c>
    </row>
    <row r="2135" spans="1:19">
      <c r="A2135">
        <v>60000232</v>
      </c>
      <c r="B2135">
        <v>45</v>
      </c>
      <c r="C2135" t="s">
        <v>33</v>
      </c>
      <c r="D2135" t="s">
        <v>40</v>
      </c>
      <c r="E2135" t="s">
        <v>52</v>
      </c>
      <c r="F2135" t="s">
        <v>21</v>
      </c>
      <c r="G2135" s="23">
        <v>0.31</v>
      </c>
      <c r="H2135" t="s">
        <v>53</v>
      </c>
      <c r="I2135" t="s">
        <v>68</v>
      </c>
      <c r="J2135" t="s">
        <v>24</v>
      </c>
      <c r="K2135" t="s">
        <v>87</v>
      </c>
      <c r="L2135" t="s">
        <v>26</v>
      </c>
      <c r="M2135" t="s">
        <v>125</v>
      </c>
      <c r="N2135" t="s">
        <v>28</v>
      </c>
      <c r="O2135">
        <v>0</v>
      </c>
      <c r="P2135">
        <v>32293</v>
      </c>
      <c r="Q2135">
        <f t="shared" si="36"/>
        <v>3.2293000000000002E-2</v>
      </c>
      <c r="R2135">
        <v>43252</v>
      </c>
      <c r="S2135" t="s">
        <v>122</v>
      </c>
    </row>
    <row r="2136" spans="1:19">
      <c r="A2136">
        <v>60000233</v>
      </c>
      <c r="B2136">
        <v>47</v>
      </c>
      <c r="C2136" t="s">
        <v>18</v>
      </c>
      <c r="D2136" t="s">
        <v>19</v>
      </c>
      <c r="E2136" t="s">
        <v>75</v>
      </c>
      <c r="F2136" t="s">
        <v>21</v>
      </c>
      <c r="G2136" s="23">
        <v>0.19</v>
      </c>
      <c r="H2136" t="s">
        <v>29</v>
      </c>
      <c r="I2136" t="s">
        <v>65</v>
      </c>
      <c r="J2136" t="s">
        <v>54</v>
      </c>
      <c r="K2136" t="s">
        <v>102</v>
      </c>
      <c r="L2136" t="s">
        <v>26</v>
      </c>
      <c r="M2136" t="s">
        <v>125</v>
      </c>
      <c r="N2136" t="s">
        <v>51</v>
      </c>
      <c r="O2136">
        <v>1</v>
      </c>
      <c r="P2136">
        <v>69178</v>
      </c>
      <c r="Q2136">
        <f t="shared" si="36"/>
        <v>6.9178000000000003E-2</v>
      </c>
      <c r="R2136">
        <v>43252</v>
      </c>
      <c r="S2136" t="s">
        <v>122</v>
      </c>
    </row>
    <row r="2137" spans="1:19">
      <c r="A2137">
        <v>60000234</v>
      </c>
      <c r="B2137">
        <v>65</v>
      </c>
      <c r="C2137" t="s">
        <v>18</v>
      </c>
      <c r="D2137" t="s">
        <v>40</v>
      </c>
      <c r="E2137" t="s">
        <v>72</v>
      </c>
      <c r="F2137" t="s">
        <v>21</v>
      </c>
      <c r="G2137" s="23">
        <v>0.25</v>
      </c>
      <c r="H2137" t="s">
        <v>53</v>
      </c>
      <c r="I2137" t="s">
        <v>49</v>
      </c>
      <c r="J2137" t="s">
        <v>58</v>
      </c>
      <c r="K2137" t="s">
        <v>77</v>
      </c>
      <c r="L2137" t="s">
        <v>26</v>
      </c>
      <c r="M2137" t="s">
        <v>125</v>
      </c>
      <c r="N2137" t="s">
        <v>51</v>
      </c>
      <c r="O2137">
        <v>1</v>
      </c>
      <c r="P2137">
        <v>52660</v>
      </c>
      <c r="Q2137">
        <f t="shared" si="36"/>
        <v>5.2659999999999998E-2</v>
      </c>
      <c r="R2137">
        <v>43252</v>
      </c>
      <c r="S2137" t="s">
        <v>122</v>
      </c>
    </row>
    <row r="2138" spans="1:19">
      <c r="A2138">
        <v>60000235</v>
      </c>
      <c r="B2138">
        <v>28</v>
      </c>
      <c r="C2138" t="s">
        <v>33</v>
      </c>
      <c r="D2138" t="s">
        <v>40</v>
      </c>
      <c r="E2138" t="s">
        <v>85</v>
      </c>
      <c r="F2138" t="s">
        <v>21</v>
      </c>
      <c r="G2138" s="23">
        <v>0.27</v>
      </c>
      <c r="H2138" t="s">
        <v>53</v>
      </c>
      <c r="I2138" t="s">
        <v>86</v>
      </c>
      <c r="J2138" t="s">
        <v>38</v>
      </c>
      <c r="K2138" t="s">
        <v>103</v>
      </c>
      <c r="L2138" t="s">
        <v>26</v>
      </c>
      <c r="M2138" t="s">
        <v>125</v>
      </c>
      <c r="N2138" t="s">
        <v>28</v>
      </c>
      <c r="O2138">
        <v>0</v>
      </c>
      <c r="P2138">
        <v>40589</v>
      </c>
      <c r="Q2138">
        <f t="shared" si="36"/>
        <v>4.0589E-2</v>
      </c>
      <c r="R2138">
        <v>43252</v>
      </c>
      <c r="S2138" t="s">
        <v>122</v>
      </c>
    </row>
    <row r="2139" spans="1:19">
      <c r="A2139">
        <v>60000236</v>
      </c>
      <c r="B2139">
        <v>52</v>
      </c>
      <c r="C2139" t="s">
        <v>33</v>
      </c>
      <c r="D2139" t="s">
        <v>40</v>
      </c>
      <c r="E2139" t="s">
        <v>64</v>
      </c>
      <c r="F2139" t="s">
        <v>21</v>
      </c>
      <c r="G2139" s="23">
        <v>0.1</v>
      </c>
      <c r="H2139" t="s">
        <v>36</v>
      </c>
      <c r="I2139" t="s">
        <v>23</v>
      </c>
      <c r="J2139" t="s">
        <v>46</v>
      </c>
      <c r="K2139" t="s">
        <v>49</v>
      </c>
      <c r="L2139" t="s">
        <v>26</v>
      </c>
      <c r="M2139" t="s">
        <v>125</v>
      </c>
      <c r="N2139" t="s">
        <v>51</v>
      </c>
      <c r="O2139">
        <v>5</v>
      </c>
      <c r="P2139">
        <v>35339</v>
      </c>
      <c r="Q2139">
        <f t="shared" si="36"/>
        <v>3.5339000000000002E-2</v>
      </c>
      <c r="R2139">
        <v>43252</v>
      </c>
      <c r="S2139" t="s">
        <v>122</v>
      </c>
    </row>
    <row r="2140" spans="1:19">
      <c r="A2140">
        <v>60000237</v>
      </c>
      <c r="B2140">
        <v>22</v>
      </c>
      <c r="C2140" t="s">
        <v>33</v>
      </c>
      <c r="D2140" t="s">
        <v>40</v>
      </c>
      <c r="E2140" t="s">
        <v>75</v>
      </c>
      <c r="F2140" t="s">
        <v>21</v>
      </c>
      <c r="G2140" s="23">
        <v>0.15</v>
      </c>
      <c r="H2140" t="s">
        <v>22</v>
      </c>
      <c r="I2140" t="s">
        <v>76</v>
      </c>
      <c r="J2140" t="s">
        <v>74</v>
      </c>
      <c r="K2140" t="s">
        <v>110</v>
      </c>
      <c r="L2140" t="s">
        <v>26</v>
      </c>
      <c r="M2140" t="s">
        <v>125</v>
      </c>
      <c r="N2140" t="s">
        <v>28</v>
      </c>
      <c r="O2140">
        <v>0</v>
      </c>
      <c r="P2140">
        <v>31305</v>
      </c>
      <c r="Q2140">
        <f t="shared" si="36"/>
        <v>3.1304999999999999E-2</v>
      </c>
      <c r="R2140">
        <v>43252</v>
      </c>
      <c r="S2140" t="s">
        <v>122</v>
      </c>
    </row>
    <row r="2141" spans="1:19">
      <c r="A2141">
        <v>60000238</v>
      </c>
      <c r="B2141">
        <v>39</v>
      </c>
      <c r="C2141" t="s">
        <v>18</v>
      </c>
      <c r="D2141" t="s">
        <v>40</v>
      </c>
      <c r="E2141" t="s">
        <v>48</v>
      </c>
      <c r="F2141" t="s">
        <v>21</v>
      </c>
      <c r="G2141" s="23">
        <v>0.38</v>
      </c>
      <c r="H2141" t="s">
        <v>42</v>
      </c>
      <c r="I2141" t="s">
        <v>76</v>
      </c>
      <c r="J2141" t="s">
        <v>74</v>
      </c>
      <c r="K2141" t="s">
        <v>55</v>
      </c>
      <c r="L2141" t="s">
        <v>26</v>
      </c>
      <c r="M2141" t="s">
        <v>125</v>
      </c>
      <c r="N2141" t="s">
        <v>51</v>
      </c>
      <c r="O2141">
        <v>0</v>
      </c>
      <c r="P2141">
        <v>42758</v>
      </c>
      <c r="Q2141">
        <f t="shared" si="36"/>
        <v>4.2757999999999997E-2</v>
      </c>
      <c r="R2141">
        <v>43252</v>
      </c>
      <c r="S2141" t="s">
        <v>122</v>
      </c>
    </row>
    <row r="2142" spans="1:19">
      <c r="A2142">
        <v>60000239</v>
      </c>
      <c r="B2142">
        <v>47</v>
      </c>
      <c r="C2142" t="s">
        <v>18</v>
      </c>
      <c r="D2142" t="s">
        <v>40</v>
      </c>
      <c r="E2142" t="s">
        <v>75</v>
      </c>
      <c r="F2142" t="s">
        <v>21</v>
      </c>
      <c r="G2142" s="23">
        <v>0.12</v>
      </c>
      <c r="H2142" t="s">
        <v>22</v>
      </c>
      <c r="I2142" t="s">
        <v>68</v>
      </c>
      <c r="J2142" t="s">
        <v>74</v>
      </c>
      <c r="K2142" t="s">
        <v>105</v>
      </c>
      <c r="L2142" t="s">
        <v>119</v>
      </c>
      <c r="M2142" t="s">
        <v>125</v>
      </c>
      <c r="N2142" t="s">
        <v>28</v>
      </c>
      <c r="O2142">
        <v>0</v>
      </c>
      <c r="P2142">
        <v>52307</v>
      </c>
      <c r="Q2142">
        <f t="shared" si="36"/>
        <v>5.2306999999999999E-2</v>
      </c>
      <c r="R2142">
        <v>43252</v>
      </c>
      <c r="S2142" t="s">
        <v>122</v>
      </c>
    </row>
    <row r="2143" spans="1:19">
      <c r="A2143">
        <v>60000240</v>
      </c>
      <c r="B2143">
        <v>65</v>
      </c>
      <c r="C2143" t="s">
        <v>18</v>
      </c>
      <c r="D2143" t="s">
        <v>40</v>
      </c>
      <c r="E2143" t="s">
        <v>34</v>
      </c>
      <c r="F2143" t="s">
        <v>21</v>
      </c>
      <c r="G2143" s="23">
        <v>0.36</v>
      </c>
      <c r="H2143" t="s">
        <v>42</v>
      </c>
      <c r="I2143" t="s">
        <v>60</v>
      </c>
      <c r="J2143" t="s">
        <v>66</v>
      </c>
      <c r="K2143" t="s">
        <v>107</v>
      </c>
      <c r="L2143" t="s">
        <v>121</v>
      </c>
      <c r="M2143" t="s">
        <v>125</v>
      </c>
      <c r="N2143" t="s">
        <v>28</v>
      </c>
      <c r="O2143">
        <v>0</v>
      </c>
      <c r="P2143">
        <v>27291</v>
      </c>
      <c r="Q2143">
        <f t="shared" si="36"/>
        <v>2.7290999999999999E-2</v>
      </c>
      <c r="R2143">
        <v>43252</v>
      </c>
      <c r="S2143" t="s">
        <v>122</v>
      </c>
    </row>
    <row r="2144" spans="1:19">
      <c r="A2144">
        <v>60000241</v>
      </c>
      <c r="B2144">
        <v>57</v>
      </c>
      <c r="C2144" t="s">
        <v>18</v>
      </c>
      <c r="D2144" t="s">
        <v>19</v>
      </c>
      <c r="E2144" t="s">
        <v>64</v>
      </c>
      <c r="F2144" t="s">
        <v>21</v>
      </c>
      <c r="G2144" s="23">
        <v>0.14000000000000001</v>
      </c>
      <c r="H2144" t="s">
        <v>22</v>
      </c>
      <c r="I2144" t="s">
        <v>37</v>
      </c>
      <c r="J2144" t="s">
        <v>91</v>
      </c>
      <c r="K2144" t="s">
        <v>89</v>
      </c>
      <c r="L2144" t="s">
        <v>26</v>
      </c>
      <c r="M2144" t="s">
        <v>125</v>
      </c>
      <c r="N2144" t="s">
        <v>51</v>
      </c>
      <c r="O2144">
        <v>3</v>
      </c>
      <c r="P2144">
        <v>33519</v>
      </c>
      <c r="Q2144">
        <f t="shared" si="36"/>
        <v>3.3519E-2</v>
      </c>
      <c r="R2144">
        <v>43252</v>
      </c>
      <c r="S2144" t="s">
        <v>122</v>
      </c>
    </row>
    <row r="2145" spans="1:19">
      <c r="A2145">
        <v>60000242</v>
      </c>
      <c r="B2145">
        <v>60</v>
      </c>
      <c r="C2145" t="s">
        <v>18</v>
      </c>
      <c r="D2145" t="s">
        <v>19</v>
      </c>
      <c r="E2145" t="s">
        <v>20</v>
      </c>
      <c r="F2145" t="s">
        <v>21</v>
      </c>
      <c r="G2145" s="23">
        <v>0.11</v>
      </c>
      <c r="H2145" t="s">
        <v>36</v>
      </c>
      <c r="I2145" t="s">
        <v>45</v>
      </c>
      <c r="J2145" t="s">
        <v>58</v>
      </c>
      <c r="K2145" t="s">
        <v>97</v>
      </c>
      <c r="L2145" t="s">
        <v>121</v>
      </c>
      <c r="M2145" t="s">
        <v>125</v>
      </c>
      <c r="N2145" t="s">
        <v>28</v>
      </c>
      <c r="O2145">
        <v>0</v>
      </c>
      <c r="P2145">
        <v>36838</v>
      </c>
      <c r="Q2145">
        <f t="shared" si="36"/>
        <v>3.6838000000000003E-2</v>
      </c>
      <c r="R2145">
        <v>43252</v>
      </c>
      <c r="S2145" t="s">
        <v>122</v>
      </c>
    </row>
    <row r="2146" spans="1:19">
      <c r="A2146">
        <v>60000243</v>
      </c>
      <c r="B2146">
        <v>37</v>
      </c>
      <c r="C2146" t="s">
        <v>33</v>
      </c>
      <c r="D2146" t="s">
        <v>19</v>
      </c>
      <c r="E2146" t="s">
        <v>20</v>
      </c>
      <c r="F2146" t="s">
        <v>21</v>
      </c>
      <c r="G2146" s="23">
        <v>0.14000000000000001</v>
      </c>
      <c r="H2146" t="s">
        <v>22</v>
      </c>
      <c r="I2146" t="s">
        <v>76</v>
      </c>
      <c r="J2146" t="s">
        <v>46</v>
      </c>
      <c r="K2146" t="s">
        <v>103</v>
      </c>
      <c r="L2146" t="s">
        <v>119</v>
      </c>
      <c r="M2146" t="s">
        <v>125</v>
      </c>
      <c r="N2146" t="s">
        <v>51</v>
      </c>
      <c r="O2146">
        <v>7</v>
      </c>
      <c r="P2146">
        <v>71082</v>
      </c>
      <c r="Q2146">
        <f t="shared" si="36"/>
        <v>7.1082000000000006E-2</v>
      </c>
      <c r="R2146">
        <v>43252</v>
      </c>
      <c r="S2146" t="s">
        <v>122</v>
      </c>
    </row>
    <row r="2147" spans="1:19">
      <c r="A2147">
        <v>60000244</v>
      </c>
      <c r="B2147">
        <v>33</v>
      </c>
      <c r="C2147" t="s">
        <v>18</v>
      </c>
      <c r="D2147" t="s">
        <v>19</v>
      </c>
      <c r="E2147" t="s">
        <v>85</v>
      </c>
      <c r="F2147" t="s">
        <v>21</v>
      </c>
      <c r="G2147" s="23">
        <v>0.27</v>
      </c>
      <c r="H2147" t="s">
        <v>53</v>
      </c>
      <c r="I2147" t="s">
        <v>37</v>
      </c>
      <c r="J2147" t="s">
        <v>69</v>
      </c>
      <c r="K2147" t="s">
        <v>92</v>
      </c>
      <c r="L2147" t="s">
        <v>119</v>
      </c>
      <c r="M2147" t="s">
        <v>125</v>
      </c>
      <c r="N2147" t="s">
        <v>28</v>
      </c>
      <c r="O2147">
        <v>0</v>
      </c>
      <c r="P2147">
        <v>50431</v>
      </c>
      <c r="Q2147">
        <f t="shared" si="36"/>
        <v>5.0430999999999997E-2</v>
      </c>
      <c r="R2147">
        <v>43252</v>
      </c>
      <c r="S2147" t="s">
        <v>122</v>
      </c>
    </row>
    <row r="2148" spans="1:19">
      <c r="A2148">
        <v>60000245</v>
      </c>
      <c r="B2148">
        <v>27</v>
      </c>
      <c r="C2148" t="s">
        <v>33</v>
      </c>
      <c r="D2148" t="s">
        <v>19</v>
      </c>
      <c r="E2148" t="s">
        <v>72</v>
      </c>
      <c r="F2148" t="s">
        <v>21</v>
      </c>
      <c r="G2148" s="23">
        <v>0.1</v>
      </c>
      <c r="H2148" t="s">
        <v>36</v>
      </c>
      <c r="I2148" t="s">
        <v>30</v>
      </c>
      <c r="J2148" t="s">
        <v>74</v>
      </c>
      <c r="K2148" t="s">
        <v>110</v>
      </c>
      <c r="L2148" t="s">
        <v>121</v>
      </c>
      <c r="M2148" t="s">
        <v>125</v>
      </c>
      <c r="N2148" t="s">
        <v>51</v>
      </c>
      <c r="O2148">
        <v>5</v>
      </c>
      <c r="P2148">
        <v>27793</v>
      </c>
      <c r="Q2148">
        <f t="shared" si="36"/>
        <v>2.7793000000000002E-2</v>
      </c>
      <c r="R2148">
        <v>43252</v>
      </c>
      <c r="S2148" t="s">
        <v>122</v>
      </c>
    </row>
    <row r="2149" spans="1:19">
      <c r="A2149">
        <v>60000246</v>
      </c>
      <c r="B2149">
        <v>26</v>
      </c>
      <c r="C2149" t="s">
        <v>18</v>
      </c>
      <c r="D2149" t="s">
        <v>19</v>
      </c>
      <c r="E2149" t="s">
        <v>85</v>
      </c>
      <c r="F2149" t="s">
        <v>21</v>
      </c>
      <c r="G2149" s="23">
        <v>0.11</v>
      </c>
      <c r="H2149" t="s">
        <v>36</v>
      </c>
      <c r="I2149" t="s">
        <v>65</v>
      </c>
      <c r="J2149" t="s">
        <v>46</v>
      </c>
      <c r="K2149" t="s">
        <v>82</v>
      </c>
      <c r="L2149" t="s">
        <v>119</v>
      </c>
      <c r="M2149" t="s">
        <v>125</v>
      </c>
      <c r="N2149" t="s">
        <v>51</v>
      </c>
      <c r="O2149">
        <v>6</v>
      </c>
      <c r="P2149">
        <v>53157</v>
      </c>
      <c r="Q2149">
        <f t="shared" si="36"/>
        <v>5.3157000000000003E-2</v>
      </c>
      <c r="R2149">
        <v>43252</v>
      </c>
      <c r="S2149" t="s">
        <v>122</v>
      </c>
    </row>
    <row r="2150" spans="1:19">
      <c r="A2150">
        <v>60000247</v>
      </c>
      <c r="B2150">
        <v>54</v>
      </c>
      <c r="C2150" t="s">
        <v>33</v>
      </c>
      <c r="D2150" t="s">
        <v>19</v>
      </c>
      <c r="E2150" t="s">
        <v>64</v>
      </c>
      <c r="F2150" t="s">
        <v>21</v>
      </c>
      <c r="G2150" s="23">
        <v>0.35</v>
      </c>
      <c r="H2150" t="s">
        <v>42</v>
      </c>
      <c r="I2150" t="s">
        <v>73</v>
      </c>
      <c r="J2150" t="s">
        <v>78</v>
      </c>
      <c r="K2150" t="s">
        <v>32</v>
      </c>
      <c r="L2150" t="s">
        <v>26</v>
      </c>
      <c r="M2150" t="s">
        <v>125</v>
      </c>
      <c r="N2150" t="s">
        <v>51</v>
      </c>
      <c r="O2150">
        <v>0</v>
      </c>
      <c r="P2150">
        <v>62433</v>
      </c>
      <c r="Q2150">
        <f t="shared" si="36"/>
        <v>6.2433000000000002E-2</v>
      </c>
      <c r="R2150">
        <v>43252</v>
      </c>
      <c r="S2150" t="s">
        <v>122</v>
      </c>
    </row>
    <row r="2151" spans="1:19">
      <c r="A2151">
        <v>60000248</v>
      </c>
      <c r="B2151">
        <v>28</v>
      </c>
      <c r="C2151" t="s">
        <v>18</v>
      </c>
      <c r="D2151" t="s">
        <v>19</v>
      </c>
      <c r="E2151" t="s">
        <v>67</v>
      </c>
      <c r="F2151" t="s">
        <v>21</v>
      </c>
      <c r="G2151" s="23">
        <v>0.3</v>
      </c>
      <c r="H2151" t="s">
        <v>53</v>
      </c>
      <c r="I2151" t="s">
        <v>57</v>
      </c>
      <c r="J2151" t="s">
        <v>46</v>
      </c>
      <c r="K2151" t="s">
        <v>118</v>
      </c>
      <c r="L2151" t="s">
        <v>121</v>
      </c>
      <c r="M2151" t="s">
        <v>125</v>
      </c>
      <c r="N2151" t="s">
        <v>28</v>
      </c>
      <c r="O2151">
        <v>0</v>
      </c>
      <c r="P2151">
        <v>25103</v>
      </c>
      <c r="Q2151">
        <f t="shared" si="36"/>
        <v>2.5103E-2</v>
      </c>
      <c r="R2151">
        <v>43252</v>
      </c>
      <c r="S2151" t="s">
        <v>122</v>
      </c>
    </row>
    <row r="2152" spans="1:19">
      <c r="A2152">
        <v>60000249</v>
      </c>
      <c r="B2152">
        <v>24</v>
      </c>
      <c r="C2152" t="s">
        <v>18</v>
      </c>
      <c r="D2152" t="s">
        <v>19</v>
      </c>
      <c r="E2152" t="s">
        <v>48</v>
      </c>
      <c r="F2152" t="s">
        <v>21</v>
      </c>
      <c r="G2152" s="23">
        <v>0.34</v>
      </c>
      <c r="H2152" t="s">
        <v>42</v>
      </c>
      <c r="I2152" t="s">
        <v>57</v>
      </c>
      <c r="J2152" t="s">
        <v>46</v>
      </c>
      <c r="K2152" t="s">
        <v>117</v>
      </c>
      <c r="L2152" t="s">
        <v>119</v>
      </c>
      <c r="M2152" t="s">
        <v>125</v>
      </c>
      <c r="N2152" t="s">
        <v>28</v>
      </c>
      <c r="O2152">
        <v>0</v>
      </c>
      <c r="P2152">
        <v>36428</v>
      </c>
      <c r="Q2152">
        <f t="shared" si="36"/>
        <v>3.6428000000000002E-2</v>
      </c>
      <c r="R2152">
        <v>43252</v>
      </c>
      <c r="S2152" t="s">
        <v>122</v>
      </c>
    </row>
    <row r="2153" spans="1:19">
      <c r="A2153">
        <v>60000250</v>
      </c>
      <c r="B2153">
        <v>48</v>
      </c>
      <c r="C2153" t="s">
        <v>33</v>
      </c>
      <c r="D2153" t="s">
        <v>19</v>
      </c>
      <c r="E2153" t="s">
        <v>64</v>
      </c>
      <c r="F2153" t="s">
        <v>21</v>
      </c>
      <c r="G2153" s="23">
        <v>0.19</v>
      </c>
      <c r="H2153" t="s">
        <v>29</v>
      </c>
      <c r="I2153" t="s">
        <v>68</v>
      </c>
      <c r="J2153" t="s">
        <v>31</v>
      </c>
      <c r="K2153" t="s">
        <v>96</v>
      </c>
      <c r="L2153" t="s">
        <v>119</v>
      </c>
      <c r="M2153" t="s">
        <v>125</v>
      </c>
      <c r="N2153" t="s">
        <v>51</v>
      </c>
      <c r="O2153">
        <v>2</v>
      </c>
      <c r="P2153">
        <v>44679</v>
      </c>
      <c r="Q2153">
        <f t="shared" si="36"/>
        <v>4.4679000000000003E-2</v>
      </c>
      <c r="R2153">
        <v>43252</v>
      </c>
      <c r="S2153" t="s">
        <v>122</v>
      </c>
    </row>
    <row r="2154" spans="1:19">
      <c r="A2154">
        <v>60000251</v>
      </c>
      <c r="B2154">
        <v>26</v>
      </c>
      <c r="C2154" t="s">
        <v>18</v>
      </c>
      <c r="D2154" t="s">
        <v>40</v>
      </c>
      <c r="E2154" t="s">
        <v>41</v>
      </c>
      <c r="F2154" t="s">
        <v>21</v>
      </c>
      <c r="G2154" s="23">
        <v>0.21</v>
      </c>
      <c r="H2154" t="s">
        <v>29</v>
      </c>
      <c r="I2154" t="s">
        <v>60</v>
      </c>
      <c r="J2154" t="s">
        <v>38</v>
      </c>
      <c r="K2154" t="s">
        <v>101</v>
      </c>
      <c r="L2154" t="s">
        <v>121</v>
      </c>
      <c r="M2154" t="s">
        <v>125</v>
      </c>
      <c r="N2154" t="s">
        <v>28</v>
      </c>
      <c r="O2154">
        <v>0</v>
      </c>
      <c r="P2154">
        <v>60136</v>
      </c>
      <c r="Q2154">
        <f t="shared" si="36"/>
        <v>6.0136000000000002E-2</v>
      </c>
      <c r="R2154">
        <v>43252</v>
      </c>
      <c r="S2154" t="s">
        <v>122</v>
      </c>
    </row>
    <row r="2155" spans="1:19">
      <c r="A2155">
        <v>60000252</v>
      </c>
      <c r="B2155">
        <v>30</v>
      </c>
      <c r="C2155" t="s">
        <v>18</v>
      </c>
      <c r="D2155" t="s">
        <v>40</v>
      </c>
      <c r="E2155" t="s">
        <v>41</v>
      </c>
      <c r="F2155" t="s">
        <v>21</v>
      </c>
      <c r="G2155" s="23">
        <v>0.2</v>
      </c>
      <c r="H2155" t="s">
        <v>29</v>
      </c>
      <c r="I2155" t="s">
        <v>30</v>
      </c>
      <c r="J2155" t="s">
        <v>91</v>
      </c>
      <c r="K2155" t="s">
        <v>117</v>
      </c>
      <c r="L2155" t="s">
        <v>26</v>
      </c>
      <c r="M2155" t="s">
        <v>125</v>
      </c>
      <c r="N2155" t="s">
        <v>28</v>
      </c>
      <c r="O2155">
        <v>0</v>
      </c>
      <c r="P2155">
        <v>45590</v>
      </c>
      <c r="Q2155">
        <f t="shared" si="36"/>
        <v>4.5589999999999999E-2</v>
      </c>
      <c r="R2155">
        <v>43252</v>
      </c>
      <c r="S2155" t="s">
        <v>122</v>
      </c>
    </row>
    <row r="2156" spans="1:19">
      <c r="A2156">
        <v>60000253</v>
      </c>
      <c r="B2156">
        <v>31</v>
      </c>
      <c r="C2156" t="s">
        <v>18</v>
      </c>
      <c r="D2156" t="s">
        <v>19</v>
      </c>
      <c r="E2156" t="s">
        <v>85</v>
      </c>
      <c r="F2156" t="s">
        <v>21</v>
      </c>
      <c r="G2156" s="23">
        <v>0.19</v>
      </c>
      <c r="H2156" t="s">
        <v>29</v>
      </c>
      <c r="I2156" t="s">
        <v>45</v>
      </c>
      <c r="J2156" t="s">
        <v>61</v>
      </c>
      <c r="K2156" t="s">
        <v>110</v>
      </c>
      <c r="L2156" t="s">
        <v>121</v>
      </c>
      <c r="M2156" t="s">
        <v>125</v>
      </c>
      <c r="N2156" t="s">
        <v>51</v>
      </c>
      <c r="O2156">
        <v>3</v>
      </c>
      <c r="P2156">
        <v>38361</v>
      </c>
      <c r="Q2156">
        <f t="shared" si="36"/>
        <v>3.8360999999999999E-2</v>
      </c>
      <c r="R2156">
        <v>43252</v>
      </c>
      <c r="S2156" t="s">
        <v>122</v>
      </c>
    </row>
    <row r="2157" spans="1:19">
      <c r="A2157">
        <v>60000254</v>
      </c>
      <c r="B2157">
        <v>51</v>
      </c>
      <c r="C2157" t="s">
        <v>33</v>
      </c>
      <c r="D2157" t="s">
        <v>19</v>
      </c>
      <c r="E2157" t="s">
        <v>56</v>
      </c>
      <c r="F2157" t="s">
        <v>21</v>
      </c>
      <c r="G2157" s="23">
        <v>0.35</v>
      </c>
      <c r="H2157" t="s">
        <v>42</v>
      </c>
      <c r="I2157" t="s">
        <v>83</v>
      </c>
      <c r="J2157" t="s">
        <v>58</v>
      </c>
      <c r="K2157" t="s">
        <v>103</v>
      </c>
      <c r="L2157" t="s">
        <v>121</v>
      </c>
      <c r="M2157" t="s">
        <v>125</v>
      </c>
      <c r="N2157" t="s">
        <v>28</v>
      </c>
      <c r="O2157">
        <v>0</v>
      </c>
      <c r="P2157">
        <v>42979</v>
      </c>
      <c r="Q2157">
        <f t="shared" si="36"/>
        <v>4.2979000000000003E-2</v>
      </c>
      <c r="R2157">
        <v>43252</v>
      </c>
      <c r="S2157" t="s">
        <v>122</v>
      </c>
    </row>
    <row r="2158" spans="1:19">
      <c r="A2158">
        <v>60000255</v>
      </c>
      <c r="B2158">
        <v>56</v>
      </c>
      <c r="C2158" t="s">
        <v>18</v>
      </c>
      <c r="D2158" t="s">
        <v>40</v>
      </c>
      <c r="E2158" t="s">
        <v>72</v>
      </c>
      <c r="F2158" t="s">
        <v>21</v>
      </c>
      <c r="G2158" s="23">
        <v>0.36</v>
      </c>
      <c r="H2158" t="s">
        <v>42</v>
      </c>
      <c r="I2158" t="s">
        <v>70</v>
      </c>
      <c r="J2158" t="s">
        <v>58</v>
      </c>
      <c r="K2158" t="s">
        <v>87</v>
      </c>
      <c r="L2158" t="s">
        <v>119</v>
      </c>
      <c r="M2158" t="s">
        <v>125</v>
      </c>
      <c r="N2158" t="s">
        <v>28</v>
      </c>
      <c r="O2158">
        <v>0</v>
      </c>
      <c r="P2158">
        <v>55189</v>
      </c>
      <c r="Q2158">
        <f t="shared" si="36"/>
        <v>5.5189000000000002E-2</v>
      </c>
      <c r="R2158">
        <v>43252</v>
      </c>
      <c r="S2158" t="s">
        <v>122</v>
      </c>
    </row>
    <row r="2159" spans="1:19">
      <c r="A2159">
        <v>60000256</v>
      </c>
      <c r="B2159">
        <v>21</v>
      </c>
      <c r="C2159" t="s">
        <v>18</v>
      </c>
      <c r="D2159" t="s">
        <v>19</v>
      </c>
      <c r="E2159" t="s">
        <v>52</v>
      </c>
      <c r="F2159" t="s">
        <v>21</v>
      </c>
      <c r="G2159" s="23">
        <v>0.15</v>
      </c>
      <c r="H2159" t="s">
        <v>22</v>
      </c>
      <c r="I2159" t="s">
        <v>57</v>
      </c>
      <c r="J2159" t="s">
        <v>31</v>
      </c>
      <c r="K2159" t="s">
        <v>117</v>
      </c>
      <c r="L2159" t="s">
        <v>26</v>
      </c>
      <c r="M2159" t="s">
        <v>125</v>
      </c>
      <c r="N2159" t="s">
        <v>28</v>
      </c>
      <c r="O2159">
        <v>0</v>
      </c>
      <c r="P2159">
        <v>44547</v>
      </c>
      <c r="Q2159">
        <f t="shared" ref="Q2159:Q2222" si="37">+P2159/1000000</f>
        <v>4.4547000000000003E-2</v>
      </c>
      <c r="R2159">
        <v>43252</v>
      </c>
      <c r="S2159" t="s">
        <v>122</v>
      </c>
    </row>
    <row r="2160" spans="1:19">
      <c r="A2160">
        <v>60000257</v>
      </c>
      <c r="B2160">
        <v>60</v>
      </c>
      <c r="C2160" t="s">
        <v>33</v>
      </c>
      <c r="D2160" t="s">
        <v>40</v>
      </c>
      <c r="E2160" t="s">
        <v>41</v>
      </c>
      <c r="F2160" t="s">
        <v>21</v>
      </c>
      <c r="G2160" s="23">
        <v>0.21</v>
      </c>
      <c r="H2160" t="s">
        <v>29</v>
      </c>
      <c r="I2160" t="s">
        <v>86</v>
      </c>
      <c r="J2160" t="s">
        <v>88</v>
      </c>
      <c r="K2160" t="s">
        <v>98</v>
      </c>
      <c r="L2160" t="s">
        <v>119</v>
      </c>
      <c r="M2160" t="s">
        <v>125</v>
      </c>
      <c r="N2160" t="s">
        <v>28</v>
      </c>
      <c r="O2160">
        <v>0</v>
      </c>
      <c r="P2160">
        <v>36625</v>
      </c>
      <c r="Q2160">
        <f t="shared" si="37"/>
        <v>3.6624999999999998E-2</v>
      </c>
      <c r="R2160">
        <v>43252</v>
      </c>
      <c r="S2160" t="s">
        <v>122</v>
      </c>
    </row>
    <row r="2161" spans="1:19">
      <c r="A2161">
        <v>60000258</v>
      </c>
      <c r="B2161">
        <v>47</v>
      </c>
      <c r="C2161" t="s">
        <v>18</v>
      </c>
      <c r="D2161" t="s">
        <v>19</v>
      </c>
      <c r="E2161" t="s">
        <v>48</v>
      </c>
      <c r="F2161" t="s">
        <v>21</v>
      </c>
      <c r="G2161" s="23">
        <v>0.33</v>
      </c>
      <c r="H2161" t="s">
        <v>42</v>
      </c>
      <c r="I2161" t="s">
        <v>65</v>
      </c>
      <c r="J2161" t="s">
        <v>38</v>
      </c>
      <c r="K2161" t="s">
        <v>98</v>
      </c>
      <c r="L2161" t="s">
        <v>26</v>
      </c>
      <c r="M2161" t="s">
        <v>125</v>
      </c>
      <c r="N2161" t="s">
        <v>51</v>
      </c>
      <c r="O2161">
        <v>4</v>
      </c>
      <c r="P2161">
        <v>51401</v>
      </c>
      <c r="Q2161">
        <f t="shared" si="37"/>
        <v>5.1401000000000002E-2</v>
      </c>
      <c r="R2161">
        <v>43252</v>
      </c>
      <c r="S2161" t="s">
        <v>122</v>
      </c>
    </row>
    <row r="2162" spans="1:19">
      <c r="A2162">
        <v>60000259</v>
      </c>
      <c r="B2162">
        <v>63</v>
      </c>
      <c r="C2162" t="s">
        <v>33</v>
      </c>
      <c r="D2162" t="s">
        <v>19</v>
      </c>
      <c r="E2162" t="s">
        <v>44</v>
      </c>
      <c r="F2162" t="s">
        <v>21</v>
      </c>
      <c r="G2162" s="23">
        <v>0.12</v>
      </c>
      <c r="H2162" t="s">
        <v>22</v>
      </c>
      <c r="I2162" t="s">
        <v>23</v>
      </c>
      <c r="J2162" t="s">
        <v>66</v>
      </c>
      <c r="K2162" t="s">
        <v>118</v>
      </c>
      <c r="L2162" t="s">
        <v>26</v>
      </c>
      <c r="M2162" t="s">
        <v>125</v>
      </c>
      <c r="N2162" t="s">
        <v>51</v>
      </c>
      <c r="O2162">
        <v>4</v>
      </c>
      <c r="P2162">
        <v>43733</v>
      </c>
      <c r="Q2162">
        <f t="shared" si="37"/>
        <v>4.3733000000000001E-2</v>
      </c>
      <c r="R2162">
        <v>43252</v>
      </c>
      <c r="S2162" t="s">
        <v>122</v>
      </c>
    </row>
    <row r="2163" spans="1:19">
      <c r="A2163">
        <v>60000260</v>
      </c>
      <c r="B2163">
        <v>53</v>
      </c>
      <c r="C2163" t="s">
        <v>18</v>
      </c>
      <c r="D2163" t="s">
        <v>19</v>
      </c>
      <c r="E2163" t="s">
        <v>67</v>
      </c>
      <c r="F2163" t="s">
        <v>21</v>
      </c>
      <c r="G2163" s="23">
        <v>0.19</v>
      </c>
      <c r="H2163" t="s">
        <v>29</v>
      </c>
      <c r="I2163" t="s">
        <v>45</v>
      </c>
      <c r="J2163" t="s">
        <v>54</v>
      </c>
      <c r="K2163" t="s">
        <v>92</v>
      </c>
      <c r="L2163" t="s">
        <v>119</v>
      </c>
      <c r="M2163" t="s">
        <v>125</v>
      </c>
      <c r="N2163" t="s">
        <v>51</v>
      </c>
      <c r="O2163">
        <v>0</v>
      </c>
      <c r="P2163">
        <v>52142</v>
      </c>
      <c r="Q2163">
        <f t="shared" si="37"/>
        <v>5.2142000000000001E-2</v>
      </c>
      <c r="R2163">
        <v>43252</v>
      </c>
      <c r="S2163" t="s">
        <v>122</v>
      </c>
    </row>
    <row r="2164" spans="1:19">
      <c r="A2164">
        <v>60000261</v>
      </c>
      <c r="B2164">
        <v>64</v>
      </c>
      <c r="C2164" t="s">
        <v>33</v>
      </c>
      <c r="D2164" t="s">
        <v>19</v>
      </c>
      <c r="E2164" t="s">
        <v>44</v>
      </c>
      <c r="F2164" t="s">
        <v>21</v>
      </c>
      <c r="G2164" s="23">
        <v>0.25</v>
      </c>
      <c r="H2164" t="s">
        <v>53</v>
      </c>
      <c r="I2164" t="s">
        <v>76</v>
      </c>
      <c r="J2164" t="s">
        <v>46</v>
      </c>
      <c r="K2164" t="s">
        <v>107</v>
      </c>
      <c r="L2164" t="s">
        <v>121</v>
      </c>
      <c r="M2164" t="s">
        <v>125</v>
      </c>
      <c r="N2164" t="s">
        <v>51</v>
      </c>
      <c r="O2164">
        <v>0</v>
      </c>
      <c r="P2164">
        <v>68355</v>
      </c>
      <c r="Q2164">
        <f t="shared" si="37"/>
        <v>6.8354999999999999E-2</v>
      </c>
      <c r="R2164">
        <v>43252</v>
      </c>
      <c r="S2164" t="s">
        <v>122</v>
      </c>
    </row>
    <row r="2165" spans="1:19">
      <c r="A2165">
        <v>60000262</v>
      </c>
      <c r="B2165">
        <v>63</v>
      </c>
      <c r="C2165" t="s">
        <v>18</v>
      </c>
      <c r="D2165" t="s">
        <v>19</v>
      </c>
      <c r="E2165" t="s">
        <v>67</v>
      </c>
      <c r="F2165" t="s">
        <v>21</v>
      </c>
      <c r="G2165" s="23">
        <v>0.35</v>
      </c>
      <c r="H2165" t="s">
        <v>42</v>
      </c>
      <c r="I2165" t="s">
        <v>73</v>
      </c>
      <c r="J2165" t="s">
        <v>78</v>
      </c>
      <c r="K2165" t="s">
        <v>77</v>
      </c>
      <c r="L2165" t="s">
        <v>121</v>
      </c>
      <c r="M2165" t="s">
        <v>125</v>
      </c>
      <c r="N2165" t="s">
        <v>51</v>
      </c>
      <c r="O2165">
        <v>6</v>
      </c>
      <c r="P2165">
        <v>64273</v>
      </c>
      <c r="Q2165">
        <f t="shared" si="37"/>
        <v>6.4272999999999997E-2</v>
      </c>
      <c r="R2165">
        <v>43252</v>
      </c>
      <c r="S2165" t="s">
        <v>122</v>
      </c>
    </row>
    <row r="2166" spans="1:19">
      <c r="A2166">
        <v>60000263</v>
      </c>
      <c r="B2166">
        <v>47</v>
      </c>
      <c r="C2166" t="s">
        <v>33</v>
      </c>
      <c r="D2166" t="s">
        <v>19</v>
      </c>
      <c r="E2166" t="s">
        <v>20</v>
      </c>
      <c r="F2166" t="s">
        <v>21</v>
      </c>
      <c r="G2166" s="23">
        <v>0.23</v>
      </c>
      <c r="H2166" t="s">
        <v>29</v>
      </c>
      <c r="I2166" t="s">
        <v>68</v>
      </c>
      <c r="J2166" t="s">
        <v>61</v>
      </c>
      <c r="K2166" t="s">
        <v>115</v>
      </c>
      <c r="L2166" t="s">
        <v>26</v>
      </c>
      <c r="M2166" t="s">
        <v>125</v>
      </c>
      <c r="N2166" t="s">
        <v>28</v>
      </c>
      <c r="O2166">
        <v>0</v>
      </c>
      <c r="P2166">
        <v>73415</v>
      </c>
      <c r="Q2166">
        <f t="shared" si="37"/>
        <v>7.3414999999999994E-2</v>
      </c>
      <c r="R2166">
        <v>43252</v>
      </c>
      <c r="S2166" t="s">
        <v>122</v>
      </c>
    </row>
    <row r="2167" spans="1:19">
      <c r="A2167">
        <v>60000264</v>
      </c>
      <c r="B2167">
        <v>62</v>
      </c>
      <c r="C2167" t="s">
        <v>18</v>
      </c>
      <c r="D2167" t="s">
        <v>40</v>
      </c>
      <c r="E2167" t="s">
        <v>67</v>
      </c>
      <c r="F2167" t="s">
        <v>21</v>
      </c>
      <c r="G2167" s="23">
        <v>0.32</v>
      </c>
      <c r="H2167" t="s">
        <v>42</v>
      </c>
      <c r="I2167" t="s">
        <v>23</v>
      </c>
      <c r="J2167" t="s">
        <v>38</v>
      </c>
      <c r="K2167" t="s">
        <v>112</v>
      </c>
      <c r="L2167" t="s">
        <v>119</v>
      </c>
      <c r="M2167" t="s">
        <v>125</v>
      </c>
      <c r="N2167" t="s">
        <v>51</v>
      </c>
      <c r="O2167">
        <v>7</v>
      </c>
      <c r="P2167">
        <v>28009</v>
      </c>
      <c r="Q2167">
        <f t="shared" si="37"/>
        <v>2.8008999999999999E-2</v>
      </c>
      <c r="R2167">
        <v>43252</v>
      </c>
      <c r="S2167" t="s">
        <v>122</v>
      </c>
    </row>
    <row r="2168" spans="1:19">
      <c r="A2168">
        <v>60000265</v>
      </c>
      <c r="B2168">
        <v>22</v>
      </c>
      <c r="C2168" t="s">
        <v>18</v>
      </c>
      <c r="D2168" t="s">
        <v>19</v>
      </c>
      <c r="E2168" t="s">
        <v>52</v>
      </c>
      <c r="F2168" t="s">
        <v>21</v>
      </c>
      <c r="G2168" s="23">
        <v>0.32</v>
      </c>
      <c r="H2168" t="s">
        <v>42</v>
      </c>
      <c r="I2168" t="s">
        <v>68</v>
      </c>
      <c r="J2168" t="s">
        <v>54</v>
      </c>
      <c r="K2168" t="s">
        <v>101</v>
      </c>
      <c r="L2168" t="s">
        <v>26</v>
      </c>
      <c r="M2168" t="s">
        <v>125</v>
      </c>
      <c r="N2168" t="s">
        <v>28</v>
      </c>
      <c r="O2168">
        <v>0</v>
      </c>
      <c r="P2168">
        <v>50117</v>
      </c>
      <c r="Q2168">
        <f t="shared" si="37"/>
        <v>5.0117000000000002E-2</v>
      </c>
      <c r="R2168">
        <v>43252</v>
      </c>
      <c r="S2168" t="s">
        <v>122</v>
      </c>
    </row>
    <row r="2169" spans="1:19">
      <c r="A2169">
        <v>60000266</v>
      </c>
      <c r="B2169">
        <v>55</v>
      </c>
      <c r="C2169" t="s">
        <v>33</v>
      </c>
      <c r="D2169" t="s">
        <v>40</v>
      </c>
      <c r="E2169" t="s">
        <v>56</v>
      </c>
      <c r="F2169" t="s">
        <v>21</v>
      </c>
      <c r="G2169" s="23">
        <v>0.24</v>
      </c>
      <c r="H2169" t="s">
        <v>29</v>
      </c>
      <c r="I2169" t="s">
        <v>62</v>
      </c>
      <c r="J2169" t="s">
        <v>69</v>
      </c>
      <c r="K2169" t="s">
        <v>59</v>
      </c>
      <c r="L2169" t="s">
        <v>119</v>
      </c>
      <c r="M2169" t="s">
        <v>125</v>
      </c>
      <c r="N2169" t="s">
        <v>51</v>
      </c>
      <c r="O2169">
        <v>5</v>
      </c>
      <c r="P2169">
        <v>73685</v>
      </c>
      <c r="Q2169">
        <f t="shared" si="37"/>
        <v>7.3685E-2</v>
      </c>
      <c r="R2169">
        <v>43252</v>
      </c>
      <c r="S2169" t="s">
        <v>122</v>
      </c>
    </row>
    <row r="2170" spans="1:19">
      <c r="A2170">
        <v>60000267</v>
      </c>
      <c r="B2170">
        <v>23</v>
      </c>
      <c r="C2170" t="s">
        <v>18</v>
      </c>
      <c r="D2170" t="s">
        <v>40</v>
      </c>
      <c r="E2170" t="s">
        <v>56</v>
      </c>
      <c r="F2170" t="s">
        <v>21</v>
      </c>
      <c r="G2170" s="23">
        <v>0.19</v>
      </c>
      <c r="H2170" t="s">
        <v>29</v>
      </c>
      <c r="I2170" t="s">
        <v>62</v>
      </c>
      <c r="J2170" t="s">
        <v>24</v>
      </c>
      <c r="K2170" t="s">
        <v>94</v>
      </c>
      <c r="L2170" t="s">
        <v>119</v>
      </c>
      <c r="M2170" t="s">
        <v>125</v>
      </c>
      <c r="N2170" t="s">
        <v>51</v>
      </c>
      <c r="O2170">
        <v>3</v>
      </c>
      <c r="P2170">
        <v>75872</v>
      </c>
      <c r="Q2170">
        <f t="shared" si="37"/>
        <v>7.5871999999999995E-2</v>
      </c>
      <c r="R2170">
        <v>43252</v>
      </c>
      <c r="S2170" t="s">
        <v>122</v>
      </c>
    </row>
    <row r="2171" spans="1:19">
      <c r="A2171">
        <v>60000268</v>
      </c>
      <c r="B2171">
        <v>20</v>
      </c>
      <c r="C2171" t="s">
        <v>33</v>
      </c>
      <c r="D2171" t="s">
        <v>19</v>
      </c>
      <c r="E2171" t="s">
        <v>34</v>
      </c>
      <c r="F2171" t="s">
        <v>21</v>
      </c>
      <c r="G2171" s="23">
        <v>0.35</v>
      </c>
      <c r="H2171" t="s">
        <v>42</v>
      </c>
      <c r="I2171" t="s">
        <v>62</v>
      </c>
      <c r="J2171" t="s">
        <v>58</v>
      </c>
      <c r="K2171" t="s">
        <v>84</v>
      </c>
      <c r="L2171" t="s">
        <v>26</v>
      </c>
      <c r="M2171" t="s">
        <v>125</v>
      </c>
      <c r="N2171" t="s">
        <v>28</v>
      </c>
      <c r="O2171">
        <v>0</v>
      </c>
      <c r="P2171">
        <v>81531</v>
      </c>
      <c r="Q2171">
        <f t="shared" si="37"/>
        <v>8.1531000000000006E-2</v>
      </c>
      <c r="R2171">
        <v>43252</v>
      </c>
      <c r="S2171" t="s">
        <v>122</v>
      </c>
    </row>
    <row r="2172" spans="1:19">
      <c r="A2172">
        <v>60000269</v>
      </c>
      <c r="B2172">
        <v>64</v>
      </c>
      <c r="C2172" t="s">
        <v>33</v>
      </c>
      <c r="D2172" t="s">
        <v>40</v>
      </c>
      <c r="E2172" t="s">
        <v>75</v>
      </c>
      <c r="F2172" t="s">
        <v>21</v>
      </c>
      <c r="G2172" s="23">
        <v>0.34</v>
      </c>
      <c r="H2172" t="s">
        <v>42</v>
      </c>
      <c r="I2172" t="s">
        <v>45</v>
      </c>
      <c r="J2172" t="s">
        <v>74</v>
      </c>
      <c r="K2172" t="s">
        <v>118</v>
      </c>
      <c r="L2172" t="s">
        <v>121</v>
      </c>
      <c r="M2172" t="s">
        <v>125</v>
      </c>
      <c r="N2172" t="s">
        <v>51</v>
      </c>
      <c r="O2172">
        <v>5</v>
      </c>
      <c r="P2172">
        <v>74132</v>
      </c>
      <c r="Q2172">
        <f t="shared" si="37"/>
        <v>7.4132000000000003E-2</v>
      </c>
      <c r="R2172">
        <v>43252</v>
      </c>
      <c r="S2172" t="s">
        <v>122</v>
      </c>
    </row>
    <row r="2173" spans="1:19">
      <c r="A2173">
        <v>60000270</v>
      </c>
      <c r="B2173">
        <v>27</v>
      </c>
      <c r="C2173" t="s">
        <v>33</v>
      </c>
      <c r="D2173" t="s">
        <v>19</v>
      </c>
      <c r="E2173" t="s">
        <v>85</v>
      </c>
      <c r="F2173" t="s">
        <v>21</v>
      </c>
      <c r="G2173" s="23">
        <v>0.33</v>
      </c>
      <c r="H2173" t="s">
        <v>42</v>
      </c>
      <c r="I2173" t="s">
        <v>60</v>
      </c>
      <c r="J2173" t="s">
        <v>74</v>
      </c>
      <c r="K2173" t="s">
        <v>95</v>
      </c>
      <c r="L2173" t="s">
        <v>121</v>
      </c>
      <c r="M2173" t="s">
        <v>125</v>
      </c>
      <c r="N2173" t="s">
        <v>51</v>
      </c>
      <c r="O2173">
        <v>1</v>
      </c>
      <c r="P2173">
        <v>42932</v>
      </c>
      <c r="Q2173">
        <f t="shared" si="37"/>
        <v>4.2931999999999998E-2</v>
      </c>
      <c r="R2173">
        <v>43252</v>
      </c>
      <c r="S2173" t="s">
        <v>122</v>
      </c>
    </row>
    <row r="2174" spans="1:19">
      <c r="A2174">
        <v>60000271</v>
      </c>
      <c r="B2174">
        <v>48</v>
      </c>
      <c r="C2174" t="s">
        <v>33</v>
      </c>
      <c r="D2174" t="s">
        <v>40</v>
      </c>
      <c r="E2174" t="s">
        <v>34</v>
      </c>
      <c r="F2174" t="s">
        <v>21</v>
      </c>
      <c r="G2174" s="23">
        <v>0.16</v>
      </c>
      <c r="H2174" t="s">
        <v>22</v>
      </c>
      <c r="I2174" t="s">
        <v>30</v>
      </c>
      <c r="J2174" t="s">
        <v>91</v>
      </c>
      <c r="K2174" t="s">
        <v>112</v>
      </c>
      <c r="L2174" t="s">
        <v>119</v>
      </c>
      <c r="M2174" t="s">
        <v>125</v>
      </c>
      <c r="N2174" t="s">
        <v>28</v>
      </c>
      <c r="O2174">
        <v>0</v>
      </c>
      <c r="P2174">
        <v>62947</v>
      </c>
      <c r="Q2174">
        <f t="shared" si="37"/>
        <v>6.2947000000000003E-2</v>
      </c>
      <c r="R2174">
        <v>43252</v>
      </c>
      <c r="S2174" t="s">
        <v>122</v>
      </c>
    </row>
    <row r="2175" spans="1:19">
      <c r="A2175">
        <v>60000272</v>
      </c>
      <c r="B2175">
        <v>41</v>
      </c>
      <c r="C2175" t="s">
        <v>33</v>
      </c>
      <c r="D2175" t="s">
        <v>19</v>
      </c>
      <c r="E2175" t="s">
        <v>85</v>
      </c>
      <c r="F2175" t="s">
        <v>21</v>
      </c>
      <c r="G2175" s="23">
        <v>0.17</v>
      </c>
      <c r="H2175" t="s">
        <v>22</v>
      </c>
      <c r="I2175" t="s">
        <v>68</v>
      </c>
      <c r="J2175" t="s">
        <v>88</v>
      </c>
      <c r="K2175" t="s">
        <v>90</v>
      </c>
      <c r="L2175" t="s">
        <v>26</v>
      </c>
      <c r="M2175" t="s">
        <v>125</v>
      </c>
      <c r="N2175" t="s">
        <v>28</v>
      </c>
      <c r="O2175">
        <v>0</v>
      </c>
      <c r="P2175">
        <v>56032</v>
      </c>
      <c r="Q2175">
        <f t="shared" si="37"/>
        <v>5.6031999999999998E-2</v>
      </c>
      <c r="R2175">
        <v>43252</v>
      </c>
      <c r="S2175" t="s">
        <v>122</v>
      </c>
    </row>
    <row r="2176" spans="1:19">
      <c r="A2176">
        <v>60000273</v>
      </c>
      <c r="B2176">
        <v>39</v>
      </c>
      <c r="C2176" t="s">
        <v>33</v>
      </c>
      <c r="D2176" t="s">
        <v>40</v>
      </c>
      <c r="E2176" t="s">
        <v>85</v>
      </c>
      <c r="F2176" t="s">
        <v>21</v>
      </c>
      <c r="G2176" s="23">
        <v>0.21</v>
      </c>
      <c r="H2176" t="s">
        <v>29</v>
      </c>
      <c r="I2176" t="s">
        <v>73</v>
      </c>
      <c r="J2176" t="s">
        <v>24</v>
      </c>
      <c r="K2176" t="s">
        <v>81</v>
      </c>
      <c r="L2176" t="s">
        <v>119</v>
      </c>
      <c r="M2176" t="s">
        <v>125</v>
      </c>
      <c r="N2176" t="s">
        <v>28</v>
      </c>
      <c r="O2176">
        <v>0</v>
      </c>
      <c r="P2176">
        <v>67233</v>
      </c>
      <c r="Q2176">
        <f t="shared" si="37"/>
        <v>6.7233000000000001E-2</v>
      </c>
      <c r="R2176">
        <v>43252</v>
      </c>
      <c r="S2176" t="s">
        <v>122</v>
      </c>
    </row>
    <row r="2177" spans="1:19">
      <c r="A2177">
        <v>60000274</v>
      </c>
      <c r="B2177">
        <v>51</v>
      </c>
      <c r="C2177" t="s">
        <v>18</v>
      </c>
      <c r="D2177" t="s">
        <v>40</v>
      </c>
      <c r="E2177" t="s">
        <v>44</v>
      </c>
      <c r="F2177" t="s">
        <v>21</v>
      </c>
      <c r="G2177" s="23">
        <v>0.27</v>
      </c>
      <c r="H2177" t="s">
        <v>53</v>
      </c>
      <c r="I2177" t="s">
        <v>68</v>
      </c>
      <c r="J2177" t="s">
        <v>66</v>
      </c>
      <c r="K2177" t="s">
        <v>107</v>
      </c>
      <c r="L2177" t="s">
        <v>26</v>
      </c>
      <c r="M2177" t="s">
        <v>125</v>
      </c>
      <c r="N2177" t="s">
        <v>51</v>
      </c>
      <c r="O2177">
        <v>6</v>
      </c>
      <c r="P2177">
        <v>42157</v>
      </c>
      <c r="Q2177">
        <f t="shared" si="37"/>
        <v>4.2157E-2</v>
      </c>
      <c r="R2177">
        <v>43252</v>
      </c>
      <c r="S2177" t="s">
        <v>122</v>
      </c>
    </row>
    <row r="2178" spans="1:19">
      <c r="A2178">
        <v>60000275</v>
      </c>
      <c r="B2178">
        <v>64</v>
      </c>
      <c r="C2178" t="s">
        <v>33</v>
      </c>
      <c r="D2178" t="s">
        <v>19</v>
      </c>
      <c r="E2178" t="s">
        <v>48</v>
      </c>
      <c r="F2178" t="s">
        <v>21</v>
      </c>
      <c r="G2178" s="23">
        <v>0.35</v>
      </c>
      <c r="H2178" t="s">
        <v>42</v>
      </c>
      <c r="I2178" t="s">
        <v>65</v>
      </c>
      <c r="J2178" t="s">
        <v>38</v>
      </c>
      <c r="K2178" t="s">
        <v>32</v>
      </c>
      <c r="L2178" t="s">
        <v>119</v>
      </c>
      <c r="M2178" t="s">
        <v>125</v>
      </c>
      <c r="N2178" t="s">
        <v>51</v>
      </c>
      <c r="O2178">
        <v>2</v>
      </c>
      <c r="P2178">
        <v>80127</v>
      </c>
      <c r="Q2178">
        <f t="shared" si="37"/>
        <v>8.0127000000000004E-2</v>
      </c>
      <c r="R2178">
        <v>43252</v>
      </c>
      <c r="S2178" t="s">
        <v>122</v>
      </c>
    </row>
    <row r="2179" spans="1:19">
      <c r="A2179">
        <v>60000276</v>
      </c>
      <c r="B2179">
        <v>61</v>
      </c>
      <c r="C2179" t="s">
        <v>33</v>
      </c>
      <c r="D2179" t="s">
        <v>19</v>
      </c>
      <c r="E2179" t="s">
        <v>41</v>
      </c>
      <c r="F2179" t="s">
        <v>21</v>
      </c>
      <c r="G2179" s="23">
        <v>0.22</v>
      </c>
      <c r="H2179" t="s">
        <v>29</v>
      </c>
      <c r="I2179" t="s">
        <v>62</v>
      </c>
      <c r="J2179" t="s">
        <v>69</v>
      </c>
      <c r="K2179" t="s">
        <v>96</v>
      </c>
      <c r="L2179" t="s">
        <v>119</v>
      </c>
      <c r="M2179" t="s">
        <v>125</v>
      </c>
      <c r="N2179" t="s">
        <v>51</v>
      </c>
      <c r="O2179">
        <v>5</v>
      </c>
      <c r="P2179">
        <v>63859</v>
      </c>
      <c r="Q2179">
        <f t="shared" si="37"/>
        <v>6.3858999999999999E-2</v>
      </c>
      <c r="R2179">
        <v>43252</v>
      </c>
      <c r="S2179" t="s">
        <v>122</v>
      </c>
    </row>
    <row r="2180" spans="1:19">
      <c r="A2180">
        <v>60000277</v>
      </c>
      <c r="B2180">
        <v>21</v>
      </c>
      <c r="C2180" t="s">
        <v>33</v>
      </c>
      <c r="D2180" t="s">
        <v>19</v>
      </c>
      <c r="E2180" t="s">
        <v>67</v>
      </c>
      <c r="F2180" t="s">
        <v>21</v>
      </c>
      <c r="G2180" s="23">
        <v>0.19</v>
      </c>
      <c r="H2180" t="s">
        <v>29</v>
      </c>
      <c r="I2180" t="s">
        <v>62</v>
      </c>
      <c r="J2180" t="s">
        <v>78</v>
      </c>
      <c r="K2180" t="s">
        <v>92</v>
      </c>
      <c r="L2180" t="s">
        <v>119</v>
      </c>
      <c r="M2180" t="s">
        <v>125</v>
      </c>
      <c r="N2180" t="s">
        <v>51</v>
      </c>
      <c r="O2180">
        <v>4</v>
      </c>
      <c r="P2180">
        <v>56370</v>
      </c>
      <c r="Q2180">
        <f t="shared" si="37"/>
        <v>5.6370000000000003E-2</v>
      </c>
      <c r="R2180">
        <v>43252</v>
      </c>
      <c r="S2180" t="s">
        <v>122</v>
      </c>
    </row>
    <row r="2181" spans="1:19">
      <c r="A2181">
        <v>60000278</v>
      </c>
      <c r="B2181">
        <v>62</v>
      </c>
      <c r="C2181" t="s">
        <v>18</v>
      </c>
      <c r="D2181" t="s">
        <v>40</v>
      </c>
      <c r="E2181" t="s">
        <v>48</v>
      </c>
      <c r="F2181" t="s">
        <v>21</v>
      </c>
      <c r="G2181" s="23">
        <v>0.35</v>
      </c>
      <c r="H2181" t="s">
        <v>42</v>
      </c>
      <c r="I2181" t="s">
        <v>68</v>
      </c>
      <c r="J2181" t="s">
        <v>78</v>
      </c>
      <c r="K2181" t="s">
        <v>81</v>
      </c>
      <c r="L2181" t="s">
        <v>26</v>
      </c>
      <c r="M2181" t="s">
        <v>125</v>
      </c>
      <c r="N2181" t="s">
        <v>51</v>
      </c>
      <c r="O2181">
        <v>4</v>
      </c>
      <c r="P2181">
        <v>45869</v>
      </c>
      <c r="Q2181">
        <f t="shared" si="37"/>
        <v>4.5869E-2</v>
      </c>
      <c r="R2181">
        <v>43252</v>
      </c>
      <c r="S2181" t="s">
        <v>122</v>
      </c>
    </row>
    <row r="2182" spans="1:19">
      <c r="A2182">
        <v>60000279</v>
      </c>
      <c r="B2182">
        <v>35</v>
      </c>
      <c r="C2182" t="s">
        <v>33</v>
      </c>
      <c r="D2182" t="s">
        <v>19</v>
      </c>
      <c r="E2182" t="s">
        <v>34</v>
      </c>
      <c r="F2182" t="s">
        <v>21</v>
      </c>
      <c r="G2182" s="23">
        <v>0.28000000000000003</v>
      </c>
      <c r="H2182" t="s">
        <v>53</v>
      </c>
      <c r="I2182" t="s">
        <v>57</v>
      </c>
      <c r="J2182" t="s">
        <v>38</v>
      </c>
      <c r="K2182" t="s">
        <v>109</v>
      </c>
      <c r="L2182" t="s">
        <v>26</v>
      </c>
      <c r="M2182" t="s">
        <v>125</v>
      </c>
      <c r="N2182" t="s">
        <v>51</v>
      </c>
      <c r="O2182">
        <v>0</v>
      </c>
      <c r="P2182">
        <v>61650</v>
      </c>
      <c r="Q2182">
        <f t="shared" si="37"/>
        <v>6.1650000000000003E-2</v>
      </c>
      <c r="R2182">
        <v>43252</v>
      </c>
      <c r="S2182" t="s">
        <v>122</v>
      </c>
    </row>
    <row r="2183" spans="1:19">
      <c r="A2183">
        <v>60000280</v>
      </c>
      <c r="B2183">
        <v>33</v>
      </c>
      <c r="C2183" t="s">
        <v>18</v>
      </c>
      <c r="D2183" t="s">
        <v>40</v>
      </c>
      <c r="E2183" t="s">
        <v>64</v>
      </c>
      <c r="F2183" t="s">
        <v>21</v>
      </c>
      <c r="G2183" s="23">
        <v>0.19</v>
      </c>
      <c r="H2183" t="s">
        <v>29</v>
      </c>
      <c r="I2183" t="s">
        <v>86</v>
      </c>
      <c r="J2183" t="s">
        <v>66</v>
      </c>
      <c r="K2183" t="s">
        <v>83</v>
      </c>
      <c r="L2183" t="s">
        <v>26</v>
      </c>
      <c r="M2183" t="s">
        <v>125</v>
      </c>
      <c r="N2183" t="s">
        <v>28</v>
      </c>
      <c r="O2183">
        <v>0</v>
      </c>
      <c r="P2183">
        <v>54763</v>
      </c>
      <c r="Q2183">
        <f t="shared" si="37"/>
        <v>5.4762999999999999E-2</v>
      </c>
      <c r="R2183">
        <v>43252</v>
      </c>
      <c r="S2183" t="s">
        <v>122</v>
      </c>
    </row>
    <row r="2184" spans="1:19">
      <c r="A2184">
        <v>60000281</v>
      </c>
      <c r="B2184">
        <v>32</v>
      </c>
      <c r="C2184" t="s">
        <v>18</v>
      </c>
      <c r="D2184" t="s">
        <v>19</v>
      </c>
      <c r="E2184" t="s">
        <v>52</v>
      </c>
      <c r="F2184" t="s">
        <v>21</v>
      </c>
      <c r="G2184" s="23">
        <v>0.14000000000000001</v>
      </c>
      <c r="H2184" t="s">
        <v>22</v>
      </c>
      <c r="I2184" t="s">
        <v>60</v>
      </c>
      <c r="J2184" t="s">
        <v>24</v>
      </c>
      <c r="K2184" t="s">
        <v>93</v>
      </c>
      <c r="L2184" t="s">
        <v>119</v>
      </c>
      <c r="M2184" t="s">
        <v>125</v>
      </c>
      <c r="N2184" t="s">
        <v>28</v>
      </c>
      <c r="O2184">
        <v>0</v>
      </c>
      <c r="P2184">
        <v>84890</v>
      </c>
      <c r="Q2184">
        <f t="shared" si="37"/>
        <v>8.4889999999999993E-2</v>
      </c>
      <c r="R2184">
        <v>43252</v>
      </c>
      <c r="S2184" t="s">
        <v>122</v>
      </c>
    </row>
    <row r="2185" spans="1:19">
      <c r="A2185">
        <v>60000282</v>
      </c>
      <c r="B2185">
        <v>54</v>
      </c>
      <c r="C2185" t="s">
        <v>33</v>
      </c>
      <c r="D2185" t="s">
        <v>19</v>
      </c>
      <c r="E2185" t="s">
        <v>20</v>
      </c>
      <c r="F2185" t="s">
        <v>21</v>
      </c>
      <c r="G2185" s="23">
        <v>0.11</v>
      </c>
      <c r="H2185" t="s">
        <v>36</v>
      </c>
      <c r="I2185" t="s">
        <v>70</v>
      </c>
      <c r="J2185" t="s">
        <v>46</v>
      </c>
      <c r="K2185" t="s">
        <v>102</v>
      </c>
      <c r="L2185" t="s">
        <v>119</v>
      </c>
      <c r="M2185" t="s">
        <v>125</v>
      </c>
      <c r="N2185" t="s">
        <v>51</v>
      </c>
      <c r="O2185">
        <v>6</v>
      </c>
      <c r="P2185">
        <v>62574</v>
      </c>
      <c r="Q2185">
        <f t="shared" si="37"/>
        <v>6.2574000000000005E-2</v>
      </c>
      <c r="R2185">
        <v>43252</v>
      </c>
      <c r="S2185" t="s">
        <v>122</v>
      </c>
    </row>
    <row r="2186" spans="1:19">
      <c r="A2186">
        <v>60000283</v>
      </c>
      <c r="B2186">
        <v>45</v>
      </c>
      <c r="C2186" t="s">
        <v>18</v>
      </c>
      <c r="D2186" t="s">
        <v>40</v>
      </c>
      <c r="E2186" t="s">
        <v>85</v>
      </c>
      <c r="F2186" t="s">
        <v>21</v>
      </c>
      <c r="G2186" s="23">
        <v>0.37</v>
      </c>
      <c r="H2186" t="s">
        <v>42</v>
      </c>
      <c r="I2186" t="s">
        <v>86</v>
      </c>
      <c r="J2186" t="s">
        <v>46</v>
      </c>
      <c r="K2186" t="s">
        <v>82</v>
      </c>
      <c r="L2186" t="s">
        <v>26</v>
      </c>
      <c r="M2186" t="s">
        <v>125</v>
      </c>
      <c r="N2186" t="s">
        <v>28</v>
      </c>
      <c r="O2186">
        <v>0</v>
      </c>
      <c r="P2186">
        <v>25808</v>
      </c>
      <c r="Q2186">
        <f t="shared" si="37"/>
        <v>2.5808000000000001E-2</v>
      </c>
      <c r="R2186">
        <v>43252</v>
      </c>
      <c r="S2186" t="s">
        <v>122</v>
      </c>
    </row>
    <row r="2187" spans="1:19">
      <c r="A2187">
        <v>60000284</v>
      </c>
      <c r="B2187">
        <v>44</v>
      </c>
      <c r="C2187" t="s">
        <v>18</v>
      </c>
      <c r="D2187" t="s">
        <v>40</v>
      </c>
      <c r="E2187" t="s">
        <v>75</v>
      </c>
      <c r="F2187" t="s">
        <v>21</v>
      </c>
      <c r="G2187" s="23">
        <v>0.16</v>
      </c>
      <c r="H2187" t="s">
        <v>22</v>
      </c>
      <c r="I2187" t="s">
        <v>86</v>
      </c>
      <c r="J2187" t="s">
        <v>66</v>
      </c>
      <c r="K2187" t="s">
        <v>49</v>
      </c>
      <c r="L2187" t="s">
        <v>119</v>
      </c>
      <c r="M2187" t="s">
        <v>125</v>
      </c>
      <c r="N2187" t="s">
        <v>28</v>
      </c>
      <c r="O2187">
        <v>0</v>
      </c>
      <c r="P2187">
        <v>40642</v>
      </c>
      <c r="Q2187">
        <f t="shared" si="37"/>
        <v>4.0641999999999998E-2</v>
      </c>
      <c r="R2187">
        <v>43252</v>
      </c>
      <c r="S2187" t="s">
        <v>122</v>
      </c>
    </row>
    <row r="2188" spans="1:19">
      <c r="A2188">
        <v>60000285</v>
      </c>
      <c r="B2188">
        <v>37</v>
      </c>
      <c r="C2188" t="s">
        <v>33</v>
      </c>
      <c r="D2188" t="s">
        <v>19</v>
      </c>
      <c r="E2188" t="s">
        <v>64</v>
      </c>
      <c r="F2188" t="s">
        <v>21</v>
      </c>
      <c r="G2188" s="23">
        <v>0.19</v>
      </c>
      <c r="H2188" t="s">
        <v>29</v>
      </c>
      <c r="I2188" t="s">
        <v>45</v>
      </c>
      <c r="J2188" t="s">
        <v>69</v>
      </c>
      <c r="K2188" t="s">
        <v>99</v>
      </c>
      <c r="L2188" t="s">
        <v>26</v>
      </c>
      <c r="M2188" t="s">
        <v>125</v>
      </c>
      <c r="N2188" t="s">
        <v>28</v>
      </c>
      <c r="O2188">
        <v>0</v>
      </c>
      <c r="P2188">
        <v>79634</v>
      </c>
      <c r="Q2188">
        <f t="shared" si="37"/>
        <v>7.9633999999999996E-2</v>
      </c>
      <c r="R2188">
        <v>43252</v>
      </c>
      <c r="S2188" t="s">
        <v>122</v>
      </c>
    </row>
    <row r="2189" spans="1:19">
      <c r="A2189">
        <v>60000286</v>
      </c>
      <c r="B2189">
        <v>54</v>
      </c>
      <c r="C2189" t="s">
        <v>33</v>
      </c>
      <c r="D2189" t="s">
        <v>19</v>
      </c>
      <c r="E2189" t="s">
        <v>72</v>
      </c>
      <c r="F2189" t="s">
        <v>21</v>
      </c>
      <c r="G2189" s="23">
        <v>0.25</v>
      </c>
      <c r="H2189" t="s">
        <v>53</v>
      </c>
      <c r="I2189" t="s">
        <v>70</v>
      </c>
      <c r="J2189" t="s">
        <v>61</v>
      </c>
      <c r="K2189" t="s">
        <v>92</v>
      </c>
      <c r="L2189" t="s">
        <v>26</v>
      </c>
      <c r="M2189" t="s">
        <v>125</v>
      </c>
      <c r="N2189" t="s">
        <v>51</v>
      </c>
      <c r="O2189">
        <v>7</v>
      </c>
      <c r="P2189">
        <v>45068</v>
      </c>
      <c r="Q2189">
        <f t="shared" si="37"/>
        <v>4.5067999999999997E-2</v>
      </c>
      <c r="R2189">
        <v>43252</v>
      </c>
      <c r="S2189" t="s">
        <v>122</v>
      </c>
    </row>
    <row r="2190" spans="1:19">
      <c r="A2190">
        <v>60000287</v>
      </c>
      <c r="B2190">
        <v>60</v>
      </c>
      <c r="C2190" t="s">
        <v>33</v>
      </c>
      <c r="D2190" t="s">
        <v>19</v>
      </c>
      <c r="E2190" t="s">
        <v>64</v>
      </c>
      <c r="F2190" t="s">
        <v>21</v>
      </c>
      <c r="G2190" s="23">
        <v>0.21</v>
      </c>
      <c r="H2190" t="s">
        <v>29</v>
      </c>
      <c r="I2190" t="s">
        <v>49</v>
      </c>
      <c r="J2190" t="s">
        <v>24</v>
      </c>
      <c r="K2190" t="s">
        <v>65</v>
      </c>
      <c r="L2190" t="s">
        <v>26</v>
      </c>
      <c r="M2190" t="s">
        <v>125</v>
      </c>
      <c r="N2190" t="s">
        <v>28</v>
      </c>
      <c r="O2190">
        <v>0</v>
      </c>
      <c r="P2190">
        <v>71844</v>
      </c>
      <c r="Q2190">
        <f t="shared" si="37"/>
        <v>7.1844000000000005E-2</v>
      </c>
      <c r="R2190">
        <v>43252</v>
      </c>
      <c r="S2190" t="s">
        <v>122</v>
      </c>
    </row>
    <row r="2191" spans="1:19">
      <c r="A2191">
        <v>60000288</v>
      </c>
      <c r="B2191">
        <v>27</v>
      </c>
      <c r="C2191" t="s">
        <v>18</v>
      </c>
      <c r="D2191" t="s">
        <v>40</v>
      </c>
      <c r="E2191" t="s">
        <v>56</v>
      </c>
      <c r="F2191" t="s">
        <v>21</v>
      </c>
      <c r="G2191" s="23">
        <v>0.27</v>
      </c>
      <c r="H2191" t="s">
        <v>53</v>
      </c>
      <c r="I2191" t="s">
        <v>49</v>
      </c>
      <c r="J2191" t="s">
        <v>54</v>
      </c>
      <c r="K2191" t="s">
        <v>49</v>
      </c>
      <c r="L2191" t="s">
        <v>119</v>
      </c>
      <c r="M2191" t="s">
        <v>125</v>
      </c>
      <c r="N2191" t="s">
        <v>28</v>
      </c>
      <c r="O2191">
        <v>0</v>
      </c>
      <c r="P2191">
        <v>23846</v>
      </c>
      <c r="Q2191">
        <f t="shared" si="37"/>
        <v>2.3845999999999999E-2</v>
      </c>
      <c r="R2191">
        <v>43252</v>
      </c>
      <c r="S2191" t="s">
        <v>122</v>
      </c>
    </row>
    <row r="2192" spans="1:19">
      <c r="A2192">
        <v>60000289</v>
      </c>
      <c r="B2192">
        <v>58</v>
      </c>
      <c r="C2192" t="s">
        <v>18</v>
      </c>
      <c r="D2192" t="s">
        <v>19</v>
      </c>
      <c r="E2192" t="s">
        <v>56</v>
      </c>
      <c r="F2192" t="s">
        <v>21</v>
      </c>
      <c r="G2192" s="23">
        <v>0.28000000000000003</v>
      </c>
      <c r="H2192" t="s">
        <v>53</v>
      </c>
      <c r="I2192" t="s">
        <v>62</v>
      </c>
      <c r="J2192" t="s">
        <v>88</v>
      </c>
      <c r="K2192" t="s">
        <v>87</v>
      </c>
      <c r="L2192" t="s">
        <v>119</v>
      </c>
      <c r="M2192" t="s">
        <v>125</v>
      </c>
      <c r="N2192" t="s">
        <v>28</v>
      </c>
      <c r="O2192">
        <v>0</v>
      </c>
      <c r="P2192">
        <v>68805</v>
      </c>
      <c r="Q2192">
        <f t="shared" si="37"/>
        <v>6.8805000000000005E-2</v>
      </c>
      <c r="R2192">
        <v>43252</v>
      </c>
      <c r="S2192" t="s">
        <v>122</v>
      </c>
    </row>
    <row r="2193" spans="1:19">
      <c r="A2193">
        <v>60000290</v>
      </c>
      <c r="B2193">
        <v>45</v>
      </c>
      <c r="C2193" t="s">
        <v>33</v>
      </c>
      <c r="D2193" t="s">
        <v>40</v>
      </c>
      <c r="E2193" t="s">
        <v>20</v>
      </c>
      <c r="F2193" t="s">
        <v>21</v>
      </c>
      <c r="G2193" s="23">
        <v>0.3</v>
      </c>
      <c r="H2193" t="s">
        <v>53</v>
      </c>
      <c r="I2193" t="s">
        <v>37</v>
      </c>
      <c r="J2193" t="s">
        <v>91</v>
      </c>
      <c r="K2193" t="s">
        <v>82</v>
      </c>
      <c r="L2193" t="s">
        <v>121</v>
      </c>
      <c r="M2193" t="s">
        <v>125</v>
      </c>
      <c r="N2193" t="s">
        <v>51</v>
      </c>
      <c r="O2193">
        <v>6</v>
      </c>
      <c r="P2193">
        <v>79400</v>
      </c>
      <c r="Q2193">
        <f t="shared" si="37"/>
        <v>7.9399999999999998E-2</v>
      </c>
      <c r="R2193">
        <v>43252</v>
      </c>
      <c r="S2193" t="s">
        <v>122</v>
      </c>
    </row>
    <row r="2194" spans="1:19">
      <c r="A2194">
        <v>60000291</v>
      </c>
      <c r="B2194">
        <v>58</v>
      </c>
      <c r="C2194" t="s">
        <v>18</v>
      </c>
      <c r="D2194" t="s">
        <v>19</v>
      </c>
      <c r="E2194" t="s">
        <v>34</v>
      </c>
      <c r="F2194" t="s">
        <v>21</v>
      </c>
      <c r="G2194" s="23">
        <v>0.36</v>
      </c>
      <c r="H2194" t="s">
        <v>42</v>
      </c>
      <c r="I2194" t="s">
        <v>37</v>
      </c>
      <c r="J2194" t="s">
        <v>38</v>
      </c>
      <c r="K2194" t="s">
        <v>106</v>
      </c>
      <c r="L2194" t="s">
        <v>119</v>
      </c>
      <c r="M2194" t="s">
        <v>125</v>
      </c>
      <c r="N2194" t="s">
        <v>51</v>
      </c>
      <c r="O2194">
        <v>3</v>
      </c>
      <c r="P2194">
        <v>65258</v>
      </c>
      <c r="Q2194">
        <f t="shared" si="37"/>
        <v>6.5257999999999997E-2</v>
      </c>
      <c r="R2194">
        <v>43252</v>
      </c>
      <c r="S2194" t="s">
        <v>122</v>
      </c>
    </row>
    <row r="2195" spans="1:19">
      <c r="A2195">
        <v>60000292</v>
      </c>
      <c r="B2195">
        <v>35</v>
      </c>
      <c r="C2195" t="s">
        <v>18</v>
      </c>
      <c r="D2195" t="s">
        <v>19</v>
      </c>
      <c r="E2195" t="s">
        <v>44</v>
      </c>
      <c r="F2195" t="s">
        <v>21</v>
      </c>
      <c r="G2195" s="23">
        <v>0.13</v>
      </c>
      <c r="H2195" t="s">
        <v>22</v>
      </c>
      <c r="I2195" t="s">
        <v>70</v>
      </c>
      <c r="J2195" t="s">
        <v>61</v>
      </c>
      <c r="K2195" t="s">
        <v>92</v>
      </c>
      <c r="L2195" t="s">
        <v>121</v>
      </c>
      <c r="M2195" t="s">
        <v>125</v>
      </c>
      <c r="N2195" t="s">
        <v>51</v>
      </c>
      <c r="O2195">
        <v>7</v>
      </c>
      <c r="P2195">
        <v>79127</v>
      </c>
      <c r="Q2195">
        <f t="shared" si="37"/>
        <v>7.9127000000000003E-2</v>
      </c>
      <c r="R2195">
        <v>43252</v>
      </c>
      <c r="S2195" t="s">
        <v>122</v>
      </c>
    </row>
    <row r="2196" spans="1:19">
      <c r="A2196">
        <v>60000293</v>
      </c>
      <c r="B2196">
        <v>40</v>
      </c>
      <c r="C2196" t="s">
        <v>18</v>
      </c>
      <c r="D2196" t="s">
        <v>40</v>
      </c>
      <c r="E2196" t="s">
        <v>52</v>
      </c>
      <c r="F2196" t="s">
        <v>21</v>
      </c>
      <c r="G2196" s="23">
        <v>0.27</v>
      </c>
      <c r="H2196" t="s">
        <v>53</v>
      </c>
      <c r="I2196" t="s">
        <v>49</v>
      </c>
      <c r="J2196" t="s">
        <v>74</v>
      </c>
      <c r="K2196" t="s">
        <v>108</v>
      </c>
      <c r="L2196" t="s">
        <v>26</v>
      </c>
      <c r="M2196" t="s">
        <v>125</v>
      </c>
      <c r="N2196" t="s">
        <v>28</v>
      </c>
      <c r="O2196">
        <v>0</v>
      </c>
      <c r="P2196">
        <v>54971</v>
      </c>
      <c r="Q2196">
        <f t="shared" si="37"/>
        <v>5.4970999999999999E-2</v>
      </c>
      <c r="R2196">
        <v>43252</v>
      </c>
      <c r="S2196" t="s">
        <v>122</v>
      </c>
    </row>
    <row r="2197" spans="1:19">
      <c r="A2197">
        <v>60000294</v>
      </c>
      <c r="B2197">
        <v>48</v>
      </c>
      <c r="C2197" t="s">
        <v>33</v>
      </c>
      <c r="D2197" t="s">
        <v>19</v>
      </c>
      <c r="E2197" t="s">
        <v>44</v>
      </c>
      <c r="F2197" t="s">
        <v>21</v>
      </c>
      <c r="G2197" s="23">
        <v>0.27</v>
      </c>
      <c r="H2197" t="s">
        <v>53</v>
      </c>
      <c r="I2197" t="s">
        <v>83</v>
      </c>
      <c r="J2197" t="s">
        <v>74</v>
      </c>
      <c r="K2197" t="s">
        <v>90</v>
      </c>
      <c r="L2197" t="s">
        <v>121</v>
      </c>
      <c r="M2197" t="s">
        <v>125</v>
      </c>
      <c r="N2197" t="s">
        <v>28</v>
      </c>
      <c r="O2197">
        <v>0</v>
      </c>
      <c r="P2197">
        <v>35141</v>
      </c>
      <c r="Q2197">
        <f t="shared" si="37"/>
        <v>3.5140999999999999E-2</v>
      </c>
      <c r="R2197">
        <v>43252</v>
      </c>
      <c r="S2197" t="s">
        <v>122</v>
      </c>
    </row>
    <row r="2198" spans="1:19">
      <c r="A2198">
        <v>60000295</v>
      </c>
      <c r="B2198">
        <v>56</v>
      </c>
      <c r="C2198" t="s">
        <v>33</v>
      </c>
      <c r="D2198" t="s">
        <v>40</v>
      </c>
      <c r="E2198" t="s">
        <v>52</v>
      </c>
      <c r="F2198" t="s">
        <v>21</v>
      </c>
      <c r="G2198" s="23">
        <v>0.27</v>
      </c>
      <c r="H2198" t="s">
        <v>53</v>
      </c>
      <c r="I2198" t="s">
        <v>30</v>
      </c>
      <c r="J2198" t="s">
        <v>66</v>
      </c>
      <c r="K2198" t="s">
        <v>95</v>
      </c>
      <c r="L2198" t="s">
        <v>121</v>
      </c>
      <c r="M2198" t="s">
        <v>125</v>
      </c>
      <c r="N2198" t="s">
        <v>28</v>
      </c>
      <c r="O2198">
        <v>0</v>
      </c>
      <c r="P2198">
        <v>31060</v>
      </c>
      <c r="Q2198">
        <f t="shared" si="37"/>
        <v>3.1060000000000001E-2</v>
      </c>
      <c r="R2198">
        <v>43252</v>
      </c>
      <c r="S2198" t="s">
        <v>122</v>
      </c>
    </row>
    <row r="2199" spans="1:19">
      <c r="A2199">
        <v>60000296</v>
      </c>
      <c r="B2199">
        <v>36</v>
      </c>
      <c r="C2199" t="s">
        <v>18</v>
      </c>
      <c r="D2199" t="s">
        <v>40</v>
      </c>
      <c r="E2199" t="s">
        <v>56</v>
      </c>
      <c r="F2199" t="s">
        <v>21</v>
      </c>
      <c r="G2199" s="23">
        <v>0.13</v>
      </c>
      <c r="H2199" t="s">
        <v>22</v>
      </c>
      <c r="I2199" t="s">
        <v>83</v>
      </c>
      <c r="J2199" t="s">
        <v>38</v>
      </c>
      <c r="K2199" t="s">
        <v>84</v>
      </c>
      <c r="L2199" t="s">
        <v>119</v>
      </c>
      <c r="M2199" t="s">
        <v>125</v>
      </c>
      <c r="N2199" t="s">
        <v>51</v>
      </c>
      <c r="O2199">
        <v>0</v>
      </c>
      <c r="P2199">
        <v>66888</v>
      </c>
      <c r="Q2199">
        <f t="shared" si="37"/>
        <v>6.6888000000000003E-2</v>
      </c>
      <c r="R2199">
        <v>43252</v>
      </c>
      <c r="S2199" t="s">
        <v>122</v>
      </c>
    </row>
    <row r="2200" spans="1:19">
      <c r="A2200">
        <v>60000297</v>
      </c>
      <c r="B2200">
        <v>40</v>
      </c>
      <c r="C2200" t="s">
        <v>33</v>
      </c>
      <c r="D2200" t="s">
        <v>40</v>
      </c>
      <c r="E2200" t="s">
        <v>56</v>
      </c>
      <c r="F2200" t="s">
        <v>21</v>
      </c>
      <c r="G2200" s="23">
        <v>0.16</v>
      </c>
      <c r="H2200" t="s">
        <v>22</v>
      </c>
      <c r="I2200" t="s">
        <v>80</v>
      </c>
      <c r="J2200" t="s">
        <v>78</v>
      </c>
      <c r="K2200" t="s">
        <v>115</v>
      </c>
      <c r="L2200" t="s">
        <v>119</v>
      </c>
      <c r="M2200" t="s">
        <v>125</v>
      </c>
      <c r="N2200" t="s">
        <v>28</v>
      </c>
      <c r="O2200">
        <v>0</v>
      </c>
      <c r="P2200">
        <v>31251</v>
      </c>
      <c r="Q2200">
        <f t="shared" si="37"/>
        <v>3.1251000000000001E-2</v>
      </c>
      <c r="R2200">
        <v>43252</v>
      </c>
      <c r="S2200" t="s">
        <v>122</v>
      </c>
    </row>
    <row r="2201" spans="1:19">
      <c r="A2201">
        <v>60000298</v>
      </c>
      <c r="B2201">
        <v>49</v>
      </c>
      <c r="C2201" t="s">
        <v>18</v>
      </c>
      <c r="D2201" t="s">
        <v>19</v>
      </c>
      <c r="E2201" t="s">
        <v>48</v>
      </c>
      <c r="F2201" t="s">
        <v>21</v>
      </c>
      <c r="G2201" s="23">
        <v>0.32</v>
      </c>
      <c r="H2201" t="s">
        <v>42</v>
      </c>
      <c r="I2201" t="s">
        <v>30</v>
      </c>
      <c r="J2201" t="s">
        <v>69</v>
      </c>
      <c r="K2201" t="s">
        <v>47</v>
      </c>
      <c r="L2201" t="s">
        <v>119</v>
      </c>
      <c r="M2201" t="s">
        <v>125</v>
      </c>
      <c r="N2201" t="s">
        <v>51</v>
      </c>
      <c r="O2201">
        <v>5</v>
      </c>
      <c r="P2201">
        <v>71949</v>
      </c>
      <c r="Q2201">
        <f t="shared" si="37"/>
        <v>7.1948999999999999E-2</v>
      </c>
      <c r="R2201">
        <v>43252</v>
      </c>
      <c r="S2201" t="s">
        <v>122</v>
      </c>
    </row>
    <row r="2202" spans="1:19">
      <c r="A2202">
        <v>60000299</v>
      </c>
      <c r="B2202">
        <v>47</v>
      </c>
      <c r="C2202" t="s">
        <v>18</v>
      </c>
      <c r="D2202" t="s">
        <v>19</v>
      </c>
      <c r="E2202" t="s">
        <v>52</v>
      </c>
      <c r="F2202" t="s">
        <v>21</v>
      </c>
      <c r="G2202" s="23">
        <v>0.1</v>
      </c>
      <c r="H2202" t="s">
        <v>36</v>
      </c>
      <c r="I2202" t="s">
        <v>86</v>
      </c>
      <c r="J2202" t="s">
        <v>61</v>
      </c>
      <c r="K2202" t="s">
        <v>79</v>
      </c>
      <c r="L2202" t="s">
        <v>121</v>
      </c>
      <c r="M2202" t="s">
        <v>125</v>
      </c>
      <c r="N2202" t="s">
        <v>51</v>
      </c>
      <c r="O2202">
        <v>3</v>
      </c>
      <c r="P2202">
        <v>78768</v>
      </c>
      <c r="Q2202">
        <f t="shared" si="37"/>
        <v>7.8768000000000005E-2</v>
      </c>
      <c r="R2202">
        <v>43252</v>
      </c>
      <c r="S2202" t="s">
        <v>122</v>
      </c>
    </row>
    <row r="2203" spans="1:19">
      <c r="A2203">
        <v>60000300</v>
      </c>
      <c r="B2203">
        <v>27</v>
      </c>
      <c r="C2203" t="s">
        <v>33</v>
      </c>
      <c r="D2203" t="s">
        <v>40</v>
      </c>
      <c r="E2203" t="s">
        <v>85</v>
      </c>
      <c r="F2203" t="s">
        <v>21</v>
      </c>
      <c r="G2203" s="23">
        <v>0.28999999999999998</v>
      </c>
      <c r="H2203" t="s">
        <v>53</v>
      </c>
      <c r="I2203" t="s">
        <v>57</v>
      </c>
      <c r="J2203" t="s">
        <v>54</v>
      </c>
      <c r="K2203" t="s">
        <v>104</v>
      </c>
      <c r="L2203" t="s">
        <v>119</v>
      </c>
      <c r="M2203" t="s">
        <v>125</v>
      </c>
      <c r="N2203" t="s">
        <v>28</v>
      </c>
      <c r="O2203">
        <v>0</v>
      </c>
      <c r="P2203">
        <v>66516</v>
      </c>
      <c r="Q2203">
        <f t="shared" si="37"/>
        <v>6.6516000000000006E-2</v>
      </c>
      <c r="R2203">
        <v>43252</v>
      </c>
      <c r="S2203" t="s">
        <v>122</v>
      </c>
    </row>
    <row r="2204" spans="1:19">
      <c r="A2204">
        <v>60000301</v>
      </c>
      <c r="B2204">
        <v>64</v>
      </c>
      <c r="C2204" t="s">
        <v>18</v>
      </c>
      <c r="D2204" t="s">
        <v>19</v>
      </c>
      <c r="E2204" t="s">
        <v>52</v>
      </c>
      <c r="F2204" t="s">
        <v>21</v>
      </c>
      <c r="G2204" s="23">
        <v>0.25</v>
      </c>
      <c r="H2204" t="s">
        <v>53</v>
      </c>
      <c r="I2204" t="s">
        <v>45</v>
      </c>
      <c r="J2204" t="s">
        <v>61</v>
      </c>
      <c r="K2204" t="s">
        <v>96</v>
      </c>
      <c r="L2204" t="s">
        <v>26</v>
      </c>
      <c r="M2204" t="s">
        <v>125</v>
      </c>
      <c r="N2204" t="s">
        <v>28</v>
      </c>
      <c r="O2204">
        <v>0</v>
      </c>
      <c r="P2204">
        <v>80286</v>
      </c>
      <c r="Q2204">
        <f t="shared" si="37"/>
        <v>8.0285999999999996E-2</v>
      </c>
      <c r="R2204">
        <v>43252</v>
      </c>
      <c r="S2204" t="s">
        <v>122</v>
      </c>
    </row>
    <row r="2205" spans="1:19">
      <c r="A2205">
        <v>60000302</v>
      </c>
      <c r="B2205">
        <v>49</v>
      </c>
      <c r="C2205" t="s">
        <v>33</v>
      </c>
      <c r="D2205" t="s">
        <v>19</v>
      </c>
      <c r="E2205" t="s">
        <v>20</v>
      </c>
      <c r="F2205" t="s">
        <v>21</v>
      </c>
      <c r="G2205" s="23">
        <v>0.36</v>
      </c>
      <c r="H2205" t="s">
        <v>42</v>
      </c>
      <c r="I2205" t="s">
        <v>45</v>
      </c>
      <c r="J2205" t="s">
        <v>74</v>
      </c>
      <c r="K2205" t="s">
        <v>118</v>
      </c>
      <c r="L2205" t="s">
        <v>121</v>
      </c>
      <c r="M2205" t="s">
        <v>125</v>
      </c>
      <c r="N2205" t="s">
        <v>51</v>
      </c>
      <c r="O2205">
        <v>7</v>
      </c>
      <c r="P2205">
        <v>27132</v>
      </c>
      <c r="Q2205">
        <f t="shared" si="37"/>
        <v>2.7132E-2</v>
      </c>
      <c r="R2205">
        <v>43252</v>
      </c>
      <c r="S2205" t="s">
        <v>122</v>
      </c>
    </row>
    <row r="2206" spans="1:19">
      <c r="A2206">
        <v>60000303</v>
      </c>
      <c r="B2206">
        <v>45</v>
      </c>
      <c r="C2206" t="s">
        <v>18</v>
      </c>
      <c r="D2206" t="s">
        <v>40</v>
      </c>
      <c r="E2206" t="s">
        <v>67</v>
      </c>
      <c r="F2206" t="s">
        <v>21</v>
      </c>
      <c r="G2206" s="23">
        <v>0.31</v>
      </c>
      <c r="H2206" t="s">
        <v>53</v>
      </c>
      <c r="I2206" t="s">
        <v>86</v>
      </c>
      <c r="J2206" t="s">
        <v>66</v>
      </c>
      <c r="K2206" t="s">
        <v>100</v>
      </c>
      <c r="L2206" t="s">
        <v>119</v>
      </c>
      <c r="M2206" t="s">
        <v>125</v>
      </c>
      <c r="N2206" t="s">
        <v>51</v>
      </c>
      <c r="O2206">
        <v>5</v>
      </c>
      <c r="P2206">
        <v>47731</v>
      </c>
      <c r="Q2206">
        <f t="shared" si="37"/>
        <v>4.7731000000000003E-2</v>
      </c>
      <c r="R2206">
        <v>43252</v>
      </c>
      <c r="S2206" t="s">
        <v>122</v>
      </c>
    </row>
    <row r="2207" spans="1:19">
      <c r="A2207">
        <v>60000304</v>
      </c>
      <c r="B2207">
        <v>46</v>
      </c>
      <c r="C2207" t="s">
        <v>18</v>
      </c>
      <c r="D2207" t="s">
        <v>19</v>
      </c>
      <c r="E2207" t="s">
        <v>67</v>
      </c>
      <c r="F2207" t="s">
        <v>21</v>
      </c>
      <c r="G2207" s="23">
        <v>0.33</v>
      </c>
      <c r="H2207" t="s">
        <v>42</v>
      </c>
      <c r="I2207" t="s">
        <v>23</v>
      </c>
      <c r="J2207" t="s">
        <v>61</v>
      </c>
      <c r="K2207" t="s">
        <v>99</v>
      </c>
      <c r="L2207" t="s">
        <v>119</v>
      </c>
      <c r="M2207" t="s">
        <v>125</v>
      </c>
      <c r="N2207" t="s">
        <v>51</v>
      </c>
      <c r="O2207">
        <v>0</v>
      </c>
      <c r="P2207">
        <v>36561</v>
      </c>
      <c r="Q2207">
        <f t="shared" si="37"/>
        <v>3.6561000000000003E-2</v>
      </c>
      <c r="R2207">
        <v>43252</v>
      </c>
      <c r="S2207" t="s">
        <v>122</v>
      </c>
    </row>
    <row r="2208" spans="1:19">
      <c r="A2208">
        <v>60000305</v>
      </c>
      <c r="B2208">
        <v>55</v>
      </c>
      <c r="C2208" t="s">
        <v>33</v>
      </c>
      <c r="D2208" t="s">
        <v>19</v>
      </c>
      <c r="E2208" t="s">
        <v>72</v>
      </c>
      <c r="F2208" t="s">
        <v>21</v>
      </c>
      <c r="G2208" s="23">
        <v>0.26</v>
      </c>
      <c r="H2208" t="s">
        <v>53</v>
      </c>
      <c r="I2208" t="s">
        <v>70</v>
      </c>
      <c r="J2208" t="s">
        <v>24</v>
      </c>
      <c r="K2208" t="s">
        <v>50</v>
      </c>
      <c r="L2208" t="s">
        <v>121</v>
      </c>
      <c r="M2208" t="s">
        <v>125</v>
      </c>
      <c r="N2208" t="s">
        <v>28</v>
      </c>
      <c r="O2208">
        <v>0</v>
      </c>
      <c r="P2208">
        <v>67604</v>
      </c>
      <c r="Q2208">
        <f t="shared" si="37"/>
        <v>6.7603999999999997E-2</v>
      </c>
      <c r="R2208">
        <v>43252</v>
      </c>
      <c r="S2208" t="s">
        <v>122</v>
      </c>
    </row>
    <row r="2209" spans="1:19">
      <c r="A2209">
        <v>60000306</v>
      </c>
      <c r="B2209">
        <v>33</v>
      </c>
      <c r="C2209" t="s">
        <v>33</v>
      </c>
      <c r="D2209" t="s">
        <v>40</v>
      </c>
      <c r="E2209" t="s">
        <v>64</v>
      </c>
      <c r="F2209" t="s">
        <v>21</v>
      </c>
      <c r="G2209" s="23">
        <v>0.13</v>
      </c>
      <c r="H2209" t="s">
        <v>22</v>
      </c>
      <c r="I2209" t="s">
        <v>76</v>
      </c>
      <c r="J2209" t="s">
        <v>54</v>
      </c>
      <c r="K2209" t="s">
        <v>112</v>
      </c>
      <c r="L2209" t="s">
        <v>26</v>
      </c>
      <c r="M2209" t="s">
        <v>125</v>
      </c>
      <c r="N2209" t="s">
        <v>51</v>
      </c>
      <c r="O2209">
        <v>3</v>
      </c>
      <c r="P2209">
        <v>65598</v>
      </c>
      <c r="Q2209">
        <f t="shared" si="37"/>
        <v>6.5598000000000004E-2</v>
      </c>
      <c r="R2209">
        <v>43252</v>
      </c>
      <c r="S2209" t="s">
        <v>122</v>
      </c>
    </row>
    <row r="2210" spans="1:19">
      <c r="A2210">
        <v>60000307</v>
      </c>
      <c r="B2210">
        <v>59</v>
      </c>
      <c r="C2210" t="s">
        <v>18</v>
      </c>
      <c r="D2210" t="s">
        <v>19</v>
      </c>
      <c r="E2210" t="s">
        <v>34</v>
      </c>
      <c r="F2210" t="s">
        <v>21</v>
      </c>
      <c r="G2210" s="23">
        <v>0.17</v>
      </c>
      <c r="H2210" t="s">
        <v>22</v>
      </c>
      <c r="I2210" t="s">
        <v>60</v>
      </c>
      <c r="J2210" t="s">
        <v>91</v>
      </c>
      <c r="K2210" t="s">
        <v>32</v>
      </c>
      <c r="L2210" t="s">
        <v>26</v>
      </c>
      <c r="M2210" t="s">
        <v>125</v>
      </c>
      <c r="N2210" t="s">
        <v>51</v>
      </c>
      <c r="O2210">
        <v>0</v>
      </c>
      <c r="P2210">
        <v>34810</v>
      </c>
      <c r="Q2210">
        <f t="shared" si="37"/>
        <v>3.4810000000000001E-2</v>
      </c>
      <c r="R2210">
        <v>43252</v>
      </c>
      <c r="S2210" t="s">
        <v>122</v>
      </c>
    </row>
    <row r="2211" spans="1:19">
      <c r="A2211">
        <v>60000308</v>
      </c>
      <c r="B2211">
        <v>65</v>
      </c>
      <c r="C2211" t="s">
        <v>18</v>
      </c>
      <c r="D2211" t="s">
        <v>40</v>
      </c>
      <c r="E2211" t="s">
        <v>34</v>
      </c>
      <c r="F2211" t="s">
        <v>21</v>
      </c>
      <c r="G2211" s="23">
        <v>0.32</v>
      </c>
      <c r="H2211" t="s">
        <v>42</v>
      </c>
      <c r="I2211" t="s">
        <v>30</v>
      </c>
      <c r="J2211" t="s">
        <v>38</v>
      </c>
      <c r="K2211" t="s">
        <v>99</v>
      </c>
      <c r="L2211" t="s">
        <v>119</v>
      </c>
      <c r="M2211" t="s">
        <v>125</v>
      </c>
      <c r="N2211" t="s">
        <v>28</v>
      </c>
      <c r="O2211">
        <v>0</v>
      </c>
      <c r="P2211">
        <v>71181</v>
      </c>
      <c r="Q2211">
        <f t="shared" si="37"/>
        <v>7.1180999999999994E-2</v>
      </c>
      <c r="R2211">
        <v>43252</v>
      </c>
      <c r="S2211" t="s">
        <v>122</v>
      </c>
    </row>
    <row r="2212" spans="1:19">
      <c r="A2212">
        <v>60000309</v>
      </c>
      <c r="B2212">
        <v>59</v>
      </c>
      <c r="C2212" t="s">
        <v>18</v>
      </c>
      <c r="D2212" t="s">
        <v>40</v>
      </c>
      <c r="E2212" t="s">
        <v>48</v>
      </c>
      <c r="F2212" t="s">
        <v>21</v>
      </c>
      <c r="G2212" s="23">
        <v>0.13</v>
      </c>
      <c r="H2212" t="s">
        <v>22</v>
      </c>
      <c r="I2212" t="s">
        <v>68</v>
      </c>
      <c r="J2212" t="s">
        <v>74</v>
      </c>
      <c r="K2212" t="s">
        <v>110</v>
      </c>
      <c r="L2212" t="s">
        <v>121</v>
      </c>
      <c r="M2212" t="s">
        <v>125</v>
      </c>
      <c r="N2212" t="s">
        <v>28</v>
      </c>
      <c r="O2212">
        <v>0</v>
      </c>
      <c r="P2212">
        <v>27743</v>
      </c>
      <c r="Q2212">
        <f t="shared" si="37"/>
        <v>2.7743E-2</v>
      </c>
      <c r="R2212">
        <v>43252</v>
      </c>
      <c r="S2212" t="s">
        <v>122</v>
      </c>
    </row>
    <row r="2213" spans="1:19">
      <c r="A2213">
        <v>60000310</v>
      </c>
      <c r="B2213">
        <v>28</v>
      </c>
      <c r="C2213" t="s">
        <v>33</v>
      </c>
      <c r="D2213" t="s">
        <v>40</v>
      </c>
      <c r="E2213" t="s">
        <v>56</v>
      </c>
      <c r="F2213" t="s">
        <v>21</v>
      </c>
      <c r="G2213" s="23">
        <v>0.26</v>
      </c>
      <c r="H2213" t="s">
        <v>53</v>
      </c>
      <c r="I2213" t="s">
        <v>76</v>
      </c>
      <c r="J2213" t="s">
        <v>91</v>
      </c>
      <c r="K2213" t="s">
        <v>82</v>
      </c>
      <c r="L2213" t="s">
        <v>26</v>
      </c>
      <c r="M2213" t="s">
        <v>125</v>
      </c>
      <c r="N2213" t="s">
        <v>51</v>
      </c>
      <c r="O2213">
        <v>7</v>
      </c>
      <c r="P2213">
        <v>33018</v>
      </c>
      <c r="Q2213">
        <f t="shared" si="37"/>
        <v>3.3017999999999999E-2</v>
      </c>
      <c r="R2213">
        <v>43252</v>
      </c>
      <c r="S2213" t="s">
        <v>122</v>
      </c>
    </row>
    <row r="2214" spans="1:19">
      <c r="A2214">
        <v>60000311</v>
      </c>
      <c r="B2214">
        <v>20</v>
      </c>
      <c r="C2214" t="s">
        <v>33</v>
      </c>
      <c r="D2214" t="s">
        <v>19</v>
      </c>
      <c r="E2214" t="s">
        <v>41</v>
      </c>
      <c r="F2214" t="s">
        <v>21</v>
      </c>
      <c r="G2214" s="23">
        <v>0.36</v>
      </c>
      <c r="H2214" t="s">
        <v>42</v>
      </c>
      <c r="I2214" t="s">
        <v>62</v>
      </c>
      <c r="J2214" t="s">
        <v>78</v>
      </c>
      <c r="K2214" t="s">
        <v>100</v>
      </c>
      <c r="L2214" t="s">
        <v>121</v>
      </c>
      <c r="M2214" t="s">
        <v>125</v>
      </c>
      <c r="N2214" t="s">
        <v>51</v>
      </c>
      <c r="O2214">
        <v>4</v>
      </c>
      <c r="P2214">
        <v>81977</v>
      </c>
      <c r="Q2214">
        <f t="shared" si="37"/>
        <v>8.1976999999999994E-2</v>
      </c>
      <c r="R2214">
        <v>43252</v>
      </c>
      <c r="S2214" t="s">
        <v>122</v>
      </c>
    </row>
    <row r="2215" spans="1:19">
      <c r="A2215">
        <v>60000312</v>
      </c>
      <c r="B2215">
        <v>21</v>
      </c>
      <c r="C2215" t="s">
        <v>18</v>
      </c>
      <c r="D2215" t="s">
        <v>19</v>
      </c>
      <c r="E2215" t="s">
        <v>48</v>
      </c>
      <c r="F2215" t="s">
        <v>21</v>
      </c>
      <c r="G2215" s="23">
        <v>0.17</v>
      </c>
      <c r="H2215" t="s">
        <v>22</v>
      </c>
      <c r="I2215" t="s">
        <v>80</v>
      </c>
      <c r="J2215" t="s">
        <v>88</v>
      </c>
      <c r="K2215" t="s">
        <v>108</v>
      </c>
      <c r="L2215" t="s">
        <v>121</v>
      </c>
      <c r="M2215" t="s">
        <v>125</v>
      </c>
      <c r="N2215" t="s">
        <v>51</v>
      </c>
      <c r="O2215">
        <v>3</v>
      </c>
      <c r="P2215">
        <v>40365</v>
      </c>
      <c r="Q2215">
        <f t="shared" si="37"/>
        <v>4.0364999999999998E-2</v>
      </c>
      <c r="R2215">
        <v>43252</v>
      </c>
      <c r="S2215" t="s">
        <v>122</v>
      </c>
    </row>
    <row r="2216" spans="1:19">
      <c r="A2216">
        <v>60000313</v>
      </c>
      <c r="B2216">
        <v>54</v>
      </c>
      <c r="C2216" t="s">
        <v>33</v>
      </c>
      <c r="D2216" t="s">
        <v>19</v>
      </c>
      <c r="E2216" t="s">
        <v>44</v>
      </c>
      <c r="F2216" t="s">
        <v>21</v>
      </c>
      <c r="G2216" s="23">
        <v>0.35</v>
      </c>
      <c r="H2216" t="s">
        <v>42</v>
      </c>
      <c r="I2216" t="s">
        <v>73</v>
      </c>
      <c r="J2216" t="s">
        <v>61</v>
      </c>
      <c r="K2216" t="s">
        <v>115</v>
      </c>
      <c r="L2216" t="s">
        <v>119</v>
      </c>
      <c r="M2216" t="s">
        <v>125</v>
      </c>
      <c r="N2216" t="s">
        <v>51</v>
      </c>
      <c r="O2216">
        <v>0</v>
      </c>
      <c r="P2216">
        <v>24396</v>
      </c>
      <c r="Q2216">
        <f t="shared" si="37"/>
        <v>2.4396000000000001E-2</v>
      </c>
      <c r="R2216">
        <v>43252</v>
      </c>
      <c r="S2216" t="s">
        <v>122</v>
      </c>
    </row>
    <row r="2217" spans="1:19">
      <c r="A2217">
        <v>60000314</v>
      </c>
      <c r="B2217">
        <v>36</v>
      </c>
      <c r="C2217" t="s">
        <v>18</v>
      </c>
      <c r="D2217" t="s">
        <v>40</v>
      </c>
      <c r="E2217" t="s">
        <v>34</v>
      </c>
      <c r="F2217" t="s">
        <v>21</v>
      </c>
      <c r="G2217" s="23">
        <v>0.34</v>
      </c>
      <c r="H2217" t="s">
        <v>42</v>
      </c>
      <c r="I2217" t="s">
        <v>30</v>
      </c>
      <c r="J2217" t="s">
        <v>91</v>
      </c>
      <c r="K2217" t="s">
        <v>96</v>
      </c>
      <c r="L2217" t="s">
        <v>119</v>
      </c>
      <c r="M2217" t="s">
        <v>125</v>
      </c>
      <c r="N2217" t="s">
        <v>28</v>
      </c>
      <c r="O2217">
        <v>0</v>
      </c>
      <c r="P2217">
        <v>60089</v>
      </c>
      <c r="Q2217">
        <f t="shared" si="37"/>
        <v>6.0088999999999997E-2</v>
      </c>
      <c r="R2217">
        <v>43252</v>
      </c>
      <c r="S2217" t="s">
        <v>122</v>
      </c>
    </row>
    <row r="2218" spans="1:19">
      <c r="A2218">
        <v>60000315</v>
      </c>
      <c r="B2218">
        <v>65</v>
      </c>
      <c r="C2218" t="s">
        <v>33</v>
      </c>
      <c r="D2218" t="s">
        <v>40</v>
      </c>
      <c r="E2218" t="s">
        <v>34</v>
      </c>
      <c r="F2218" t="s">
        <v>21</v>
      </c>
      <c r="G2218" s="23">
        <v>0.37</v>
      </c>
      <c r="H2218" t="s">
        <v>42</v>
      </c>
      <c r="I2218" t="s">
        <v>68</v>
      </c>
      <c r="J2218" t="s">
        <v>46</v>
      </c>
      <c r="K2218" t="s">
        <v>50</v>
      </c>
      <c r="L2218" t="s">
        <v>119</v>
      </c>
      <c r="M2218" t="s">
        <v>125</v>
      </c>
      <c r="N2218" t="s">
        <v>28</v>
      </c>
      <c r="O2218">
        <v>0</v>
      </c>
      <c r="P2218">
        <v>80153</v>
      </c>
      <c r="Q2218">
        <f t="shared" si="37"/>
        <v>8.0153000000000002E-2</v>
      </c>
      <c r="R2218">
        <v>43252</v>
      </c>
      <c r="S2218" t="s">
        <v>122</v>
      </c>
    </row>
    <row r="2219" spans="1:19">
      <c r="A2219">
        <v>60000316</v>
      </c>
      <c r="B2219">
        <v>53</v>
      </c>
      <c r="C2219" t="s">
        <v>33</v>
      </c>
      <c r="D2219" t="s">
        <v>40</v>
      </c>
      <c r="E2219" t="s">
        <v>67</v>
      </c>
      <c r="F2219" t="s">
        <v>21</v>
      </c>
      <c r="G2219" s="23">
        <v>0.17</v>
      </c>
      <c r="H2219" t="s">
        <v>22</v>
      </c>
      <c r="I2219" t="s">
        <v>65</v>
      </c>
      <c r="J2219" t="s">
        <v>61</v>
      </c>
      <c r="K2219" t="s">
        <v>104</v>
      </c>
      <c r="L2219" t="s">
        <v>26</v>
      </c>
      <c r="M2219" t="s">
        <v>125</v>
      </c>
      <c r="N2219" t="s">
        <v>28</v>
      </c>
      <c r="O2219">
        <v>0</v>
      </c>
      <c r="P2219">
        <v>30014</v>
      </c>
      <c r="Q2219">
        <f t="shared" si="37"/>
        <v>3.0013999999999999E-2</v>
      </c>
      <c r="R2219">
        <v>43252</v>
      </c>
      <c r="S2219" t="s">
        <v>122</v>
      </c>
    </row>
    <row r="2220" spans="1:19">
      <c r="A2220">
        <v>60000317</v>
      </c>
      <c r="B2220">
        <v>30</v>
      </c>
      <c r="C2220" t="s">
        <v>33</v>
      </c>
      <c r="D2220" t="s">
        <v>19</v>
      </c>
      <c r="E2220" t="s">
        <v>85</v>
      </c>
      <c r="F2220" t="s">
        <v>21</v>
      </c>
      <c r="G2220" s="23">
        <v>0.3</v>
      </c>
      <c r="H2220" t="s">
        <v>53</v>
      </c>
      <c r="I2220" t="s">
        <v>45</v>
      </c>
      <c r="J2220" t="s">
        <v>58</v>
      </c>
      <c r="K2220" t="s">
        <v>118</v>
      </c>
      <c r="L2220" t="s">
        <v>26</v>
      </c>
      <c r="M2220" t="s">
        <v>125</v>
      </c>
      <c r="N2220" t="s">
        <v>51</v>
      </c>
      <c r="O2220">
        <v>3</v>
      </c>
      <c r="P2220">
        <v>59887</v>
      </c>
      <c r="Q2220">
        <f t="shared" si="37"/>
        <v>5.9887000000000003E-2</v>
      </c>
      <c r="R2220">
        <v>43252</v>
      </c>
      <c r="S2220" t="s">
        <v>122</v>
      </c>
    </row>
    <row r="2221" spans="1:19">
      <c r="A2221">
        <v>60000318</v>
      </c>
      <c r="B2221">
        <v>55</v>
      </c>
      <c r="C2221" t="s">
        <v>33</v>
      </c>
      <c r="D2221" t="s">
        <v>40</v>
      </c>
      <c r="E2221" t="s">
        <v>85</v>
      </c>
      <c r="F2221" t="s">
        <v>21</v>
      </c>
      <c r="G2221" s="23">
        <v>0.19</v>
      </c>
      <c r="H2221" t="s">
        <v>29</v>
      </c>
      <c r="I2221" t="s">
        <v>45</v>
      </c>
      <c r="J2221" t="s">
        <v>91</v>
      </c>
      <c r="K2221" t="s">
        <v>92</v>
      </c>
      <c r="L2221" t="s">
        <v>121</v>
      </c>
      <c r="M2221" t="s">
        <v>125</v>
      </c>
      <c r="N2221" t="s">
        <v>28</v>
      </c>
      <c r="O2221">
        <v>0</v>
      </c>
      <c r="P2221">
        <v>54530</v>
      </c>
      <c r="Q2221">
        <f t="shared" si="37"/>
        <v>5.4530000000000002E-2</v>
      </c>
      <c r="R2221">
        <v>43252</v>
      </c>
      <c r="S2221" t="s">
        <v>122</v>
      </c>
    </row>
    <row r="2222" spans="1:19">
      <c r="A2222">
        <v>60000319</v>
      </c>
      <c r="B2222">
        <v>22</v>
      </c>
      <c r="C2222" t="s">
        <v>18</v>
      </c>
      <c r="D2222" t="s">
        <v>19</v>
      </c>
      <c r="E2222" t="s">
        <v>48</v>
      </c>
      <c r="F2222" t="s">
        <v>21</v>
      </c>
      <c r="G2222" s="23">
        <v>0.34</v>
      </c>
      <c r="H2222" t="s">
        <v>42</v>
      </c>
      <c r="I2222" t="s">
        <v>73</v>
      </c>
      <c r="J2222" t="s">
        <v>74</v>
      </c>
      <c r="K2222" t="s">
        <v>95</v>
      </c>
      <c r="L2222" t="s">
        <v>119</v>
      </c>
      <c r="M2222" t="s">
        <v>125</v>
      </c>
      <c r="N2222" t="s">
        <v>28</v>
      </c>
      <c r="O2222">
        <v>0</v>
      </c>
      <c r="P2222">
        <v>69493</v>
      </c>
      <c r="Q2222">
        <f t="shared" si="37"/>
        <v>6.9492999999999999E-2</v>
      </c>
      <c r="R2222">
        <v>43252</v>
      </c>
      <c r="S2222" t="s">
        <v>122</v>
      </c>
    </row>
    <row r="2223" spans="1:19">
      <c r="A2223">
        <v>60000320</v>
      </c>
      <c r="B2223">
        <v>48</v>
      </c>
      <c r="C2223" t="s">
        <v>18</v>
      </c>
      <c r="D2223" t="s">
        <v>19</v>
      </c>
      <c r="E2223" t="s">
        <v>72</v>
      </c>
      <c r="F2223" t="s">
        <v>21</v>
      </c>
      <c r="G2223" s="23">
        <v>0.25</v>
      </c>
      <c r="H2223" t="s">
        <v>53</v>
      </c>
      <c r="I2223" t="s">
        <v>60</v>
      </c>
      <c r="J2223" t="s">
        <v>74</v>
      </c>
      <c r="K2223" t="s">
        <v>100</v>
      </c>
      <c r="L2223" t="s">
        <v>119</v>
      </c>
      <c r="M2223" t="s">
        <v>125</v>
      </c>
      <c r="N2223" t="s">
        <v>28</v>
      </c>
      <c r="O2223">
        <v>0</v>
      </c>
      <c r="P2223">
        <v>59545</v>
      </c>
      <c r="Q2223">
        <f t="shared" ref="Q2223:Q2286" si="38">+P2223/1000000</f>
        <v>5.9545000000000001E-2</v>
      </c>
      <c r="R2223">
        <v>43252</v>
      </c>
      <c r="S2223" t="s">
        <v>122</v>
      </c>
    </row>
    <row r="2224" spans="1:19">
      <c r="A2224">
        <v>60000321</v>
      </c>
      <c r="B2224">
        <v>53</v>
      </c>
      <c r="C2224" t="s">
        <v>18</v>
      </c>
      <c r="D2224" t="s">
        <v>19</v>
      </c>
      <c r="E2224" t="s">
        <v>52</v>
      </c>
      <c r="F2224" t="s">
        <v>21</v>
      </c>
      <c r="G2224" s="23">
        <v>0.23</v>
      </c>
      <c r="H2224" t="s">
        <v>29</v>
      </c>
      <c r="I2224" t="s">
        <v>73</v>
      </c>
      <c r="J2224" t="s">
        <v>69</v>
      </c>
      <c r="K2224" t="s">
        <v>109</v>
      </c>
      <c r="L2224" t="s">
        <v>119</v>
      </c>
      <c r="M2224" t="s">
        <v>125</v>
      </c>
      <c r="N2224" t="s">
        <v>28</v>
      </c>
      <c r="O2224">
        <v>0</v>
      </c>
      <c r="P2224">
        <v>44617</v>
      </c>
      <c r="Q2224">
        <f t="shared" si="38"/>
        <v>4.4616999999999997E-2</v>
      </c>
      <c r="R2224">
        <v>43252</v>
      </c>
      <c r="S2224" t="s">
        <v>122</v>
      </c>
    </row>
    <row r="2225" spans="1:19">
      <c r="A2225">
        <v>60000322</v>
      </c>
      <c r="B2225">
        <v>41</v>
      </c>
      <c r="C2225" t="s">
        <v>33</v>
      </c>
      <c r="D2225" t="s">
        <v>19</v>
      </c>
      <c r="E2225" t="s">
        <v>44</v>
      </c>
      <c r="F2225" t="s">
        <v>21</v>
      </c>
      <c r="G2225" s="23">
        <v>0.16</v>
      </c>
      <c r="H2225" t="s">
        <v>22</v>
      </c>
      <c r="I2225" t="s">
        <v>76</v>
      </c>
      <c r="J2225" t="s">
        <v>58</v>
      </c>
      <c r="K2225" t="s">
        <v>95</v>
      </c>
      <c r="L2225" t="s">
        <v>119</v>
      </c>
      <c r="M2225" t="s">
        <v>125</v>
      </c>
      <c r="N2225" t="s">
        <v>51</v>
      </c>
      <c r="O2225">
        <v>4</v>
      </c>
      <c r="P2225">
        <v>73689</v>
      </c>
      <c r="Q2225">
        <f t="shared" si="38"/>
        <v>7.3689000000000004E-2</v>
      </c>
      <c r="R2225">
        <v>43252</v>
      </c>
      <c r="S2225" t="s">
        <v>122</v>
      </c>
    </row>
    <row r="2226" spans="1:19">
      <c r="A2226">
        <v>60000323</v>
      </c>
      <c r="B2226">
        <v>59</v>
      </c>
      <c r="C2226" t="s">
        <v>18</v>
      </c>
      <c r="D2226" t="s">
        <v>40</v>
      </c>
      <c r="E2226" t="s">
        <v>44</v>
      </c>
      <c r="F2226" t="s">
        <v>21</v>
      </c>
      <c r="G2226" s="23">
        <v>0.16</v>
      </c>
      <c r="H2226" t="s">
        <v>22</v>
      </c>
      <c r="I2226" t="s">
        <v>57</v>
      </c>
      <c r="J2226" t="s">
        <v>38</v>
      </c>
      <c r="K2226" t="s">
        <v>63</v>
      </c>
      <c r="L2226" t="s">
        <v>26</v>
      </c>
      <c r="M2226" t="s">
        <v>125</v>
      </c>
      <c r="N2226" t="s">
        <v>51</v>
      </c>
      <c r="O2226">
        <v>6</v>
      </c>
      <c r="P2226">
        <v>40223</v>
      </c>
      <c r="Q2226">
        <f t="shared" si="38"/>
        <v>4.0223000000000002E-2</v>
      </c>
      <c r="R2226">
        <v>43252</v>
      </c>
      <c r="S2226" t="s">
        <v>122</v>
      </c>
    </row>
    <row r="2227" spans="1:19">
      <c r="A2227">
        <v>60000324</v>
      </c>
      <c r="B2227">
        <v>46</v>
      </c>
      <c r="C2227" t="s">
        <v>33</v>
      </c>
      <c r="D2227" t="s">
        <v>19</v>
      </c>
      <c r="E2227" t="s">
        <v>34</v>
      </c>
      <c r="F2227" t="s">
        <v>21</v>
      </c>
      <c r="G2227" s="23">
        <v>0.18</v>
      </c>
      <c r="H2227" t="s">
        <v>22</v>
      </c>
      <c r="I2227" t="s">
        <v>37</v>
      </c>
      <c r="J2227" t="s">
        <v>54</v>
      </c>
      <c r="K2227" t="s">
        <v>43</v>
      </c>
      <c r="L2227" t="s">
        <v>26</v>
      </c>
      <c r="M2227" t="s">
        <v>125</v>
      </c>
      <c r="N2227" t="s">
        <v>28</v>
      </c>
      <c r="O2227">
        <v>0</v>
      </c>
      <c r="P2227">
        <v>57482</v>
      </c>
      <c r="Q2227">
        <f t="shared" si="38"/>
        <v>5.7481999999999998E-2</v>
      </c>
      <c r="R2227">
        <v>43252</v>
      </c>
      <c r="S2227" t="s">
        <v>122</v>
      </c>
    </row>
    <row r="2228" spans="1:19">
      <c r="A2228">
        <v>60000325</v>
      </c>
      <c r="B2228">
        <v>30</v>
      </c>
      <c r="C2228" t="s">
        <v>33</v>
      </c>
      <c r="D2228" t="s">
        <v>19</v>
      </c>
      <c r="E2228" t="s">
        <v>41</v>
      </c>
      <c r="F2228" t="s">
        <v>21</v>
      </c>
      <c r="G2228" s="23">
        <v>0.27</v>
      </c>
      <c r="H2228" t="s">
        <v>53</v>
      </c>
      <c r="I2228" t="s">
        <v>37</v>
      </c>
      <c r="J2228" t="s">
        <v>54</v>
      </c>
      <c r="K2228" t="s">
        <v>50</v>
      </c>
      <c r="L2228" t="s">
        <v>121</v>
      </c>
      <c r="M2228" t="s">
        <v>125</v>
      </c>
      <c r="N2228" t="s">
        <v>51</v>
      </c>
      <c r="O2228">
        <v>7</v>
      </c>
      <c r="P2228">
        <v>64281</v>
      </c>
      <c r="Q2228">
        <f t="shared" si="38"/>
        <v>6.4281000000000005E-2</v>
      </c>
      <c r="R2228">
        <v>43252</v>
      </c>
      <c r="S2228" t="s">
        <v>122</v>
      </c>
    </row>
    <row r="2229" spans="1:19">
      <c r="A2229">
        <v>60000326</v>
      </c>
      <c r="B2229">
        <v>62</v>
      </c>
      <c r="C2229" t="s">
        <v>33</v>
      </c>
      <c r="D2229" t="s">
        <v>19</v>
      </c>
      <c r="E2229" t="s">
        <v>41</v>
      </c>
      <c r="F2229" t="s">
        <v>21</v>
      </c>
      <c r="G2229" s="23">
        <v>0.12</v>
      </c>
      <c r="H2229" t="s">
        <v>22</v>
      </c>
      <c r="I2229" t="s">
        <v>86</v>
      </c>
      <c r="J2229" t="s">
        <v>46</v>
      </c>
      <c r="K2229" t="s">
        <v>43</v>
      </c>
      <c r="L2229" t="s">
        <v>26</v>
      </c>
      <c r="M2229" t="s">
        <v>125</v>
      </c>
      <c r="N2229" t="s">
        <v>51</v>
      </c>
      <c r="O2229">
        <v>2</v>
      </c>
      <c r="P2229">
        <v>71618</v>
      </c>
      <c r="Q2229">
        <f t="shared" si="38"/>
        <v>7.1618000000000001E-2</v>
      </c>
      <c r="R2229">
        <v>43252</v>
      </c>
      <c r="S2229" t="s">
        <v>122</v>
      </c>
    </row>
    <row r="2230" spans="1:19">
      <c r="A2230">
        <v>60000327</v>
      </c>
      <c r="B2230">
        <v>27</v>
      </c>
      <c r="C2230" t="s">
        <v>33</v>
      </c>
      <c r="D2230" t="s">
        <v>19</v>
      </c>
      <c r="E2230" t="s">
        <v>64</v>
      </c>
      <c r="F2230" t="s">
        <v>21</v>
      </c>
      <c r="G2230" s="23">
        <v>0.15</v>
      </c>
      <c r="H2230" t="s">
        <v>22</v>
      </c>
      <c r="I2230" t="s">
        <v>60</v>
      </c>
      <c r="J2230" t="s">
        <v>58</v>
      </c>
      <c r="K2230" t="s">
        <v>118</v>
      </c>
      <c r="L2230" t="s">
        <v>121</v>
      </c>
      <c r="M2230" t="s">
        <v>125</v>
      </c>
      <c r="N2230" t="s">
        <v>28</v>
      </c>
      <c r="O2230">
        <v>0</v>
      </c>
      <c r="P2230">
        <v>26318</v>
      </c>
      <c r="Q2230">
        <f t="shared" si="38"/>
        <v>2.6318000000000001E-2</v>
      </c>
      <c r="R2230">
        <v>43252</v>
      </c>
      <c r="S2230" t="s">
        <v>122</v>
      </c>
    </row>
    <row r="2231" spans="1:19">
      <c r="A2231">
        <v>60000328</v>
      </c>
      <c r="B2231">
        <v>59</v>
      </c>
      <c r="C2231" t="s">
        <v>18</v>
      </c>
      <c r="D2231" t="s">
        <v>40</v>
      </c>
      <c r="E2231" t="s">
        <v>41</v>
      </c>
      <c r="F2231" t="s">
        <v>21</v>
      </c>
      <c r="G2231" s="23">
        <v>0.1</v>
      </c>
      <c r="H2231" t="s">
        <v>36</v>
      </c>
      <c r="I2231" t="s">
        <v>23</v>
      </c>
      <c r="J2231" t="s">
        <v>58</v>
      </c>
      <c r="K2231" t="s">
        <v>111</v>
      </c>
      <c r="L2231" t="s">
        <v>26</v>
      </c>
      <c r="M2231" t="s">
        <v>125</v>
      </c>
      <c r="N2231" t="s">
        <v>51</v>
      </c>
      <c r="O2231">
        <v>4</v>
      </c>
      <c r="P2231">
        <v>46356</v>
      </c>
      <c r="Q2231">
        <f t="shared" si="38"/>
        <v>4.6356000000000001E-2</v>
      </c>
      <c r="R2231">
        <v>43252</v>
      </c>
      <c r="S2231" t="s">
        <v>122</v>
      </c>
    </row>
    <row r="2232" spans="1:19">
      <c r="A2232">
        <v>60000329</v>
      </c>
      <c r="B2232">
        <v>29</v>
      </c>
      <c r="C2232" t="s">
        <v>33</v>
      </c>
      <c r="D2232" t="s">
        <v>40</v>
      </c>
      <c r="E2232" t="s">
        <v>56</v>
      </c>
      <c r="F2232" t="s">
        <v>21</v>
      </c>
      <c r="G2232" s="23">
        <v>0.28000000000000003</v>
      </c>
      <c r="H2232" t="s">
        <v>53</v>
      </c>
      <c r="I2232" t="s">
        <v>65</v>
      </c>
      <c r="J2232" t="s">
        <v>54</v>
      </c>
      <c r="K2232" t="s">
        <v>111</v>
      </c>
      <c r="L2232" t="s">
        <v>26</v>
      </c>
      <c r="M2232" t="s">
        <v>125</v>
      </c>
      <c r="N2232" t="s">
        <v>28</v>
      </c>
      <c r="O2232">
        <v>0</v>
      </c>
      <c r="P2232">
        <v>81647</v>
      </c>
      <c r="Q2232">
        <f t="shared" si="38"/>
        <v>8.1646999999999997E-2</v>
      </c>
      <c r="R2232">
        <v>43252</v>
      </c>
      <c r="S2232" t="s">
        <v>122</v>
      </c>
    </row>
    <row r="2233" spans="1:19">
      <c r="A2233">
        <v>60000330</v>
      </c>
      <c r="B2233">
        <v>48</v>
      </c>
      <c r="C2233" t="s">
        <v>33</v>
      </c>
      <c r="D2233" t="s">
        <v>19</v>
      </c>
      <c r="E2233" t="s">
        <v>64</v>
      </c>
      <c r="F2233" t="s">
        <v>21</v>
      </c>
      <c r="G2233" s="23">
        <v>0.14000000000000001</v>
      </c>
      <c r="H2233" t="s">
        <v>22</v>
      </c>
      <c r="I2233" t="s">
        <v>86</v>
      </c>
      <c r="J2233" t="s">
        <v>88</v>
      </c>
      <c r="K2233" t="s">
        <v>98</v>
      </c>
      <c r="L2233" t="s">
        <v>119</v>
      </c>
      <c r="M2233" t="s">
        <v>125</v>
      </c>
      <c r="N2233" t="s">
        <v>51</v>
      </c>
      <c r="O2233">
        <v>3</v>
      </c>
      <c r="P2233">
        <v>54648</v>
      </c>
      <c r="Q2233">
        <f t="shared" si="38"/>
        <v>5.4648000000000002E-2</v>
      </c>
      <c r="R2233">
        <v>43252</v>
      </c>
      <c r="S2233" t="s">
        <v>122</v>
      </c>
    </row>
    <row r="2234" spans="1:19">
      <c r="A2234">
        <v>60000331</v>
      </c>
      <c r="B2234">
        <v>21</v>
      </c>
      <c r="C2234" t="s">
        <v>33</v>
      </c>
      <c r="D2234" t="s">
        <v>19</v>
      </c>
      <c r="E2234" t="s">
        <v>75</v>
      </c>
      <c r="F2234" t="s">
        <v>21</v>
      </c>
      <c r="G2234" s="23">
        <v>0.24</v>
      </c>
      <c r="H2234" t="s">
        <v>29</v>
      </c>
      <c r="I2234" t="s">
        <v>68</v>
      </c>
      <c r="J2234" t="s">
        <v>91</v>
      </c>
      <c r="K2234" t="s">
        <v>62</v>
      </c>
      <c r="L2234" t="s">
        <v>26</v>
      </c>
      <c r="M2234" t="s">
        <v>125</v>
      </c>
      <c r="N2234" t="s">
        <v>51</v>
      </c>
      <c r="O2234">
        <v>7</v>
      </c>
      <c r="P2234">
        <v>81653</v>
      </c>
      <c r="Q2234">
        <f t="shared" si="38"/>
        <v>8.1653000000000003E-2</v>
      </c>
      <c r="R2234">
        <v>43252</v>
      </c>
      <c r="S2234" t="s">
        <v>122</v>
      </c>
    </row>
    <row r="2235" spans="1:19">
      <c r="A2235">
        <v>60000332</v>
      </c>
      <c r="B2235">
        <v>36</v>
      </c>
      <c r="C2235" t="s">
        <v>33</v>
      </c>
      <c r="D2235" t="s">
        <v>19</v>
      </c>
      <c r="E2235" t="s">
        <v>72</v>
      </c>
      <c r="F2235" t="s">
        <v>21</v>
      </c>
      <c r="G2235" s="23">
        <v>0.38</v>
      </c>
      <c r="H2235" t="s">
        <v>42</v>
      </c>
      <c r="I2235" t="s">
        <v>62</v>
      </c>
      <c r="J2235" t="s">
        <v>58</v>
      </c>
      <c r="K2235" t="s">
        <v>93</v>
      </c>
      <c r="L2235" t="s">
        <v>119</v>
      </c>
      <c r="M2235" t="s">
        <v>125</v>
      </c>
      <c r="N2235" t="s">
        <v>51</v>
      </c>
      <c r="O2235">
        <v>7</v>
      </c>
      <c r="P2235">
        <v>77875</v>
      </c>
      <c r="Q2235">
        <f t="shared" si="38"/>
        <v>7.7875E-2</v>
      </c>
      <c r="R2235">
        <v>43252</v>
      </c>
      <c r="S2235" t="s">
        <v>122</v>
      </c>
    </row>
    <row r="2236" spans="1:19">
      <c r="A2236">
        <v>60000333</v>
      </c>
      <c r="B2236">
        <v>25</v>
      </c>
      <c r="C2236" t="s">
        <v>18</v>
      </c>
      <c r="D2236" t="s">
        <v>19</v>
      </c>
      <c r="E2236" t="s">
        <v>75</v>
      </c>
      <c r="F2236" t="s">
        <v>21</v>
      </c>
      <c r="G2236" s="23">
        <v>0.11</v>
      </c>
      <c r="H2236" t="s">
        <v>36</v>
      </c>
      <c r="I2236" t="s">
        <v>62</v>
      </c>
      <c r="J2236" t="s">
        <v>54</v>
      </c>
      <c r="K2236" t="s">
        <v>83</v>
      </c>
      <c r="L2236" t="s">
        <v>121</v>
      </c>
      <c r="M2236" t="s">
        <v>125</v>
      </c>
      <c r="N2236" t="s">
        <v>28</v>
      </c>
      <c r="O2236">
        <v>0</v>
      </c>
      <c r="P2236">
        <v>45273</v>
      </c>
      <c r="Q2236">
        <f t="shared" si="38"/>
        <v>4.5273000000000001E-2</v>
      </c>
      <c r="R2236">
        <v>43252</v>
      </c>
      <c r="S2236" t="s">
        <v>122</v>
      </c>
    </row>
    <row r="2237" spans="1:19">
      <c r="A2237">
        <v>60000334</v>
      </c>
      <c r="B2237">
        <v>21</v>
      </c>
      <c r="C2237" t="s">
        <v>18</v>
      </c>
      <c r="D2237" t="s">
        <v>40</v>
      </c>
      <c r="E2237" t="s">
        <v>52</v>
      </c>
      <c r="F2237" t="s">
        <v>21</v>
      </c>
      <c r="G2237" s="23">
        <v>0.25</v>
      </c>
      <c r="H2237" t="s">
        <v>53</v>
      </c>
      <c r="I2237" t="s">
        <v>60</v>
      </c>
      <c r="J2237" t="s">
        <v>78</v>
      </c>
      <c r="K2237" t="s">
        <v>60</v>
      </c>
      <c r="L2237" t="s">
        <v>119</v>
      </c>
      <c r="M2237" t="s">
        <v>125</v>
      </c>
      <c r="N2237" t="s">
        <v>51</v>
      </c>
      <c r="O2237">
        <v>3</v>
      </c>
      <c r="P2237">
        <v>61595</v>
      </c>
      <c r="Q2237">
        <f t="shared" si="38"/>
        <v>6.1594999999999997E-2</v>
      </c>
      <c r="R2237">
        <v>43252</v>
      </c>
      <c r="S2237" t="s">
        <v>122</v>
      </c>
    </row>
    <row r="2238" spans="1:19">
      <c r="A2238">
        <v>60000335</v>
      </c>
      <c r="B2238">
        <v>58</v>
      </c>
      <c r="C2238" t="s">
        <v>18</v>
      </c>
      <c r="D2238" t="s">
        <v>19</v>
      </c>
      <c r="E2238" t="s">
        <v>34</v>
      </c>
      <c r="F2238" t="s">
        <v>21</v>
      </c>
      <c r="G2238" s="23">
        <v>0.14000000000000001</v>
      </c>
      <c r="H2238" t="s">
        <v>22</v>
      </c>
      <c r="I2238" t="s">
        <v>70</v>
      </c>
      <c r="J2238" t="s">
        <v>38</v>
      </c>
      <c r="K2238" t="s">
        <v>113</v>
      </c>
      <c r="L2238" t="s">
        <v>119</v>
      </c>
      <c r="M2238" t="s">
        <v>125</v>
      </c>
      <c r="N2238" t="s">
        <v>28</v>
      </c>
      <c r="O2238">
        <v>0</v>
      </c>
      <c r="P2238">
        <v>63891</v>
      </c>
      <c r="Q2238">
        <f t="shared" si="38"/>
        <v>6.3891000000000003E-2</v>
      </c>
      <c r="R2238">
        <v>43252</v>
      </c>
      <c r="S2238" t="s">
        <v>122</v>
      </c>
    </row>
    <row r="2239" spans="1:19">
      <c r="A2239">
        <v>60000336</v>
      </c>
      <c r="B2239">
        <v>54</v>
      </c>
      <c r="C2239" t="s">
        <v>33</v>
      </c>
      <c r="D2239" t="s">
        <v>40</v>
      </c>
      <c r="E2239" t="s">
        <v>34</v>
      </c>
      <c r="F2239" t="s">
        <v>21</v>
      </c>
      <c r="G2239" s="23">
        <v>0.35</v>
      </c>
      <c r="H2239" t="s">
        <v>42</v>
      </c>
      <c r="I2239" t="s">
        <v>65</v>
      </c>
      <c r="J2239" t="s">
        <v>61</v>
      </c>
      <c r="K2239" t="s">
        <v>114</v>
      </c>
      <c r="L2239" t="s">
        <v>121</v>
      </c>
      <c r="M2239" t="s">
        <v>125</v>
      </c>
      <c r="N2239" t="s">
        <v>51</v>
      </c>
      <c r="O2239">
        <v>3</v>
      </c>
      <c r="P2239">
        <v>82738</v>
      </c>
      <c r="Q2239">
        <f t="shared" si="38"/>
        <v>8.2738000000000006E-2</v>
      </c>
      <c r="R2239">
        <v>43252</v>
      </c>
      <c r="S2239" t="s">
        <v>122</v>
      </c>
    </row>
    <row r="2240" spans="1:19">
      <c r="A2240">
        <v>60000337</v>
      </c>
      <c r="B2240">
        <v>22</v>
      </c>
      <c r="C2240" t="s">
        <v>18</v>
      </c>
      <c r="D2240" t="s">
        <v>40</v>
      </c>
      <c r="E2240" t="s">
        <v>64</v>
      </c>
      <c r="F2240" t="s">
        <v>21</v>
      </c>
      <c r="G2240" s="23">
        <v>0.2</v>
      </c>
      <c r="H2240" t="s">
        <v>29</v>
      </c>
      <c r="I2240" t="s">
        <v>37</v>
      </c>
      <c r="J2240" t="s">
        <v>31</v>
      </c>
      <c r="K2240" t="s">
        <v>101</v>
      </c>
      <c r="L2240" t="s">
        <v>121</v>
      </c>
      <c r="M2240" t="s">
        <v>125</v>
      </c>
      <c r="N2240" t="s">
        <v>51</v>
      </c>
      <c r="O2240">
        <v>0</v>
      </c>
      <c r="P2240">
        <v>70406</v>
      </c>
      <c r="Q2240">
        <f t="shared" si="38"/>
        <v>7.0405999999999996E-2</v>
      </c>
      <c r="R2240">
        <v>43252</v>
      </c>
      <c r="S2240" t="s">
        <v>122</v>
      </c>
    </row>
    <row r="2241" spans="1:19">
      <c r="A2241">
        <v>60000338</v>
      </c>
      <c r="B2241">
        <v>43</v>
      </c>
      <c r="C2241" t="s">
        <v>33</v>
      </c>
      <c r="D2241" t="s">
        <v>40</v>
      </c>
      <c r="E2241" t="s">
        <v>52</v>
      </c>
      <c r="F2241" t="s">
        <v>21</v>
      </c>
      <c r="G2241" s="23">
        <v>0.24</v>
      </c>
      <c r="H2241" t="s">
        <v>29</v>
      </c>
      <c r="I2241" t="s">
        <v>73</v>
      </c>
      <c r="J2241" t="s">
        <v>78</v>
      </c>
      <c r="K2241" t="s">
        <v>63</v>
      </c>
      <c r="L2241" t="s">
        <v>26</v>
      </c>
      <c r="M2241" t="s">
        <v>125</v>
      </c>
      <c r="N2241" t="s">
        <v>28</v>
      </c>
      <c r="O2241">
        <v>0</v>
      </c>
      <c r="P2241">
        <v>32704</v>
      </c>
      <c r="Q2241">
        <f t="shared" si="38"/>
        <v>3.2703999999999997E-2</v>
      </c>
      <c r="R2241">
        <v>43252</v>
      </c>
      <c r="S2241" t="s">
        <v>122</v>
      </c>
    </row>
    <row r="2242" spans="1:19">
      <c r="A2242">
        <v>60000339</v>
      </c>
      <c r="B2242">
        <v>41</v>
      </c>
      <c r="C2242" t="s">
        <v>18</v>
      </c>
      <c r="D2242" t="s">
        <v>19</v>
      </c>
      <c r="E2242" t="s">
        <v>67</v>
      </c>
      <c r="F2242" t="s">
        <v>21</v>
      </c>
      <c r="G2242" s="23">
        <v>0.18</v>
      </c>
      <c r="H2242" t="s">
        <v>22</v>
      </c>
      <c r="I2242" t="s">
        <v>76</v>
      </c>
      <c r="J2242" t="s">
        <v>38</v>
      </c>
      <c r="K2242" t="s">
        <v>90</v>
      </c>
      <c r="L2242" t="s">
        <v>121</v>
      </c>
      <c r="M2242" t="s">
        <v>125</v>
      </c>
      <c r="N2242" t="s">
        <v>51</v>
      </c>
      <c r="O2242">
        <v>5</v>
      </c>
      <c r="P2242">
        <v>55853</v>
      </c>
      <c r="Q2242">
        <f t="shared" si="38"/>
        <v>5.5853E-2</v>
      </c>
      <c r="R2242">
        <v>43252</v>
      </c>
      <c r="S2242" t="s">
        <v>122</v>
      </c>
    </row>
    <row r="2243" spans="1:19">
      <c r="A2243">
        <v>60000340</v>
      </c>
      <c r="B2243">
        <v>30</v>
      </c>
      <c r="C2243" t="s">
        <v>33</v>
      </c>
      <c r="D2243" t="s">
        <v>19</v>
      </c>
      <c r="E2243" t="s">
        <v>44</v>
      </c>
      <c r="F2243" t="s">
        <v>21</v>
      </c>
      <c r="G2243" s="23">
        <v>0.21</v>
      </c>
      <c r="H2243" t="s">
        <v>29</v>
      </c>
      <c r="I2243" t="s">
        <v>23</v>
      </c>
      <c r="J2243" t="s">
        <v>61</v>
      </c>
      <c r="K2243" t="s">
        <v>114</v>
      </c>
      <c r="L2243" t="s">
        <v>121</v>
      </c>
      <c r="M2243" t="s">
        <v>125</v>
      </c>
      <c r="N2243" t="s">
        <v>51</v>
      </c>
      <c r="O2243">
        <v>1</v>
      </c>
      <c r="P2243">
        <v>68248</v>
      </c>
      <c r="Q2243">
        <f t="shared" si="38"/>
        <v>6.8248000000000003E-2</v>
      </c>
      <c r="R2243">
        <v>43252</v>
      </c>
      <c r="S2243" t="s">
        <v>122</v>
      </c>
    </row>
    <row r="2244" spans="1:19">
      <c r="A2244">
        <v>60000341</v>
      </c>
      <c r="B2244">
        <v>20</v>
      </c>
      <c r="C2244" t="s">
        <v>18</v>
      </c>
      <c r="D2244" t="s">
        <v>40</v>
      </c>
      <c r="E2244" t="s">
        <v>72</v>
      </c>
      <c r="F2244" t="s">
        <v>21</v>
      </c>
      <c r="G2244" s="23">
        <v>0.21</v>
      </c>
      <c r="H2244" t="s">
        <v>29</v>
      </c>
      <c r="I2244" t="s">
        <v>70</v>
      </c>
      <c r="J2244" t="s">
        <v>66</v>
      </c>
      <c r="K2244" t="s">
        <v>83</v>
      </c>
      <c r="L2244" t="s">
        <v>121</v>
      </c>
      <c r="M2244" t="s">
        <v>125</v>
      </c>
      <c r="N2244" t="s">
        <v>51</v>
      </c>
      <c r="O2244">
        <v>7</v>
      </c>
      <c r="P2244">
        <v>66416</v>
      </c>
      <c r="Q2244">
        <f t="shared" si="38"/>
        <v>6.6416000000000003E-2</v>
      </c>
      <c r="R2244">
        <v>43252</v>
      </c>
      <c r="S2244" t="s">
        <v>122</v>
      </c>
    </row>
    <row r="2245" spans="1:19">
      <c r="A2245">
        <v>60000342</v>
      </c>
      <c r="B2245">
        <v>35</v>
      </c>
      <c r="C2245" t="s">
        <v>18</v>
      </c>
      <c r="D2245" t="s">
        <v>19</v>
      </c>
      <c r="E2245" t="s">
        <v>56</v>
      </c>
      <c r="F2245" t="s">
        <v>21</v>
      </c>
      <c r="G2245" s="23">
        <v>0.31</v>
      </c>
      <c r="H2245" t="s">
        <v>53</v>
      </c>
      <c r="I2245" t="s">
        <v>73</v>
      </c>
      <c r="J2245" t="s">
        <v>24</v>
      </c>
      <c r="K2245" t="s">
        <v>84</v>
      </c>
      <c r="L2245" t="s">
        <v>119</v>
      </c>
      <c r="M2245" t="s">
        <v>125</v>
      </c>
      <c r="N2245" t="s">
        <v>28</v>
      </c>
      <c r="O2245">
        <v>0</v>
      </c>
      <c r="P2245">
        <v>30843</v>
      </c>
      <c r="Q2245">
        <f t="shared" si="38"/>
        <v>3.0842999999999999E-2</v>
      </c>
      <c r="R2245">
        <v>43252</v>
      </c>
      <c r="S2245" t="s">
        <v>122</v>
      </c>
    </row>
    <row r="2246" spans="1:19">
      <c r="A2246">
        <v>60000343</v>
      </c>
      <c r="B2246">
        <v>47</v>
      </c>
      <c r="C2246" t="s">
        <v>18</v>
      </c>
      <c r="D2246" t="s">
        <v>19</v>
      </c>
      <c r="E2246" t="s">
        <v>34</v>
      </c>
      <c r="F2246" t="s">
        <v>21</v>
      </c>
      <c r="G2246" s="23">
        <v>0.33</v>
      </c>
      <c r="H2246" t="s">
        <v>42</v>
      </c>
      <c r="I2246" t="s">
        <v>23</v>
      </c>
      <c r="J2246" t="s">
        <v>58</v>
      </c>
      <c r="K2246" t="s">
        <v>105</v>
      </c>
      <c r="L2246" t="s">
        <v>119</v>
      </c>
      <c r="M2246" t="s">
        <v>125</v>
      </c>
      <c r="N2246" t="s">
        <v>51</v>
      </c>
      <c r="O2246">
        <v>1</v>
      </c>
      <c r="P2246">
        <v>75103</v>
      </c>
      <c r="Q2246">
        <f t="shared" si="38"/>
        <v>7.5103000000000003E-2</v>
      </c>
      <c r="R2246">
        <v>43252</v>
      </c>
      <c r="S2246" t="s">
        <v>122</v>
      </c>
    </row>
    <row r="2247" spans="1:19">
      <c r="A2247">
        <v>60000344</v>
      </c>
      <c r="B2247">
        <v>56</v>
      </c>
      <c r="C2247" t="s">
        <v>18</v>
      </c>
      <c r="D2247" t="s">
        <v>40</v>
      </c>
      <c r="E2247" t="s">
        <v>56</v>
      </c>
      <c r="F2247" t="s">
        <v>21</v>
      </c>
      <c r="G2247" s="23">
        <v>0.3</v>
      </c>
      <c r="H2247" t="s">
        <v>53</v>
      </c>
      <c r="I2247" t="s">
        <v>60</v>
      </c>
      <c r="J2247" t="s">
        <v>24</v>
      </c>
      <c r="K2247" t="s">
        <v>90</v>
      </c>
      <c r="L2247" t="s">
        <v>119</v>
      </c>
      <c r="M2247" t="s">
        <v>125</v>
      </c>
      <c r="N2247" t="s">
        <v>28</v>
      </c>
      <c r="O2247">
        <v>0</v>
      </c>
      <c r="P2247">
        <v>25142</v>
      </c>
      <c r="Q2247">
        <f t="shared" si="38"/>
        <v>2.5142000000000001E-2</v>
      </c>
      <c r="R2247">
        <v>43252</v>
      </c>
      <c r="S2247" t="s">
        <v>122</v>
      </c>
    </row>
    <row r="2248" spans="1:19">
      <c r="A2248">
        <v>60000345</v>
      </c>
      <c r="B2248">
        <v>45</v>
      </c>
      <c r="C2248" t="s">
        <v>33</v>
      </c>
      <c r="D2248" t="s">
        <v>19</v>
      </c>
      <c r="E2248" t="s">
        <v>64</v>
      </c>
      <c r="F2248" t="s">
        <v>21</v>
      </c>
      <c r="G2248" s="23">
        <v>0.25</v>
      </c>
      <c r="H2248" t="s">
        <v>53</v>
      </c>
      <c r="I2248" t="s">
        <v>83</v>
      </c>
      <c r="J2248" t="s">
        <v>66</v>
      </c>
      <c r="K2248" t="s">
        <v>60</v>
      </c>
      <c r="L2248" t="s">
        <v>121</v>
      </c>
      <c r="M2248" t="s">
        <v>125</v>
      </c>
      <c r="N2248" t="s">
        <v>28</v>
      </c>
      <c r="O2248">
        <v>0</v>
      </c>
      <c r="P2248">
        <v>66513</v>
      </c>
      <c r="Q2248">
        <f t="shared" si="38"/>
        <v>6.6513000000000003E-2</v>
      </c>
      <c r="R2248">
        <v>43252</v>
      </c>
      <c r="S2248" t="s">
        <v>122</v>
      </c>
    </row>
    <row r="2249" spans="1:19">
      <c r="A2249">
        <v>60000346</v>
      </c>
      <c r="B2249">
        <v>61</v>
      </c>
      <c r="C2249" t="s">
        <v>18</v>
      </c>
      <c r="D2249" t="s">
        <v>40</v>
      </c>
      <c r="E2249" t="s">
        <v>52</v>
      </c>
      <c r="F2249" t="s">
        <v>21</v>
      </c>
      <c r="G2249" s="23">
        <v>0.24</v>
      </c>
      <c r="H2249" t="s">
        <v>29</v>
      </c>
      <c r="I2249" t="s">
        <v>86</v>
      </c>
      <c r="J2249" t="s">
        <v>58</v>
      </c>
      <c r="K2249" t="s">
        <v>89</v>
      </c>
      <c r="L2249" t="s">
        <v>119</v>
      </c>
      <c r="M2249" t="s">
        <v>125</v>
      </c>
      <c r="N2249" t="s">
        <v>28</v>
      </c>
      <c r="O2249">
        <v>0</v>
      </c>
      <c r="P2249">
        <v>27384</v>
      </c>
      <c r="Q2249">
        <f t="shared" si="38"/>
        <v>2.7383999999999999E-2</v>
      </c>
      <c r="R2249">
        <v>43252</v>
      </c>
      <c r="S2249" t="s">
        <v>122</v>
      </c>
    </row>
    <row r="2250" spans="1:19">
      <c r="A2250">
        <v>60000347</v>
      </c>
      <c r="B2250">
        <v>39</v>
      </c>
      <c r="C2250" t="s">
        <v>18</v>
      </c>
      <c r="D2250" t="s">
        <v>19</v>
      </c>
      <c r="E2250" t="s">
        <v>72</v>
      </c>
      <c r="F2250" t="s">
        <v>21</v>
      </c>
      <c r="G2250" s="23">
        <v>0.23</v>
      </c>
      <c r="H2250" t="s">
        <v>29</v>
      </c>
      <c r="I2250" t="s">
        <v>68</v>
      </c>
      <c r="J2250" t="s">
        <v>91</v>
      </c>
      <c r="K2250" t="s">
        <v>93</v>
      </c>
      <c r="L2250" t="s">
        <v>119</v>
      </c>
      <c r="M2250" t="s">
        <v>125</v>
      </c>
      <c r="N2250" t="s">
        <v>51</v>
      </c>
      <c r="O2250">
        <v>6</v>
      </c>
      <c r="P2250">
        <v>38490</v>
      </c>
      <c r="Q2250">
        <f t="shared" si="38"/>
        <v>3.8490000000000003E-2</v>
      </c>
      <c r="R2250">
        <v>43252</v>
      </c>
      <c r="S2250" t="s">
        <v>122</v>
      </c>
    </row>
    <row r="2251" spans="1:19">
      <c r="A2251">
        <v>60000348</v>
      </c>
      <c r="B2251">
        <v>35</v>
      </c>
      <c r="C2251" t="s">
        <v>18</v>
      </c>
      <c r="D2251" t="s">
        <v>19</v>
      </c>
      <c r="E2251" t="s">
        <v>20</v>
      </c>
      <c r="F2251" t="s">
        <v>21</v>
      </c>
      <c r="G2251" s="23">
        <v>0.11</v>
      </c>
      <c r="H2251" t="s">
        <v>36</v>
      </c>
      <c r="I2251" t="s">
        <v>80</v>
      </c>
      <c r="J2251" t="s">
        <v>78</v>
      </c>
      <c r="K2251" t="s">
        <v>118</v>
      </c>
      <c r="L2251" t="s">
        <v>121</v>
      </c>
      <c r="M2251" t="s">
        <v>125</v>
      </c>
      <c r="N2251" t="s">
        <v>51</v>
      </c>
      <c r="O2251">
        <v>7</v>
      </c>
      <c r="P2251">
        <v>82763</v>
      </c>
      <c r="Q2251">
        <f t="shared" si="38"/>
        <v>8.2763000000000003E-2</v>
      </c>
      <c r="R2251">
        <v>43252</v>
      </c>
      <c r="S2251" t="s">
        <v>122</v>
      </c>
    </row>
    <row r="2252" spans="1:19">
      <c r="A2252">
        <v>60000349</v>
      </c>
      <c r="B2252">
        <v>61</v>
      </c>
      <c r="C2252" t="s">
        <v>18</v>
      </c>
      <c r="D2252" t="s">
        <v>19</v>
      </c>
      <c r="E2252" t="s">
        <v>52</v>
      </c>
      <c r="F2252" t="s">
        <v>21</v>
      </c>
      <c r="G2252" s="23">
        <v>0.36</v>
      </c>
      <c r="H2252" t="s">
        <v>42</v>
      </c>
      <c r="I2252" t="s">
        <v>45</v>
      </c>
      <c r="J2252" t="s">
        <v>58</v>
      </c>
      <c r="K2252" t="s">
        <v>106</v>
      </c>
      <c r="L2252" t="s">
        <v>26</v>
      </c>
      <c r="M2252" t="s">
        <v>125</v>
      </c>
      <c r="N2252" t="s">
        <v>51</v>
      </c>
      <c r="O2252">
        <v>3</v>
      </c>
      <c r="P2252">
        <v>43345</v>
      </c>
      <c r="Q2252">
        <f t="shared" si="38"/>
        <v>4.3345000000000002E-2</v>
      </c>
      <c r="R2252">
        <v>43252</v>
      </c>
      <c r="S2252" t="s">
        <v>122</v>
      </c>
    </row>
    <row r="2253" spans="1:19">
      <c r="A2253">
        <v>60000350</v>
      </c>
      <c r="B2253">
        <v>42</v>
      </c>
      <c r="C2253" t="s">
        <v>33</v>
      </c>
      <c r="D2253" t="s">
        <v>19</v>
      </c>
      <c r="E2253" t="s">
        <v>20</v>
      </c>
      <c r="F2253" t="s">
        <v>21</v>
      </c>
      <c r="G2253" s="23">
        <v>0.32</v>
      </c>
      <c r="H2253" t="s">
        <v>42</v>
      </c>
      <c r="I2253" t="s">
        <v>37</v>
      </c>
      <c r="J2253" t="s">
        <v>66</v>
      </c>
      <c r="K2253" t="s">
        <v>87</v>
      </c>
      <c r="L2253" t="s">
        <v>121</v>
      </c>
      <c r="M2253" t="s">
        <v>125</v>
      </c>
      <c r="N2253" t="s">
        <v>28</v>
      </c>
      <c r="O2253">
        <v>0</v>
      </c>
      <c r="P2253">
        <v>24990</v>
      </c>
      <c r="Q2253">
        <f t="shared" si="38"/>
        <v>2.4989999999999998E-2</v>
      </c>
      <c r="R2253">
        <v>43252</v>
      </c>
      <c r="S2253" t="s">
        <v>122</v>
      </c>
    </row>
    <row r="2254" spans="1:19">
      <c r="A2254">
        <v>60000351</v>
      </c>
      <c r="B2254">
        <v>63</v>
      </c>
      <c r="C2254" t="s">
        <v>18</v>
      </c>
      <c r="D2254" t="s">
        <v>19</v>
      </c>
      <c r="E2254" t="s">
        <v>41</v>
      </c>
      <c r="F2254" t="s">
        <v>21</v>
      </c>
      <c r="G2254" s="23">
        <v>0.18</v>
      </c>
      <c r="H2254" t="s">
        <v>22</v>
      </c>
      <c r="I2254" t="s">
        <v>62</v>
      </c>
      <c r="J2254" t="s">
        <v>58</v>
      </c>
      <c r="K2254" t="s">
        <v>107</v>
      </c>
      <c r="L2254" t="s">
        <v>121</v>
      </c>
      <c r="M2254" t="s">
        <v>125</v>
      </c>
      <c r="N2254" t="s">
        <v>28</v>
      </c>
      <c r="O2254">
        <v>0</v>
      </c>
      <c r="P2254">
        <v>25961</v>
      </c>
      <c r="Q2254">
        <f t="shared" si="38"/>
        <v>2.5961000000000001E-2</v>
      </c>
      <c r="R2254">
        <v>43252</v>
      </c>
      <c r="S2254" t="s">
        <v>122</v>
      </c>
    </row>
    <row r="2255" spans="1:19">
      <c r="A2255">
        <v>60000352</v>
      </c>
      <c r="B2255">
        <v>34</v>
      </c>
      <c r="C2255" t="s">
        <v>18</v>
      </c>
      <c r="D2255" t="s">
        <v>19</v>
      </c>
      <c r="E2255" t="s">
        <v>85</v>
      </c>
      <c r="F2255" t="s">
        <v>21</v>
      </c>
      <c r="G2255" s="23">
        <v>0.38</v>
      </c>
      <c r="H2255" t="s">
        <v>42</v>
      </c>
      <c r="I2255" t="s">
        <v>83</v>
      </c>
      <c r="J2255" t="s">
        <v>74</v>
      </c>
      <c r="K2255" t="s">
        <v>39</v>
      </c>
      <c r="L2255" t="s">
        <v>26</v>
      </c>
      <c r="M2255" t="s">
        <v>125</v>
      </c>
      <c r="N2255" t="s">
        <v>51</v>
      </c>
      <c r="O2255">
        <v>4</v>
      </c>
      <c r="P2255">
        <v>37228</v>
      </c>
      <c r="Q2255">
        <f t="shared" si="38"/>
        <v>3.7227999999999997E-2</v>
      </c>
      <c r="R2255">
        <v>43252</v>
      </c>
      <c r="S2255" t="s">
        <v>122</v>
      </c>
    </row>
    <row r="2256" spans="1:19">
      <c r="A2256">
        <v>60000353</v>
      </c>
      <c r="B2256">
        <v>48</v>
      </c>
      <c r="C2256" t="s">
        <v>33</v>
      </c>
      <c r="D2256" t="s">
        <v>19</v>
      </c>
      <c r="E2256" t="s">
        <v>64</v>
      </c>
      <c r="F2256" t="s">
        <v>21</v>
      </c>
      <c r="G2256" s="23">
        <v>0.28999999999999998</v>
      </c>
      <c r="H2256" t="s">
        <v>53</v>
      </c>
      <c r="I2256" t="s">
        <v>37</v>
      </c>
      <c r="J2256" t="s">
        <v>31</v>
      </c>
      <c r="K2256" t="s">
        <v>32</v>
      </c>
      <c r="L2256" t="s">
        <v>119</v>
      </c>
      <c r="M2256" t="s">
        <v>125</v>
      </c>
      <c r="N2256" t="s">
        <v>28</v>
      </c>
      <c r="O2256">
        <v>0</v>
      </c>
      <c r="P2256">
        <v>26244</v>
      </c>
      <c r="Q2256">
        <f t="shared" si="38"/>
        <v>2.6244E-2</v>
      </c>
      <c r="R2256">
        <v>43252</v>
      </c>
      <c r="S2256" t="s">
        <v>122</v>
      </c>
    </row>
    <row r="2257" spans="1:19">
      <c r="A2257">
        <v>60000354</v>
      </c>
      <c r="B2257">
        <v>53</v>
      </c>
      <c r="C2257" t="s">
        <v>18</v>
      </c>
      <c r="D2257" t="s">
        <v>19</v>
      </c>
      <c r="E2257" t="s">
        <v>52</v>
      </c>
      <c r="F2257" t="s">
        <v>21</v>
      </c>
      <c r="G2257" s="23">
        <v>0.35</v>
      </c>
      <c r="H2257" t="s">
        <v>42</v>
      </c>
      <c r="I2257" t="s">
        <v>49</v>
      </c>
      <c r="J2257" t="s">
        <v>61</v>
      </c>
      <c r="K2257" t="s">
        <v>90</v>
      </c>
      <c r="L2257" t="s">
        <v>121</v>
      </c>
      <c r="M2257" t="s">
        <v>125</v>
      </c>
      <c r="N2257" t="s">
        <v>51</v>
      </c>
      <c r="O2257">
        <v>6</v>
      </c>
      <c r="P2257">
        <v>69760</v>
      </c>
      <c r="Q2257">
        <f t="shared" si="38"/>
        <v>6.9760000000000003E-2</v>
      </c>
      <c r="R2257">
        <v>43252</v>
      </c>
      <c r="S2257" t="s">
        <v>122</v>
      </c>
    </row>
    <row r="2258" spans="1:19">
      <c r="A2258">
        <v>60000355</v>
      </c>
      <c r="B2258">
        <v>52</v>
      </c>
      <c r="C2258" t="s">
        <v>18</v>
      </c>
      <c r="D2258" t="s">
        <v>40</v>
      </c>
      <c r="E2258" t="s">
        <v>64</v>
      </c>
      <c r="F2258" t="s">
        <v>21</v>
      </c>
      <c r="G2258" s="23">
        <v>0.36</v>
      </c>
      <c r="H2258" t="s">
        <v>42</v>
      </c>
      <c r="I2258" t="s">
        <v>60</v>
      </c>
      <c r="J2258" t="s">
        <v>61</v>
      </c>
      <c r="K2258" t="s">
        <v>82</v>
      </c>
      <c r="L2258" t="s">
        <v>26</v>
      </c>
      <c r="M2258" t="s">
        <v>125</v>
      </c>
      <c r="N2258" t="s">
        <v>51</v>
      </c>
      <c r="O2258">
        <v>2</v>
      </c>
      <c r="P2258">
        <v>49433</v>
      </c>
      <c r="Q2258">
        <f t="shared" si="38"/>
        <v>4.9432999999999998E-2</v>
      </c>
      <c r="R2258">
        <v>43252</v>
      </c>
      <c r="S2258" t="s">
        <v>122</v>
      </c>
    </row>
    <row r="2259" spans="1:19">
      <c r="A2259">
        <v>60000356</v>
      </c>
      <c r="B2259">
        <v>30</v>
      </c>
      <c r="C2259" t="s">
        <v>33</v>
      </c>
      <c r="D2259" t="s">
        <v>19</v>
      </c>
      <c r="E2259" t="s">
        <v>41</v>
      </c>
      <c r="F2259" t="s">
        <v>21</v>
      </c>
      <c r="G2259" s="23">
        <v>0.37</v>
      </c>
      <c r="H2259" t="s">
        <v>42</v>
      </c>
      <c r="I2259" t="s">
        <v>65</v>
      </c>
      <c r="J2259" t="s">
        <v>88</v>
      </c>
      <c r="K2259" t="s">
        <v>114</v>
      </c>
      <c r="L2259" t="s">
        <v>26</v>
      </c>
      <c r="M2259" t="s">
        <v>125</v>
      </c>
      <c r="N2259" t="s">
        <v>28</v>
      </c>
      <c r="O2259">
        <v>0</v>
      </c>
      <c r="P2259">
        <v>32841</v>
      </c>
      <c r="Q2259">
        <f t="shared" si="38"/>
        <v>3.2841000000000002E-2</v>
      </c>
      <c r="R2259">
        <v>43252</v>
      </c>
      <c r="S2259" t="s">
        <v>122</v>
      </c>
    </row>
    <row r="2260" spans="1:19">
      <c r="A2260">
        <v>60000357</v>
      </c>
      <c r="B2260">
        <v>55</v>
      </c>
      <c r="C2260" t="s">
        <v>18</v>
      </c>
      <c r="D2260" t="s">
        <v>40</v>
      </c>
      <c r="E2260" t="s">
        <v>34</v>
      </c>
      <c r="F2260" t="s">
        <v>21</v>
      </c>
      <c r="G2260" s="23">
        <v>0.35</v>
      </c>
      <c r="H2260" t="s">
        <v>42</v>
      </c>
      <c r="I2260" t="s">
        <v>68</v>
      </c>
      <c r="J2260" t="s">
        <v>69</v>
      </c>
      <c r="K2260" t="s">
        <v>93</v>
      </c>
      <c r="L2260" t="s">
        <v>26</v>
      </c>
      <c r="M2260" t="s">
        <v>125</v>
      </c>
      <c r="N2260" t="s">
        <v>28</v>
      </c>
      <c r="O2260">
        <v>0</v>
      </c>
      <c r="P2260">
        <v>26497</v>
      </c>
      <c r="Q2260">
        <f t="shared" si="38"/>
        <v>2.6497E-2</v>
      </c>
      <c r="R2260">
        <v>43252</v>
      </c>
      <c r="S2260" t="s">
        <v>122</v>
      </c>
    </row>
    <row r="2261" spans="1:19">
      <c r="A2261">
        <v>60000358</v>
      </c>
      <c r="B2261">
        <v>42</v>
      </c>
      <c r="C2261" t="s">
        <v>18</v>
      </c>
      <c r="D2261" t="s">
        <v>19</v>
      </c>
      <c r="E2261" t="s">
        <v>85</v>
      </c>
      <c r="F2261" t="s">
        <v>21</v>
      </c>
      <c r="G2261" s="23">
        <v>0.37</v>
      </c>
      <c r="H2261" t="s">
        <v>42</v>
      </c>
      <c r="I2261" t="s">
        <v>83</v>
      </c>
      <c r="J2261" t="s">
        <v>31</v>
      </c>
      <c r="K2261" t="s">
        <v>55</v>
      </c>
      <c r="L2261" t="s">
        <v>26</v>
      </c>
      <c r="M2261" t="s">
        <v>125</v>
      </c>
      <c r="N2261" t="s">
        <v>51</v>
      </c>
      <c r="O2261">
        <v>3</v>
      </c>
      <c r="P2261">
        <v>24475</v>
      </c>
      <c r="Q2261">
        <f t="shared" si="38"/>
        <v>2.4475E-2</v>
      </c>
      <c r="R2261">
        <v>43252</v>
      </c>
      <c r="S2261" t="s">
        <v>122</v>
      </c>
    </row>
    <row r="2262" spans="1:19">
      <c r="A2262">
        <v>60000359</v>
      </c>
      <c r="B2262">
        <v>60</v>
      </c>
      <c r="C2262" t="s">
        <v>18</v>
      </c>
      <c r="D2262" t="s">
        <v>19</v>
      </c>
      <c r="E2262" t="s">
        <v>85</v>
      </c>
      <c r="F2262" t="s">
        <v>21</v>
      </c>
      <c r="G2262" s="23">
        <v>0.35</v>
      </c>
      <c r="H2262" t="s">
        <v>42</v>
      </c>
      <c r="I2262" t="s">
        <v>86</v>
      </c>
      <c r="J2262" t="s">
        <v>24</v>
      </c>
      <c r="K2262" t="s">
        <v>60</v>
      </c>
      <c r="L2262" t="s">
        <v>121</v>
      </c>
      <c r="M2262" t="s">
        <v>125</v>
      </c>
      <c r="N2262" t="s">
        <v>28</v>
      </c>
      <c r="O2262">
        <v>0</v>
      </c>
      <c r="P2262">
        <v>61193</v>
      </c>
      <c r="Q2262">
        <f t="shared" si="38"/>
        <v>6.1192999999999997E-2</v>
      </c>
      <c r="R2262">
        <v>43252</v>
      </c>
      <c r="S2262" t="s">
        <v>122</v>
      </c>
    </row>
    <row r="2263" spans="1:19">
      <c r="A2263">
        <v>60000360</v>
      </c>
      <c r="B2263">
        <v>36</v>
      </c>
      <c r="C2263" t="s">
        <v>33</v>
      </c>
      <c r="D2263" t="s">
        <v>40</v>
      </c>
      <c r="E2263" t="s">
        <v>72</v>
      </c>
      <c r="F2263" t="s">
        <v>21</v>
      </c>
      <c r="G2263" s="23">
        <v>0.14000000000000001</v>
      </c>
      <c r="H2263" t="s">
        <v>22</v>
      </c>
      <c r="I2263" t="s">
        <v>80</v>
      </c>
      <c r="J2263" t="s">
        <v>66</v>
      </c>
      <c r="K2263" t="s">
        <v>25</v>
      </c>
      <c r="L2263" t="s">
        <v>26</v>
      </c>
      <c r="M2263" t="s">
        <v>125</v>
      </c>
      <c r="N2263" t="s">
        <v>51</v>
      </c>
      <c r="O2263">
        <v>6</v>
      </c>
      <c r="P2263">
        <v>55051</v>
      </c>
      <c r="Q2263">
        <f t="shared" si="38"/>
        <v>5.5051000000000003E-2</v>
      </c>
      <c r="R2263">
        <v>43252</v>
      </c>
      <c r="S2263" t="s">
        <v>122</v>
      </c>
    </row>
    <row r="2264" spans="1:19">
      <c r="A2264">
        <v>60000361</v>
      </c>
      <c r="B2264">
        <v>42</v>
      </c>
      <c r="C2264" t="s">
        <v>18</v>
      </c>
      <c r="D2264" t="s">
        <v>19</v>
      </c>
      <c r="E2264" t="s">
        <v>41</v>
      </c>
      <c r="F2264" t="s">
        <v>21</v>
      </c>
      <c r="G2264" s="23">
        <v>0.28000000000000003</v>
      </c>
      <c r="H2264" t="s">
        <v>53</v>
      </c>
      <c r="I2264" t="s">
        <v>23</v>
      </c>
      <c r="J2264" t="s">
        <v>24</v>
      </c>
      <c r="K2264" t="s">
        <v>94</v>
      </c>
      <c r="L2264" t="s">
        <v>119</v>
      </c>
      <c r="M2264" t="s">
        <v>125</v>
      </c>
      <c r="N2264" t="s">
        <v>28</v>
      </c>
      <c r="O2264">
        <v>0</v>
      </c>
      <c r="P2264">
        <v>36268</v>
      </c>
      <c r="Q2264">
        <f t="shared" si="38"/>
        <v>3.6268000000000002E-2</v>
      </c>
      <c r="R2264">
        <v>43252</v>
      </c>
      <c r="S2264" t="s">
        <v>122</v>
      </c>
    </row>
    <row r="2265" spans="1:19">
      <c r="A2265">
        <v>60000362</v>
      </c>
      <c r="B2265">
        <v>26</v>
      </c>
      <c r="C2265" t="s">
        <v>18</v>
      </c>
      <c r="D2265" t="s">
        <v>40</v>
      </c>
      <c r="E2265" t="s">
        <v>41</v>
      </c>
      <c r="F2265" t="s">
        <v>21</v>
      </c>
      <c r="G2265" s="23">
        <v>0.21</v>
      </c>
      <c r="H2265" t="s">
        <v>29</v>
      </c>
      <c r="I2265" t="s">
        <v>73</v>
      </c>
      <c r="J2265" t="s">
        <v>61</v>
      </c>
      <c r="K2265" t="s">
        <v>117</v>
      </c>
      <c r="L2265" t="s">
        <v>121</v>
      </c>
      <c r="M2265" t="s">
        <v>125</v>
      </c>
      <c r="N2265" t="s">
        <v>51</v>
      </c>
      <c r="O2265">
        <v>5</v>
      </c>
      <c r="P2265">
        <v>62522</v>
      </c>
      <c r="Q2265">
        <f t="shared" si="38"/>
        <v>6.2521999999999994E-2</v>
      </c>
      <c r="R2265">
        <v>43252</v>
      </c>
      <c r="S2265" t="s">
        <v>122</v>
      </c>
    </row>
    <row r="2266" spans="1:19">
      <c r="A2266">
        <v>60000363</v>
      </c>
      <c r="B2266">
        <v>56</v>
      </c>
      <c r="C2266" t="s">
        <v>18</v>
      </c>
      <c r="D2266" t="s">
        <v>40</v>
      </c>
      <c r="E2266" t="s">
        <v>44</v>
      </c>
      <c r="F2266" t="s">
        <v>21</v>
      </c>
      <c r="G2266" s="23">
        <v>0.16</v>
      </c>
      <c r="H2266" t="s">
        <v>22</v>
      </c>
      <c r="I2266" t="s">
        <v>45</v>
      </c>
      <c r="J2266" t="s">
        <v>31</v>
      </c>
      <c r="K2266" t="s">
        <v>114</v>
      </c>
      <c r="L2266" t="s">
        <v>26</v>
      </c>
      <c r="M2266" t="s">
        <v>125</v>
      </c>
      <c r="N2266" t="s">
        <v>28</v>
      </c>
      <c r="O2266">
        <v>0</v>
      </c>
      <c r="P2266">
        <v>74630</v>
      </c>
      <c r="Q2266">
        <f t="shared" si="38"/>
        <v>7.4630000000000002E-2</v>
      </c>
      <c r="R2266">
        <v>43252</v>
      </c>
      <c r="S2266" t="s">
        <v>122</v>
      </c>
    </row>
    <row r="2267" spans="1:19">
      <c r="A2267">
        <v>60000364</v>
      </c>
      <c r="B2267">
        <v>28</v>
      </c>
      <c r="C2267" t="s">
        <v>18</v>
      </c>
      <c r="D2267" t="s">
        <v>40</v>
      </c>
      <c r="E2267" t="s">
        <v>56</v>
      </c>
      <c r="F2267" t="s">
        <v>21</v>
      </c>
      <c r="G2267" s="23">
        <v>0.14000000000000001</v>
      </c>
      <c r="H2267" t="s">
        <v>22</v>
      </c>
      <c r="I2267" t="s">
        <v>60</v>
      </c>
      <c r="J2267" t="s">
        <v>61</v>
      </c>
      <c r="K2267" t="s">
        <v>63</v>
      </c>
      <c r="L2267" t="s">
        <v>121</v>
      </c>
      <c r="M2267" t="s">
        <v>125</v>
      </c>
      <c r="N2267" t="s">
        <v>51</v>
      </c>
      <c r="O2267">
        <v>0</v>
      </c>
      <c r="P2267">
        <v>39889</v>
      </c>
      <c r="Q2267">
        <f t="shared" si="38"/>
        <v>3.9889000000000001E-2</v>
      </c>
      <c r="R2267">
        <v>43252</v>
      </c>
      <c r="S2267" t="s">
        <v>122</v>
      </c>
    </row>
    <row r="2268" spans="1:19">
      <c r="A2268">
        <v>60000365</v>
      </c>
      <c r="B2268">
        <v>37</v>
      </c>
      <c r="C2268" t="s">
        <v>33</v>
      </c>
      <c r="D2268" t="s">
        <v>40</v>
      </c>
      <c r="E2268" t="s">
        <v>34</v>
      </c>
      <c r="F2268" t="s">
        <v>21</v>
      </c>
      <c r="G2268" s="23">
        <v>0.28999999999999998</v>
      </c>
      <c r="H2268" t="s">
        <v>53</v>
      </c>
      <c r="I2268" t="s">
        <v>23</v>
      </c>
      <c r="J2268" t="s">
        <v>88</v>
      </c>
      <c r="K2268" t="s">
        <v>77</v>
      </c>
      <c r="L2268" t="s">
        <v>119</v>
      </c>
      <c r="M2268" t="s">
        <v>125</v>
      </c>
      <c r="N2268" t="s">
        <v>51</v>
      </c>
      <c r="O2268">
        <v>5</v>
      </c>
      <c r="P2268">
        <v>27928</v>
      </c>
      <c r="Q2268">
        <f t="shared" si="38"/>
        <v>2.7928000000000001E-2</v>
      </c>
      <c r="R2268">
        <v>43252</v>
      </c>
      <c r="S2268" t="s">
        <v>122</v>
      </c>
    </row>
    <row r="2269" spans="1:19">
      <c r="A2269">
        <v>60000366</v>
      </c>
      <c r="B2269">
        <v>60</v>
      </c>
      <c r="C2269" t="s">
        <v>18</v>
      </c>
      <c r="D2269" t="s">
        <v>40</v>
      </c>
      <c r="E2269" t="s">
        <v>67</v>
      </c>
      <c r="F2269" t="s">
        <v>21</v>
      </c>
      <c r="G2269" s="23">
        <v>0.25</v>
      </c>
      <c r="H2269" t="s">
        <v>53</v>
      </c>
      <c r="I2269" t="s">
        <v>68</v>
      </c>
      <c r="J2269" t="s">
        <v>61</v>
      </c>
      <c r="K2269" t="s">
        <v>103</v>
      </c>
      <c r="L2269" t="s">
        <v>26</v>
      </c>
      <c r="M2269" t="s">
        <v>125</v>
      </c>
      <c r="N2269" t="s">
        <v>51</v>
      </c>
      <c r="O2269">
        <v>1</v>
      </c>
      <c r="P2269">
        <v>49493</v>
      </c>
      <c r="Q2269">
        <f t="shared" si="38"/>
        <v>4.9493000000000002E-2</v>
      </c>
      <c r="R2269">
        <v>43252</v>
      </c>
      <c r="S2269" t="s">
        <v>122</v>
      </c>
    </row>
    <row r="2270" spans="1:19">
      <c r="A2270">
        <v>60000367</v>
      </c>
      <c r="B2270">
        <v>44</v>
      </c>
      <c r="C2270" t="s">
        <v>18</v>
      </c>
      <c r="D2270" t="s">
        <v>40</v>
      </c>
      <c r="E2270" t="s">
        <v>85</v>
      </c>
      <c r="F2270" t="s">
        <v>21</v>
      </c>
      <c r="G2270" s="23">
        <v>0.16</v>
      </c>
      <c r="H2270" t="s">
        <v>22</v>
      </c>
      <c r="I2270" t="s">
        <v>62</v>
      </c>
      <c r="J2270" t="s">
        <v>54</v>
      </c>
      <c r="K2270" t="s">
        <v>104</v>
      </c>
      <c r="L2270" t="s">
        <v>26</v>
      </c>
      <c r="M2270" t="s">
        <v>125</v>
      </c>
      <c r="N2270" t="s">
        <v>28</v>
      </c>
      <c r="O2270">
        <v>0</v>
      </c>
      <c r="P2270">
        <v>64826</v>
      </c>
      <c r="Q2270">
        <f t="shared" si="38"/>
        <v>6.4825999999999995E-2</v>
      </c>
      <c r="R2270">
        <v>43252</v>
      </c>
      <c r="S2270" t="s">
        <v>122</v>
      </c>
    </row>
    <row r="2271" spans="1:19">
      <c r="A2271">
        <v>60000368</v>
      </c>
      <c r="B2271">
        <v>36</v>
      </c>
      <c r="C2271" t="s">
        <v>18</v>
      </c>
      <c r="D2271" t="s">
        <v>19</v>
      </c>
      <c r="E2271" t="s">
        <v>75</v>
      </c>
      <c r="F2271" t="s">
        <v>21</v>
      </c>
      <c r="G2271" s="23">
        <v>0.14000000000000001</v>
      </c>
      <c r="H2271" t="s">
        <v>22</v>
      </c>
      <c r="I2271" t="s">
        <v>23</v>
      </c>
      <c r="J2271" t="s">
        <v>91</v>
      </c>
      <c r="K2271" t="s">
        <v>112</v>
      </c>
      <c r="L2271" t="s">
        <v>121</v>
      </c>
      <c r="M2271" t="s">
        <v>125</v>
      </c>
      <c r="N2271" t="s">
        <v>51</v>
      </c>
      <c r="O2271">
        <v>3</v>
      </c>
      <c r="P2271">
        <v>54304</v>
      </c>
      <c r="Q2271">
        <f t="shared" si="38"/>
        <v>5.4303999999999998E-2</v>
      </c>
      <c r="R2271">
        <v>43252</v>
      </c>
      <c r="S2271" t="s">
        <v>122</v>
      </c>
    </row>
    <row r="2272" spans="1:19">
      <c r="A2272">
        <v>60000369</v>
      </c>
      <c r="B2272">
        <v>56</v>
      </c>
      <c r="C2272" t="s">
        <v>33</v>
      </c>
      <c r="D2272" t="s">
        <v>40</v>
      </c>
      <c r="E2272" t="s">
        <v>75</v>
      </c>
      <c r="F2272" t="s">
        <v>21</v>
      </c>
      <c r="G2272" s="23">
        <v>0.28999999999999998</v>
      </c>
      <c r="H2272" t="s">
        <v>53</v>
      </c>
      <c r="I2272" t="s">
        <v>23</v>
      </c>
      <c r="J2272" t="s">
        <v>61</v>
      </c>
      <c r="K2272" t="s">
        <v>94</v>
      </c>
      <c r="L2272" t="s">
        <v>121</v>
      </c>
      <c r="M2272" t="s">
        <v>125</v>
      </c>
      <c r="N2272" t="s">
        <v>28</v>
      </c>
      <c r="O2272">
        <v>0</v>
      </c>
      <c r="P2272">
        <v>80617</v>
      </c>
      <c r="Q2272">
        <f t="shared" si="38"/>
        <v>8.0616999999999994E-2</v>
      </c>
      <c r="R2272">
        <v>43252</v>
      </c>
      <c r="S2272" t="s">
        <v>122</v>
      </c>
    </row>
    <row r="2273" spans="1:19">
      <c r="A2273">
        <v>60000370</v>
      </c>
      <c r="B2273">
        <v>26</v>
      </c>
      <c r="C2273" t="s">
        <v>18</v>
      </c>
      <c r="D2273" t="s">
        <v>19</v>
      </c>
      <c r="E2273" t="s">
        <v>20</v>
      </c>
      <c r="F2273" t="s">
        <v>21</v>
      </c>
      <c r="G2273" s="23">
        <v>0.19</v>
      </c>
      <c r="H2273" t="s">
        <v>29</v>
      </c>
      <c r="I2273" t="s">
        <v>45</v>
      </c>
      <c r="J2273" t="s">
        <v>24</v>
      </c>
      <c r="K2273" t="s">
        <v>110</v>
      </c>
      <c r="L2273" t="s">
        <v>121</v>
      </c>
      <c r="M2273" t="s">
        <v>125</v>
      </c>
      <c r="N2273" t="s">
        <v>28</v>
      </c>
      <c r="O2273">
        <v>0</v>
      </c>
      <c r="P2273">
        <v>74854</v>
      </c>
      <c r="Q2273">
        <f t="shared" si="38"/>
        <v>7.4854000000000004E-2</v>
      </c>
      <c r="R2273">
        <v>43252</v>
      </c>
      <c r="S2273" t="s">
        <v>122</v>
      </c>
    </row>
    <row r="2274" spans="1:19">
      <c r="A2274">
        <v>60000371</v>
      </c>
      <c r="B2274">
        <v>46</v>
      </c>
      <c r="C2274" t="s">
        <v>33</v>
      </c>
      <c r="D2274" t="s">
        <v>40</v>
      </c>
      <c r="E2274" t="s">
        <v>34</v>
      </c>
      <c r="F2274" t="s">
        <v>21</v>
      </c>
      <c r="G2274" s="23">
        <v>0.16</v>
      </c>
      <c r="H2274" t="s">
        <v>22</v>
      </c>
      <c r="I2274" t="s">
        <v>49</v>
      </c>
      <c r="J2274" t="s">
        <v>91</v>
      </c>
      <c r="K2274" t="s">
        <v>89</v>
      </c>
      <c r="L2274" t="s">
        <v>119</v>
      </c>
      <c r="M2274" t="s">
        <v>125</v>
      </c>
      <c r="N2274" t="s">
        <v>28</v>
      </c>
      <c r="O2274">
        <v>0</v>
      </c>
      <c r="P2274">
        <v>49343</v>
      </c>
      <c r="Q2274">
        <f t="shared" si="38"/>
        <v>4.9342999999999998E-2</v>
      </c>
      <c r="R2274">
        <v>43252</v>
      </c>
      <c r="S2274" t="s">
        <v>122</v>
      </c>
    </row>
    <row r="2275" spans="1:19">
      <c r="A2275">
        <v>60000372</v>
      </c>
      <c r="B2275">
        <v>31</v>
      </c>
      <c r="C2275" t="s">
        <v>33</v>
      </c>
      <c r="D2275" t="s">
        <v>40</v>
      </c>
      <c r="E2275" t="s">
        <v>85</v>
      </c>
      <c r="F2275" t="s">
        <v>21</v>
      </c>
      <c r="G2275" s="23">
        <v>0.16</v>
      </c>
      <c r="H2275" t="s">
        <v>22</v>
      </c>
      <c r="I2275" t="s">
        <v>80</v>
      </c>
      <c r="J2275" t="s">
        <v>54</v>
      </c>
      <c r="K2275" t="s">
        <v>93</v>
      </c>
      <c r="L2275" t="s">
        <v>121</v>
      </c>
      <c r="M2275" t="s">
        <v>125</v>
      </c>
      <c r="N2275" t="s">
        <v>51</v>
      </c>
      <c r="O2275">
        <v>4</v>
      </c>
      <c r="P2275">
        <v>80425</v>
      </c>
      <c r="Q2275">
        <f t="shared" si="38"/>
        <v>8.0424999999999996E-2</v>
      </c>
      <c r="R2275">
        <v>43252</v>
      </c>
      <c r="S2275" t="s">
        <v>122</v>
      </c>
    </row>
    <row r="2276" spans="1:19">
      <c r="A2276">
        <v>60000373</v>
      </c>
      <c r="B2276">
        <v>21</v>
      </c>
      <c r="C2276" t="s">
        <v>33</v>
      </c>
      <c r="D2276" t="s">
        <v>19</v>
      </c>
      <c r="E2276" t="s">
        <v>56</v>
      </c>
      <c r="F2276" t="s">
        <v>21</v>
      </c>
      <c r="G2276" s="23">
        <v>0.19</v>
      </c>
      <c r="H2276" t="s">
        <v>29</v>
      </c>
      <c r="I2276" t="s">
        <v>30</v>
      </c>
      <c r="J2276" t="s">
        <v>74</v>
      </c>
      <c r="K2276" t="s">
        <v>97</v>
      </c>
      <c r="L2276" t="s">
        <v>26</v>
      </c>
      <c r="M2276" t="s">
        <v>125</v>
      </c>
      <c r="N2276" t="s">
        <v>51</v>
      </c>
      <c r="O2276">
        <v>0</v>
      </c>
      <c r="P2276">
        <v>28635</v>
      </c>
      <c r="Q2276">
        <f t="shared" si="38"/>
        <v>2.8635000000000001E-2</v>
      </c>
      <c r="R2276">
        <v>43252</v>
      </c>
      <c r="S2276" t="s">
        <v>122</v>
      </c>
    </row>
    <row r="2277" spans="1:19">
      <c r="A2277">
        <v>60000374</v>
      </c>
      <c r="B2277">
        <v>51</v>
      </c>
      <c r="C2277" t="s">
        <v>18</v>
      </c>
      <c r="D2277" t="s">
        <v>19</v>
      </c>
      <c r="E2277" t="s">
        <v>44</v>
      </c>
      <c r="F2277" t="s">
        <v>21</v>
      </c>
      <c r="G2277" s="23">
        <v>0.26</v>
      </c>
      <c r="H2277" t="s">
        <v>53</v>
      </c>
      <c r="I2277" t="s">
        <v>60</v>
      </c>
      <c r="J2277" t="s">
        <v>91</v>
      </c>
      <c r="K2277" t="s">
        <v>95</v>
      </c>
      <c r="L2277" t="s">
        <v>121</v>
      </c>
      <c r="M2277" t="s">
        <v>125</v>
      </c>
      <c r="N2277" t="s">
        <v>28</v>
      </c>
      <c r="O2277">
        <v>0</v>
      </c>
      <c r="P2277">
        <v>28074</v>
      </c>
      <c r="Q2277">
        <f t="shared" si="38"/>
        <v>2.8074000000000002E-2</v>
      </c>
      <c r="R2277">
        <v>43252</v>
      </c>
      <c r="S2277" t="s">
        <v>122</v>
      </c>
    </row>
    <row r="2278" spans="1:19">
      <c r="A2278">
        <v>60000375</v>
      </c>
      <c r="B2278">
        <v>64</v>
      </c>
      <c r="C2278" t="s">
        <v>33</v>
      </c>
      <c r="D2278" t="s">
        <v>19</v>
      </c>
      <c r="E2278" t="s">
        <v>56</v>
      </c>
      <c r="F2278" t="s">
        <v>21</v>
      </c>
      <c r="G2278" s="23">
        <v>0.34</v>
      </c>
      <c r="H2278" t="s">
        <v>42</v>
      </c>
      <c r="I2278" t="s">
        <v>60</v>
      </c>
      <c r="J2278" t="s">
        <v>88</v>
      </c>
      <c r="K2278" t="s">
        <v>96</v>
      </c>
      <c r="L2278" t="s">
        <v>119</v>
      </c>
      <c r="M2278" t="s">
        <v>125</v>
      </c>
      <c r="N2278" t="s">
        <v>51</v>
      </c>
      <c r="O2278">
        <v>3</v>
      </c>
      <c r="P2278">
        <v>68445</v>
      </c>
      <c r="Q2278">
        <f t="shared" si="38"/>
        <v>6.8445000000000006E-2</v>
      </c>
      <c r="R2278">
        <v>43252</v>
      </c>
      <c r="S2278" t="s">
        <v>122</v>
      </c>
    </row>
    <row r="2279" spans="1:19">
      <c r="A2279">
        <v>60000376</v>
      </c>
      <c r="B2279">
        <v>21</v>
      </c>
      <c r="C2279" t="s">
        <v>33</v>
      </c>
      <c r="D2279" t="s">
        <v>40</v>
      </c>
      <c r="E2279" t="s">
        <v>64</v>
      </c>
      <c r="F2279" t="s">
        <v>21</v>
      </c>
      <c r="G2279" s="23">
        <v>0.25</v>
      </c>
      <c r="H2279" t="s">
        <v>53</v>
      </c>
      <c r="I2279" t="s">
        <v>68</v>
      </c>
      <c r="J2279" t="s">
        <v>91</v>
      </c>
      <c r="K2279" t="s">
        <v>113</v>
      </c>
      <c r="L2279" t="s">
        <v>119</v>
      </c>
      <c r="M2279" t="s">
        <v>125</v>
      </c>
      <c r="N2279" t="s">
        <v>28</v>
      </c>
      <c r="O2279">
        <v>0</v>
      </c>
      <c r="P2279">
        <v>84067</v>
      </c>
      <c r="Q2279">
        <f t="shared" si="38"/>
        <v>8.4067000000000003E-2</v>
      </c>
      <c r="R2279">
        <v>43252</v>
      </c>
      <c r="S2279" t="s">
        <v>122</v>
      </c>
    </row>
    <row r="2280" spans="1:19">
      <c r="A2280">
        <v>60000377</v>
      </c>
      <c r="B2280">
        <v>50</v>
      </c>
      <c r="C2280" t="s">
        <v>18</v>
      </c>
      <c r="D2280" t="s">
        <v>40</v>
      </c>
      <c r="E2280" t="s">
        <v>20</v>
      </c>
      <c r="F2280" t="s">
        <v>21</v>
      </c>
      <c r="G2280" s="23">
        <v>0.11</v>
      </c>
      <c r="H2280" t="s">
        <v>36</v>
      </c>
      <c r="I2280" t="s">
        <v>70</v>
      </c>
      <c r="J2280" t="s">
        <v>78</v>
      </c>
      <c r="K2280" t="s">
        <v>115</v>
      </c>
      <c r="L2280" t="s">
        <v>26</v>
      </c>
      <c r="M2280" t="s">
        <v>125</v>
      </c>
      <c r="N2280" t="s">
        <v>28</v>
      </c>
      <c r="O2280">
        <v>0</v>
      </c>
      <c r="P2280">
        <v>83731</v>
      </c>
      <c r="Q2280">
        <f t="shared" si="38"/>
        <v>8.3731E-2</v>
      </c>
      <c r="R2280">
        <v>43252</v>
      </c>
      <c r="S2280" t="s">
        <v>122</v>
      </c>
    </row>
    <row r="2281" spans="1:19">
      <c r="A2281">
        <v>60000378</v>
      </c>
      <c r="B2281">
        <v>39</v>
      </c>
      <c r="C2281" t="s">
        <v>33</v>
      </c>
      <c r="D2281" t="s">
        <v>40</v>
      </c>
      <c r="E2281" t="s">
        <v>52</v>
      </c>
      <c r="F2281" t="s">
        <v>21</v>
      </c>
      <c r="G2281" s="23">
        <v>0.27</v>
      </c>
      <c r="H2281" t="s">
        <v>53</v>
      </c>
      <c r="I2281" t="s">
        <v>80</v>
      </c>
      <c r="J2281" t="s">
        <v>88</v>
      </c>
      <c r="K2281" t="s">
        <v>101</v>
      </c>
      <c r="L2281" t="s">
        <v>26</v>
      </c>
      <c r="M2281" t="s">
        <v>125</v>
      </c>
      <c r="N2281" t="s">
        <v>51</v>
      </c>
      <c r="O2281">
        <v>1</v>
      </c>
      <c r="P2281">
        <v>28557</v>
      </c>
      <c r="Q2281">
        <f t="shared" si="38"/>
        <v>2.8556999999999999E-2</v>
      </c>
      <c r="R2281">
        <v>43252</v>
      </c>
      <c r="S2281" t="s">
        <v>122</v>
      </c>
    </row>
    <row r="2282" spans="1:19">
      <c r="A2282">
        <v>60000379</v>
      </c>
      <c r="B2282">
        <v>38</v>
      </c>
      <c r="C2282" t="s">
        <v>33</v>
      </c>
      <c r="D2282" t="s">
        <v>19</v>
      </c>
      <c r="E2282" t="s">
        <v>20</v>
      </c>
      <c r="F2282" t="s">
        <v>21</v>
      </c>
      <c r="G2282" s="23">
        <v>0.35</v>
      </c>
      <c r="H2282" t="s">
        <v>42</v>
      </c>
      <c r="I2282" t="s">
        <v>65</v>
      </c>
      <c r="J2282" t="s">
        <v>91</v>
      </c>
      <c r="K2282" t="s">
        <v>43</v>
      </c>
      <c r="L2282" t="s">
        <v>121</v>
      </c>
      <c r="M2282" t="s">
        <v>125</v>
      </c>
      <c r="N2282" t="s">
        <v>51</v>
      </c>
      <c r="O2282">
        <v>5</v>
      </c>
      <c r="P2282">
        <v>79614</v>
      </c>
      <c r="Q2282">
        <f t="shared" si="38"/>
        <v>7.9614000000000004E-2</v>
      </c>
      <c r="R2282">
        <v>43252</v>
      </c>
      <c r="S2282" t="s">
        <v>122</v>
      </c>
    </row>
    <row r="2283" spans="1:19">
      <c r="A2283">
        <v>60000380</v>
      </c>
      <c r="B2283">
        <v>34</v>
      </c>
      <c r="C2283" t="s">
        <v>18</v>
      </c>
      <c r="D2283" t="s">
        <v>19</v>
      </c>
      <c r="E2283" t="s">
        <v>52</v>
      </c>
      <c r="F2283" t="s">
        <v>21</v>
      </c>
      <c r="G2283" s="23">
        <v>0.3</v>
      </c>
      <c r="H2283" t="s">
        <v>53</v>
      </c>
      <c r="I2283" t="s">
        <v>70</v>
      </c>
      <c r="J2283" t="s">
        <v>61</v>
      </c>
      <c r="K2283" t="s">
        <v>96</v>
      </c>
      <c r="L2283" t="s">
        <v>119</v>
      </c>
      <c r="M2283" t="s">
        <v>125</v>
      </c>
      <c r="N2283" t="s">
        <v>28</v>
      </c>
      <c r="O2283">
        <v>0</v>
      </c>
      <c r="P2283">
        <v>54684</v>
      </c>
      <c r="Q2283">
        <f t="shared" si="38"/>
        <v>5.4684000000000003E-2</v>
      </c>
      <c r="R2283">
        <v>43252</v>
      </c>
      <c r="S2283" t="s">
        <v>122</v>
      </c>
    </row>
    <row r="2284" spans="1:19">
      <c r="A2284">
        <v>60000381</v>
      </c>
      <c r="B2284">
        <v>57</v>
      </c>
      <c r="C2284" t="s">
        <v>33</v>
      </c>
      <c r="D2284" t="s">
        <v>19</v>
      </c>
      <c r="E2284" t="s">
        <v>52</v>
      </c>
      <c r="F2284" t="s">
        <v>21</v>
      </c>
      <c r="G2284" s="23">
        <v>0.31</v>
      </c>
      <c r="H2284" t="s">
        <v>53</v>
      </c>
      <c r="I2284" t="s">
        <v>70</v>
      </c>
      <c r="J2284" t="s">
        <v>31</v>
      </c>
      <c r="K2284" t="s">
        <v>100</v>
      </c>
      <c r="L2284" t="s">
        <v>121</v>
      </c>
      <c r="M2284" t="s">
        <v>125</v>
      </c>
      <c r="N2284" t="s">
        <v>51</v>
      </c>
      <c r="O2284">
        <v>7</v>
      </c>
      <c r="P2284">
        <v>27227</v>
      </c>
      <c r="Q2284">
        <f t="shared" si="38"/>
        <v>2.7227000000000001E-2</v>
      </c>
      <c r="R2284">
        <v>43252</v>
      </c>
      <c r="S2284" t="s">
        <v>122</v>
      </c>
    </row>
    <row r="2285" spans="1:19">
      <c r="A2285">
        <v>60000382</v>
      </c>
      <c r="B2285">
        <v>47</v>
      </c>
      <c r="C2285" t="s">
        <v>33</v>
      </c>
      <c r="D2285" t="s">
        <v>19</v>
      </c>
      <c r="E2285" t="s">
        <v>67</v>
      </c>
      <c r="F2285" t="s">
        <v>21</v>
      </c>
      <c r="G2285" s="23">
        <v>0.13</v>
      </c>
      <c r="H2285" t="s">
        <v>22</v>
      </c>
      <c r="I2285" t="s">
        <v>68</v>
      </c>
      <c r="J2285" t="s">
        <v>54</v>
      </c>
      <c r="K2285" t="s">
        <v>62</v>
      </c>
      <c r="L2285" t="s">
        <v>119</v>
      </c>
      <c r="M2285" t="s">
        <v>125</v>
      </c>
      <c r="N2285" t="s">
        <v>28</v>
      </c>
      <c r="O2285">
        <v>0</v>
      </c>
      <c r="P2285">
        <v>32045</v>
      </c>
      <c r="Q2285">
        <f t="shared" si="38"/>
        <v>3.2044999999999997E-2</v>
      </c>
      <c r="R2285">
        <v>43252</v>
      </c>
      <c r="S2285" t="s">
        <v>122</v>
      </c>
    </row>
    <row r="2286" spans="1:19">
      <c r="A2286">
        <v>60000383</v>
      </c>
      <c r="B2286">
        <v>36</v>
      </c>
      <c r="C2286" t="s">
        <v>18</v>
      </c>
      <c r="D2286" t="s">
        <v>40</v>
      </c>
      <c r="E2286" t="s">
        <v>85</v>
      </c>
      <c r="F2286" t="s">
        <v>21</v>
      </c>
      <c r="G2286" s="23">
        <v>0.28000000000000003</v>
      </c>
      <c r="H2286" t="s">
        <v>53</v>
      </c>
      <c r="I2286" t="s">
        <v>37</v>
      </c>
      <c r="J2286" t="s">
        <v>88</v>
      </c>
      <c r="K2286" t="s">
        <v>107</v>
      </c>
      <c r="L2286" t="s">
        <v>121</v>
      </c>
      <c r="M2286" t="s">
        <v>125</v>
      </c>
      <c r="N2286" t="s">
        <v>28</v>
      </c>
      <c r="O2286">
        <v>0</v>
      </c>
      <c r="P2286">
        <v>25551</v>
      </c>
      <c r="Q2286">
        <f t="shared" si="38"/>
        <v>2.5551000000000001E-2</v>
      </c>
      <c r="R2286">
        <v>43252</v>
      </c>
      <c r="S2286" t="s">
        <v>122</v>
      </c>
    </row>
    <row r="2287" spans="1:19">
      <c r="A2287">
        <v>60000384</v>
      </c>
      <c r="B2287">
        <v>21</v>
      </c>
      <c r="C2287" t="s">
        <v>18</v>
      </c>
      <c r="D2287" t="s">
        <v>40</v>
      </c>
      <c r="E2287" t="s">
        <v>52</v>
      </c>
      <c r="F2287" t="s">
        <v>21</v>
      </c>
      <c r="G2287" s="23">
        <v>0.2</v>
      </c>
      <c r="H2287" t="s">
        <v>29</v>
      </c>
      <c r="I2287" t="s">
        <v>60</v>
      </c>
      <c r="J2287" t="s">
        <v>54</v>
      </c>
      <c r="K2287" t="s">
        <v>90</v>
      </c>
      <c r="L2287" t="s">
        <v>26</v>
      </c>
      <c r="M2287" t="s">
        <v>125</v>
      </c>
      <c r="N2287" t="s">
        <v>28</v>
      </c>
      <c r="O2287">
        <v>0</v>
      </c>
      <c r="P2287">
        <v>43464</v>
      </c>
      <c r="Q2287">
        <f t="shared" ref="Q2287:Q2350" si="39">+P2287/1000000</f>
        <v>4.3464000000000003E-2</v>
      </c>
      <c r="R2287">
        <v>43252</v>
      </c>
      <c r="S2287" t="s">
        <v>122</v>
      </c>
    </row>
    <row r="2288" spans="1:19">
      <c r="A2288">
        <v>60000385</v>
      </c>
      <c r="B2288">
        <v>21</v>
      </c>
      <c r="C2288" t="s">
        <v>33</v>
      </c>
      <c r="D2288" t="s">
        <v>40</v>
      </c>
      <c r="E2288" t="s">
        <v>85</v>
      </c>
      <c r="F2288" t="s">
        <v>21</v>
      </c>
      <c r="G2288" s="23">
        <v>0.3</v>
      </c>
      <c r="H2288" t="s">
        <v>53</v>
      </c>
      <c r="I2288" t="s">
        <v>57</v>
      </c>
      <c r="J2288" t="s">
        <v>46</v>
      </c>
      <c r="K2288" t="s">
        <v>62</v>
      </c>
      <c r="L2288" t="s">
        <v>121</v>
      </c>
      <c r="M2288" t="s">
        <v>125</v>
      </c>
      <c r="N2288" t="s">
        <v>51</v>
      </c>
      <c r="O2288">
        <v>5</v>
      </c>
      <c r="P2288">
        <v>41890</v>
      </c>
      <c r="Q2288">
        <f t="shared" si="39"/>
        <v>4.1889999999999997E-2</v>
      </c>
      <c r="R2288">
        <v>43252</v>
      </c>
      <c r="S2288" t="s">
        <v>122</v>
      </c>
    </row>
    <row r="2289" spans="1:19">
      <c r="A2289">
        <v>60000386</v>
      </c>
      <c r="B2289">
        <v>36</v>
      </c>
      <c r="C2289" t="s">
        <v>33</v>
      </c>
      <c r="D2289" t="s">
        <v>19</v>
      </c>
      <c r="E2289" t="s">
        <v>52</v>
      </c>
      <c r="F2289" t="s">
        <v>21</v>
      </c>
      <c r="G2289" s="23">
        <v>0.17</v>
      </c>
      <c r="H2289" t="s">
        <v>22</v>
      </c>
      <c r="I2289" t="s">
        <v>65</v>
      </c>
      <c r="J2289" t="s">
        <v>24</v>
      </c>
      <c r="K2289" t="s">
        <v>111</v>
      </c>
      <c r="L2289" t="s">
        <v>119</v>
      </c>
      <c r="M2289" t="s">
        <v>125</v>
      </c>
      <c r="N2289" t="s">
        <v>51</v>
      </c>
      <c r="O2289">
        <v>7</v>
      </c>
      <c r="P2289">
        <v>36063</v>
      </c>
      <c r="Q2289">
        <f t="shared" si="39"/>
        <v>3.6062999999999998E-2</v>
      </c>
      <c r="R2289">
        <v>43252</v>
      </c>
      <c r="S2289" t="s">
        <v>122</v>
      </c>
    </row>
    <row r="2290" spans="1:19">
      <c r="A2290">
        <v>60000387</v>
      </c>
      <c r="B2290">
        <v>52</v>
      </c>
      <c r="C2290" t="s">
        <v>18</v>
      </c>
      <c r="D2290" t="s">
        <v>19</v>
      </c>
      <c r="E2290" t="s">
        <v>85</v>
      </c>
      <c r="F2290" t="s">
        <v>21</v>
      </c>
      <c r="G2290" s="23">
        <v>0.24</v>
      </c>
      <c r="H2290" t="s">
        <v>29</v>
      </c>
      <c r="I2290" t="s">
        <v>70</v>
      </c>
      <c r="J2290" t="s">
        <v>78</v>
      </c>
      <c r="K2290" t="s">
        <v>60</v>
      </c>
      <c r="L2290" t="s">
        <v>26</v>
      </c>
      <c r="M2290" t="s">
        <v>125</v>
      </c>
      <c r="N2290" t="s">
        <v>28</v>
      </c>
      <c r="O2290">
        <v>0</v>
      </c>
      <c r="P2290">
        <v>80040</v>
      </c>
      <c r="Q2290">
        <f t="shared" si="39"/>
        <v>8.004E-2</v>
      </c>
      <c r="R2290">
        <v>43252</v>
      </c>
      <c r="S2290" t="s">
        <v>122</v>
      </c>
    </row>
    <row r="2291" spans="1:19">
      <c r="A2291">
        <v>60000388</v>
      </c>
      <c r="B2291">
        <v>47</v>
      </c>
      <c r="C2291" t="s">
        <v>33</v>
      </c>
      <c r="D2291" t="s">
        <v>40</v>
      </c>
      <c r="E2291" t="s">
        <v>41</v>
      </c>
      <c r="F2291" t="s">
        <v>21</v>
      </c>
      <c r="G2291" s="23">
        <v>0.32</v>
      </c>
      <c r="H2291" t="s">
        <v>42</v>
      </c>
      <c r="I2291" t="s">
        <v>80</v>
      </c>
      <c r="J2291" t="s">
        <v>66</v>
      </c>
      <c r="K2291" t="s">
        <v>82</v>
      </c>
      <c r="L2291" t="s">
        <v>121</v>
      </c>
      <c r="M2291" t="s">
        <v>125</v>
      </c>
      <c r="N2291" t="s">
        <v>51</v>
      </c>
      <c r="O2291">
        <v>1</v>
      </c>
      <c r="P2291">
        <v>72998</v>
      </c>
      <c r="Q2291">
        <f t="shared" si="39"/>
        <v>7.2997999999999993E-2</v>
      </c>
      <c r="R2291">
        <v>43252</v>
      </c>
      <c r="S2291" t="s">
        <v>122</v>
      </c>
    </row>
    <row r="2292" spans="1:19">
      <c r="A2292">
        <v>60000389</v>
      </c>
      <c r="B2292">
        <v>44</v>
      </c>
      <c r="C2292" t="s">
        <v>33</v>
      </c>
      <c r="D2292" t="s">
        <v>19</v>
      </c>
      <c r="E2292" t="s">
        <v>64</v>
      </c>
      <c r="F2292" t="s">
        <v>21</v>
      </c>
      <c r="G2292" s="23">
        <v>0.12</v>
      </c>
      <c r="H2292" t="s">
        <v>22</v>
      </c>
      <c r="I2292" t="s">
        <v>86</v>
      </c>
      <c r="J2292" t="s">
        <v>61</v>
      </c>
      <c r="K2292" t="s">
        <v>111</v>
      </c>
      <c r="L2292" t="s">
        <v>121</v>
      </c>
      <c r="M2292" t="s">
        <v>125</v>
      </c>
      <c r="N2292" t="s">
        <v>28</v>
      </c>
      <c r="O2292">
        <v>0</v>
      </c>
      <c r="P2292">
        <v>66477</v>
      </c>
      <c r="Q2292">
        <f t="shared" si="39"/>
        <v>6.6476999999999994E-2</v>
      </c>
      <c r="R2292">
        <v>43252</v>
      </c>
      <c r="S2292" t="s">
        <v>122</v>
      </c>
    </row>
    <row r="2293" spans="1:19">
      <c r="A2293">
        <v>60000390</v>
      </c>
      <c r="B2293">
        <v>23</v>
      </c>
      <c r="C2293" t="s">
        <v>33</v>
      </c>
      <c r="D2293" t="s">
        <v>40</v>
      </c>
      <c r="E2293" t="s">
        <v>52</v>
      </c>
      <c r="F2293" t="s">
        <v>21</v>
      </c>
      <c r="G2293" s="23">
        <v>0.13</v>
      </c>
      <c r="H2293" t="s">
        <v>22</v>
      </c>
      <c r="I2293" t="s">
        <v>65</v>
      </c>
      <c r="J2293" t="s">
        <v>88</v>
      </c>
      <c r="K2293" t="s">
        <v>49</v>
      </c>
      <c r="L2293" t="s">
        <v>121</v>
      </c>
      <c r="M2293" t="s">
        <v>125</v>
      </c>
      <c r="N2293" t="s">
        <v>51</v>
      </c>
      <c r="O2293">
        <v>7</v>
      </c>
      <c r="P2293">
        <v>48518</v>
      </c>
      <c r="Q2293">
        <f t="shared" si="39"/>
        <v>4.8517999999999999E-2</v>
      </c>
      <c r="R2293">
        <v>43252</v>
      </c>
      <c r="S2293" t="s">
        <v>122</v>
      </c>
    </row>
    <row r="2294" spans="1:19">
      <c r="A2294">
        <v>60000391</v>
      </c>
      <c r="B2294">
        <v>37</v>
      </c>
      <c r="C2294" t="s">
        <v>18</v>
      </c>
      <c r="D2294" t="s">
        <v>19</v>
      </c>
      <c r="E2294" t="s">
        <v>56</v>
      </c>
      <c r="F2294" t="s">
        <v>21</v>
      </c>
      <c r="G2294" s="23">
        <v>0.14000000000000001</v>
      </c>
      <c r="H2294" t="s">
        <v>22</v>
      </c>
      <c r="I2294" t="s">
        <v>60</v>
      </c>
      <c r="J2294" t="s">
        <v>58</v>
      </c>
      <c r="K2294" t="s">
        <v>77</v>
      </c>
      <c r="L2294" t="s">
        <v>119</v>
      </c>
      <c r="M2294" t="s">
        <v>125</v>
      </c>
      <c r="N2294" t="s">
        <v>51</v>
      </c>
      <c r="O2294">
        <v>4</v>
      </c>
      <c r="P2294">
        <v>34127</v>
      </c>
      <c r="Q2294">
        <f t="shared" si="39"/>
        <v>3.4126999999999998E-2</v>
      </c>
      <c r="R2294">
        <v>43252</v>
      </c>
      <c r="S2294" t="s">
        <v>122</v>
      </c>
    </row>
    <row r="2295" spans="1:19">
      <c r="A2295">
        <v>60000392</v>
      </c>
      <c r="B2295">
        <v>47</v>
      </c>
      <c r="C2295" t="s">
        <v>18</v>
      </c>
      <c r="D2295" t="s">
        <v>19</v>
      </c>
      <c r="E2295" t="s">
        <v>20</v>
      </c>
      <c r="F2295" t="s">
        <v>21</v>
      </c>
      <c r="G2295" s="23">
        <v>0.21</v>
      </c>
      <c r="H2295" t="s">
        <v>29</v>
      </c>
      <c r="I2295" t="s">
        <v>37</v>
      </c>
      <c r="J2295" t="s">
        <v>88</v>
      </c>
      <c r="K2295" t="s">
        <v>117</v>
      </c>
      <c r="L2295" t="s">
        <v>26</v>
      </c>
      <c r="M2295" t="s">
        <v>125</v>
      </c>
      <c r="N2295" t="s">
        <v>28</v>
      </c>
      <c r="O2295">
        <v>0</v>
      </c>
      <c r="P2295">
        <v>64482</v>
      </c>
      <c r="Q2295">
        <f t="shared" si="39"/>
        <v>6.4481999999999998E-2</v>
      </c>
      <c r="R2295">
        <v>43252</v>
      </c>
      <c r="S2295" t="s">
        <v>122</v>
      </c>
    </row>
    <row r="2296" spans="1:19">
      <c r="A2296">
        <v>60000393</v>
      </c>
      <c r="B2296">
        <v>44</v>
      </c>
      <c r="C2296" t="s">
        <v>33</v>
      </c>
      <c r="D2296" t="s">
        <v>40</v>
      </c>
      <c r="E2296" t="s">
        <v>34</v>
      </c>
      <c r="F2296" t="s">
        <v>21</v>
      </c>
      <c r="G2296" s="23">
        <v>0.21</v>
      </c>
      <c r="H2296" t="s">
        <v>29</v>
      </c>
      <c r="I2296" t="s">
        <v>86</v>
      </c>
      <c r="J2296" t="s">
        <v>78</v>
      </c>
      <c r="K2296" t="s">
        <v>39</v>
      </c>
      <c r="L2296" t="s">
        <v>119</v>
      </c>
      <c r="M2296" t="s">
        <v>125</v>
      </c>
      <c r="N2296" t="s">
        <v>51</v>
      </c>
      <c r="O2296">
        <v>6</v>
      </c>
      <c r="P2296">
        <v>54672</v>
      </c>
      <c r="Q2296">
        <f t="shared" si="39"/>
        <v>5.4671999999999998E-2</v>
      </c>
      <c r="R2296">
        <v>43252</v>
      </c>
      <c r="S2296" t="s">
        <v>122</v>
      </c>
    </row>
    <row r="2297" spans="1:19">
      <c r="A2297">
        <v>60000394</v>
      </c>
      <c r="B2297">
        <v>45</v>
      </c>
      <c r="C2297" t="s">
        <v>33</v>
      </c>
      <c r="D2297" t="s">
        <v>40</v>
      </c>
      <c r="E2297" t="s">
        <v>85</v>
      </c>
      <c r="F2297" t="s">
        <v>21</v>
      </c>
      <c r="G2297" s="23">
        <v>0.17</v>
      </c>
      <c r="H2297" t="s">
        <v>22</v>
      </c>
      <c r="I2297" t="s">
        <v>68</v>
      </c>
      <c r="J2297" t="s">
        <v>88</v>
      </c>
      <c r="K2297" t="s">
        <v>82</v>
      </c>
      <c r="L2297" t="s">
        <v>121</v>
      </c>
      <c r="M2297" t="s">
        <v>125</v>
      </c>
      <c r="N2297" t="s">
        <v>51</v>
      </c>
      <c r="O2297">
        <v>4</v>
      </c>
      <c r="P2297">
        <v>51554</v>
      </c>
      <c r="Q2297">
        <f t="shared" si="39"/>
        <v>5.1554000000000003E-2</v>
      </c>
      <c r="R2297">
        <v>43252</v>
      </c>
      <c r="S2297" t="s">
        <v>122</v>
      </c>
    </row>
    <row r="2298" spans="1:19">
      <c r="A2298">
        <v>60000395</v>
      </c>
      <c r="B2298">
        <v>25</v>
      </c>
      <c r="C2298" t="s">
        <v>33</v>
      </c>
      <c r="D2298" t="s">
        <v>19</v>
      </c>
      <c r="E2298" t="s">
        <v>64</v>
      </c>
      <c r="F2298" t="s">
        <v>21</v>
      </c>
      <c r="G2298" s="23">
        <v>0.37</v>
      </c>
      <c r="H2298" t="s">
        <v>42</v>
      </c>
      <c r="I2298" t="s">
        <v>73</v>
      </c>
      <c r="J2298" t="s">
        <v>38</v>
      </c>
      <c r="K2298" t="s">
        <v>101</v>
      </c>
      <c r="L2298" t="s">
        <v>26</v>
      </c>
      <c r="M2298" t="s">
        <v>125</v>
      </c>
      <c r="N2298" t="s">
        <v>28</v>
      </c>
      <c r="O2298">
        <v>0</v>
      </c>
      <c r="P2298">
        <v>44090</v>
      </c>
      <c r="Q2298">
        <f t="shared" si="39"/>
        <v>4.4089999999999997E-2</v>
      </c>
      <c r="R2298">
        <v>43252</v>
      </c>
      <c r="S2298" t="s">
        <v>122</v>
      </c>
    </row>
    <row r="2299" spans="1:19">
      <c r="A2299">
        <v>60000396</v>
      </c>
      <c r="B2299">
        <v>31</v>
      </c>
      <c r="C2299" t="s">
        <v>18</v>
      </c>
      <c r="D2299" t="s">
        <v>40</v>
      </c>
      <c r="E2299" t="s">
        <v>52</v>
      </c>
      <c r="F2299" t="s">
        <v>21</v>
      </c>
      <c r="G2299" s="23">
        <v>0.23</v>
      </c>
      <c r="H2299" t="s">
        <v>29</v>
      </c>
      <c r="I2299" t="s">
        <v>73</v>
      </c>
      <c r="J2299" t="s">
        <v>24</v>
      </c>
      <c r="K2299" t="s">
        <v>101</v>
      </c>
      <c r="L2299" t="s">
        <v>26</v>
      </c>
      <c r="M2299" t="s">
        <v>125</v>
      </c>
      <c r="N2299" t="s">
        <v>28</v>
      </c>
      <c r="O2299">
        <v>0</v>
      </c>
      <c r="P2299">
        <v>81393</v>
      </c>
      <c r="Q2299">
        <f t="shared" si="39"/>
        <v>8.1392999999999993E-2</v>
      </c>
      <c r="R2299">
        <v>43252</v>
      </c>
      <c r="S2299" t="s">
        <v>122</v>
      </c>
    </row>
    <row r="2300" spans="1:19">
      <c r="A2300">
        <v>60000397</v>
      </c>
      <c r="B2300">
        <v>44</v>
      </c>
      <c r="C2300" t="s">
        <v>33</v>
      </c>
      <c r="D2300" t="s">
        <v>40</v>
      </c>
      <c r="E2300" t="s">
        <v>75</v>
      </c>
      <c r="F2300" t="s">
        <v>21</v>
      </c>
      <c r="G2300" s="23">
        <v>0.33</v>
      </c>
      <c r="H2300" t="s">
        <v>42</v>
      </c>
      <c r="I2300" t="s">
        <v>80</v>
      </c>
      <c r="J2300" t="s">
        <v>24</v>
      </c>
      <c r="K2300" t="s">
        <v>112</v>
      </c>
      <c r="L2300" t="s">
        <v>26</v>
      </c>
      <c r="M2300" t="s">
        <v>125</v>
      </c>
      <c r="N2300" t="s">
        <v>51</v>
      </c>
      <c r="O2300">
        <v>1</v>
      </c>
      <c r="P2300">
        <v>35847</v>
      </c>
      <c r="Q2300">
        <f t="shared" si="39"/>
        <v>3.5846999999999997E-2</v>
      </c>
      <c r="R2300">
        <v>43252</v>
      </c>
      <c r="S2300" t="s">
        <v>122</v>
      </c>
    </row>
    <row r="2301" spans="1:19">
      <c r="A2301">
        <v>60000398</v>
      </c>
      <c r="B2301">
        <v>31</v>
      </c>
      <c r="C2301" t="s">
        <v>33</v>
      </c>
      <c r="D2301" t="s">
        <v>40</v>
      </c>
      <c r="E2301" t="s">
        <v>56</v>
      </c>
      <c r="F2301" t="s">
        <v>21</v>
      </c>
      <c r="G2301" s="23">
        <v>0.27</v>
      </c>
      <c r="H2301" t="s">
        <v>53</v>
      </c>
      <c r="I2301" t="s">
        <v>80</v>
      </c>
      <c r="J2301" t="s">
        <v>66</v>
      </c>
      <c r="K2301" t="s">
        <v>113</v>
      </c>
      <c r="L2301" t="s">
        <v>26</v>
      </c>
      <c r="M2301" t="s">
        <v>125</v>
      </c>
      <c r="N2301" t="s">
        <v>51</v>
      </c>
      <c r="O2301">
        <v>3</v>
      </c>
      <c r="P2301">
        <v>73014</v>
      </c>
      <c r="Q2301">
        <f t="shared" si="39"/>
        <v>7.3013999999999996E-2</v>
      </c>
      <c r="R2301">
        <v>43252</v>
      </c>
      <c r="S2301" t="s">
        <v>122</v>
      </c>
    </row>
    <row r="2302" spans="1:19">
      <c r="A2302">
        <v>60000399</v>
      </c>
      <c r="B2302">
        <v>40</v>
      </c>
      <c r="C2302" t="s">
        <v>18</v>
      </c>
      <c r="D2302" t="s">
        <v>19</v>
      </c>
      <c r="E2302" t="s">
        <v>48</v>
      </c>
      <c r="F2302" t="s">
        <v>21</v>
      </c>
      <c r="G2302" s="23">
        <v>0.16</v>
      </c>
      <c r="H2302" t="s">
        <v>22</v>
      </c>
      <c r="I2302" t="s">
        <v>83</v>
      </c>
      <c r="J2302" t="s">
        <v>31</v>
      </c>
      <c r="K2302" t="s">
        <v>111</v>
      </c>
      <c r="L2302" t="s">
        <v>26</v>
      </c>
      <c r="M2302" t="s">
        <v>125</v>
      </c>
      <c r="N2302" t="s">
        <v>51</v>
      </c>
      <c r="O2302">
        <v>2</v>
      </c>
      <c r="P2302">
        <v>48965</v>
      </c>
      <c r="Q2302">
        <f t="shared" si="39"/>
        <v>4.8965000000000002E-2</v>
      </c>
      <c r="R2302">
        <v>43252</v>
      </c>
      <c r="S2302" t="s">
        <v>122</v>
      </c>
    </row>
    <row r="2303" spans="1:19">
      <c r="A2303">
        <v>60000400</v>
      </c>
      <c r="B2303">
        <v>20</v>
      </c>
      <c r="C2303" t="s">
        <v>18</v>
      </c>
      <c r="D2303" t="s">
        <v>19</v>
      </c>
      <c r="E2303" t="s">
        <v>44</v>
      </c>
      <c r="F2303" t="s">
        <v>21</v>
      </c>
      <c r="G2303" s="23">
        <v>0.15</v>
      </c>
      <c r="H2303" t="s">
        <v>22</v>
      </c>
      <c r="I2303" t="s">
        <v>83</v>
      </c>
      <c r="J2303" t="s">
        <v>88</v>
      </c>
      <c r="K2303" t="s">
        <v>62</v>
      </c>
      <c r="L2303" t="s">
        <v>119</v>
      </c>
      <c r="M2303" t="s">
        <v>125</v>
      </c>
      <c r="N2303" t="s">
        <v>28</v>
      </c>
      <c r="O2303">
        <v>0</v>
      </c>
      <c r="P2303">
        <v>23504</v>
      </c>
      <c r="Q2303">
        <f t="shared" si="39"/>
        <v>2.3504000000000001E-2</v>
      </c>
      <c r="R2303">
        <v>43252</v>
      </c>
      <c r="S2303" t="s">
        <v>122</v>
      </c>
    </row>
    <row r="2304" spans="1:19">
      <c r="A2304">
        <v>60000401</v>
      </c>
      <c r="B2304">
        <v>27</v>
      </c>
      <c r="C2304" t="s">
        <v>18</v>
      </c>
      <c r="D2304" t="s">
        <v>19</v>
      </c>
      <c r="E2304" t="s">
        <v>85</v>
      </c>
      <c r="F2304" t="s">
        <v>21</v>
      </c>
      <c r="G2304" s="23">
        <v>0.12</v>
      </c>
      <c r="H2304" t="s">
        <v>22</v>
      </c>
      <c r="I2304" t="s">
        <v>76</v>
      </c>
      <c r="J2304" t="s">
        <v>74</v>
      </c>
      <c r="K2304" t="s">
        <v>99</v>
      </c>
      <c r="L2304" t="s">
        <v>26</v>
      </c>
      <c r="M2304" t="s">
        <v>125</v>
      </c>
      <c r="N2304" t="s">
        <v>28</v>
      </c>
      <c r="O2304">
        <v>0</v>
      </c>
      <c r="P2304">
        <v>28997</v>
      </c>
      <c r="Q2304">
        <f t="shared" si="39"/>
        <v>2.8996999999999998E-2</v>
      </c>
      <c r="R2304">
        <v>43252</v>
      </c>
      <c r="S2304" t="s">
        <v>122</v>
      </c>
    </row>
    <row r="2305" spans="1:19">
      <c r="A2305">
        <v>60000402</v>
      </c>
      <c r="B2305">
        <v>20</v>
      </c>
      <c r="C2305" t="s">
        <v>33</v>
      </c>
      <c r="D2305" t="s">
        <v>40</v>
      </c>
      <c r="E2305" t="s">
        <v>52</v>
      </c>
      <c r="F2305" t="s">
        <v>21</v>
      </c>
      <c r="G2305" s="23">
        <v>0.37</v>
      </c>
      <c r="H2305" t="s">
        <v>42</v>
      </c>
      <c r="I2305" t="s">
        <v>70</v>
      </c>
      <c r="J2305" t="s">
        <v>78</v>
      </c>
      <c r="K2305" t="s">
        <v>84</v>
      </c>
      <c r="L2305" t="s">
        <v>26</v>
      </c>
      <c r="M2305" t="s">
        <v>125</v>
      </c>
      <c r="N2305" t="s">
        <v>51</v>
      </c>
      <c r="O2305">
        <v>0</v>
      </c>
      <c r="P2305">
        <v>29285</v>
      </c>
      <c r="Q2305">
        <f t="shared" si="39"/>
        <v>2.9284999999999999E-2</v>
      </c>
      <c r="R2305">
        <v>43252</v>
      </c>
      <c r="S2305" t="s">
        <v>122</v>
      </c>
    </row>
    <row r="2306" spans="1:19">
      <c r="A2306">
        <v>60000403</v>
      </c>
      <c r="B2306">
        <v>58</v>
      </c>
      <c r="C2306" t="s">
        <v>18</v>
      </c>
      <c r="D2306" t="s">
        <v>19</v>
      </c>
      <c r="E2306" t="s">
        <v>48</v>
      </c>
      <c r="F2306" t="s">
        <v>21</v>
      </c>
      <c r="G2306" s="23">
        <v>0.14000000000000001</v>
      </c>
      <c r="H2306" t="s">
        <v>22</v>
      </c>
      <c r="I2306" t="s">
        <v>70</v>
      </c>
      <c r="J2306" t="s">
        <v>78</v>
      </c>
      <c r="K2306" t="s">
        <v>103</v>
      </c>
      <c r="L2306" t="s">
        <v>121</v>
      </c>
      <c r="M2306" t="s">
        <v>125</v>
      </c>
      <c r="N2306" t="s">
        <v>28</v>
      </c>
      <c r="O2306">
        <v>0</v>
      </c>
      <c r="P2306">
        <v>47552</v>
      </c>
      <c r="Q2306">
        <f t="shared" si="39"/>
        <v>4.7551999999999997E-2</v>
      </c>
      <c r="R2306">
        <v>43252</v>
      </c>
      <c r="S2306" t="s">
        <v>122</v>
      </c>
    </row>
    <row r="2307" spans="1:19">
      <c r="A2307">
        <v>60000404</v>
      </c>
      <c r="B2307">
        <v>49</v>
      </c>
      <c r="C2307" t="s">
        <v>33</v>
      </c>
      <c r="D2307" t="s">
        <v>19</v>
      </c>
      <c r="E2307" t="s">
        <v>34</v>
      </c>
      <c r="F2307" t="s">
        <v>21</v>
      </c>
      <c r="G2307" s="23">
        <v>0.36</v>
      </c>
      <c r="H2307" t="s">
        <v>42</v>
      </c>
      <c r="I2307" t="s">
        <v>80</v>
      </c>
      <c r="J2307" t="s">
        <v>66</v>
      </c>
      <c r="K2307" t="s">
        <v>104</v>
      </c>
      <c r="L2307" t="s">
        <v>121</v>
      </c>
      <c r="M2307" t="s">
        <v>125</v>
      </c>
      <c r="N2307" t="s">
        <v>51</v>
      </c>
      <c r="O2307">
        <v>7</v>
      </c>
      <c r="P2307">
        <v>69505</v>
      </c>
      <c r="Q2307">
        <f t="shared" si="39"/>
        <v>6.9504999999999997E-2</v>
      </c>
      <c r="R2307">
        <v>43252</v>
      </c>
      <c r="S2307" t="s">
        <v>122</v>
      </c>
    </row>
    <row r="2308" spans="1:19">
      <c r="A2308">
        <v>60000405</v>
      </c>
      <c r="B2308">
        <v>59</v>
      </c>
      <c r="C2308" t="s">
        <v>18</v>
      </c>
      <c r="D2308" t="s">
        <v>40</v>
      </c>
      <c r="E2308" t="s">
        <v>52</v>
      </c>
      <c r="F2308" t="s">
        <v>21</v>
      </c>
      <c r="G2308" s="23">
        <v>0.12</v>
      </c>
      <c r="H2308" t="s">
        <v>22</v>
      </c>
      <c r="I2308" t="s">
        <v>80</v>
      </c>
      <c r="J2308" t="s">
        <v>24</v>
      </c>
      <c r="K2308" t="s">
        <v>49</v>
      </c>
      <c r="L2308" t="s">
        <v>121</v>
      </c>
      <c r="M2308" t="s">
        <v>125</v>
      </c>
      <c r="N2308" t="s">
        <v>28</v>
      </c>
      <c r="O2308">
        <v>0</v>
      </c>
      <c r="P2308">
        <v>67632</v>
      </c>
      <c r="Q2308">
        <f t="shared" si="39"/>
        <v>6.7631999999999998E-2</v>
      </c>
      <c r="R2308">
        <v>43252</v>
      </c>
      <c r="S2308" t="s">
        <v>122</v>
      </c>
    </row>
    <row r="2309" spans="1:19">
      <c r="A2309">
        <v>60000406</v>
      </c>
      <c r="B2309">
        <v>20</v>
      </c>
      <c r="C2309" t="s">
        <v>33</v>
      </c>
      <c r="D2309" t="s">
        <v>19</v>
      </c>
      <c r="E2309" t="s">
        <v>41</v>
      </c>
      <c r="F2309" t="s">
        <v>21</v>
      </c>
      <c r="G2309" s="23">
        <v>0.21</v>
      </c>
      <c r="H2309" t="s">
        <v>29</v>
      </c>
      <c r="I2309" t="s">
        <v>45</v>
      </c>
      <c r="J2309" t="s">
        <v>91</v>
      </c>
      <c r="K2309" t="s">
        <v>106</v>
      </c>
      <c r="L2309" t="s">
        <v>119</v>
      </c>
      <c r="M2309" t="s">
        <v>125</v>
      </c>
      <c r="N2309" t="s">
        <v>28</v>
      </c>
      <c r="O2309">
        <v>0</v>
      </c>
      <c r="P2309">
        <v>60132</v>
      </c>
      <c r="Q2309">
        <f t="shared" si="39"/>
        <v>6.0131999999999998E-2</v>
      </c>
      <c r="R2309">
        <v>43252</v>
      </c>
      <c r="S2309" t="s">
        <v>122</v>
      </c>
    </row>
    <row r="2310" spans="1:19">
      <c r="A2310">
        <v>60000407</v>
      </c>
      <c r="B2310">
        <v>36</v>
      </c>
      <c r="C2310" t="s">
        <v>33</v>
      </c>
      <c r="D2310" t="s">
        <v>40</v>
      </c>
      <c r="E2310" t="s">
        <v>64</v>
      </c>
      <c r="F2310" t="s">
        <v>21</v>
      </c>
      <c r="G2310" s="23">
        <v>0.38</v>
      </c>
      <c r="H2310" t="s">
        <v>42</v>
      </c>
      <c r="I2310" t="s">
        <v>37</v>
      </c>
      <c r="J2310" t="s">
        <v>46</v>
      </c>
      <c r="K2310" t="s">
        <v>107</v>
      </c>
      <c r="L2310" t="s">
        <v>26</v>
      </c>
      <c r="M2310" t="s">
        <v>125</v>
      </c>
      <c r="N2310" t="s">
        <v>51</v>
      </c>
      <c r="O2310">
        <v>6</v>
      </c>
      <c r="P2310">
        <v>81351</v>
      </c>
      <c r="Q2310">
        <f t="shared" si="39"/>
        <v>8.1351000000000007E-2</v>
      </c>
      <c r="R2310">
        <v>43252</v>
      </c>
      <c r="S2310" t="s">
        <v>122</v>
      </c>
    </row>
    <row r="2311" spans="1:19">
      <c r="A2311">
        <v>60000408</v>
      </c>
      <c r="B2311">
        <v>62</v>
      </c>
      <c r="C2311" t="s">
        <v>18</v>
      </c>
      <c r="D2311" t="s">
        <v>19</v>
      </c>
      <c r="E2311" t="s">
        <v>34</v>
      </c>
      <c r="F2311" t="s">
        <v>21</v>
      </c>
      <c r="G2311" s="23">
        <v>0.32</v>
      </c>
      <c r="H2311" t="s">
        <v>42</v>
      </c>
      <c r="I2311" t="s">
        <v>37</v>
      </c>
      <c r="J2311" t="s">
        <v>58</v>
      </c>
      <c r="K2311" t="s">
        <v>62</v>
      </c>
      <c r="L2311" t="s">
        <v>26</v>
      </c>
      <c r="M2311" t="s">
        <v>125</v>
      </c>
      <c r="N2311" t="s">
        <v>51</v>
      </c>
      <c r="O2311">
        <v>1</v>
      </c>
      <c r="P2311">
        <v>56880</v>
      </c>
      <c r="Q2311">
        <f t="shared" si="39"/>
        <v>5.688E-2</v>
      </c>
      <c r="R2311">
        <v>43252</v>
      </c>
      <c r="S2311" t="s">
        <v>122</v>
      </c>
    </row>
    <row r="2312" spans="1:19">
      <c r="A2312">
        <v>60000409</v>
      </c>
      <c r="B2312">
        <v>37</v>
      </c>
      <c r="C2312" t="s">
        <v>33</v>
      </c>
      <c r="D2312" t="s">
        <v>40</v>
      </c>
      <c r="E2312" t="s">
        <v>41</v>
      </c>
      <c r="F2312" t="s">
        <v>21</v>
      </c>
      <c r="G2312" s="23">
        <v>0.3</v>
      </c>
      <c r="H2312" t="s">
        <v>53</v>
      </c>
      <c r="I2312" t="s">
        <v>70</v>
      </c>
      <c r="J2312" t="s">
        <v>54</v>
      </c>
      <c r="K2312" t="s">
        <v>111</v>
      </c>
      <c r="L2312" t="s">
        <v>119</v>
      </c>
      <c r="M2312" t="s">
        <v>125</v>
      </c>
      <c r="N2312" t="s">
        <v>51</v>
      </c>
      <c r="O2312">
        <v>1</v>
      </c>
      <c r="P2312">
        <v>58453</v>
      </c>
      <c r="Q2312">
        <f t="shared" si="39"/>
        <v>5.8452999999999998E-2</v>
      </c>
      <c r="R2312">
        <v>43252</v>
      </c>
      <c r="S2312" t="s">
        <v>122</v>
      </c>
    </row>
    <row r="2313" spans="1:19">
      <c r="A2313">
        <v>60000410</v>
      </c>
      <c r="B2313">
        <v>54</v>
      </c>
      <c r="C2313" t="s">
        <v>33</v>
      </c>
      <c r="D2313" t="s">
        <v>40</v>
      </c>
      <c r="E2313" t="s">
        <v>20</v>
      </c>
      <c r="F2313" t="s">
        <v>21</v>
      </c>
      <c r="G2313" s="23">
        <v>0.2</v>
      </c>
      <c r="H2313" t="s">
        <v>29</v>
      </c>
      <c r="I2313" t="s">
        <v>65</v>
      </c>
      <c r="J2313" t="s">
        <v>61</v>
      </c>
      <c r="K2313" t="s">
        <v>92</v>
      </c>
      <c r="L2313" t="s">
        <v>119</v>
      </c>
      <c r="M2313" t="s">
        <v>125</v>
      </c>
      <c r="N2313" t="s">
        <v>51</v>
      </c>
      <c r="O2313">
        <v>5</v>
      </c>
      <c r="P2313">
        <v>67984</v>
      </c>
      <c r="Q2313">
        <f t="shared" si="39"/>
        <v>6.7984000000000003E-2</v>
      </c>
      <c r="R2313">
        <v>43252</v>
      </c>
      <c r="S2313" t="s">
        <v>122</v>
      </c>
    </row>
    <row r="2314" spans="1:19">
      <c r="A2314">
        <v>60000411</v>
      </c>
      <c r="B2314">
        <v>55</v>
      </c>
      <c r="C2314" t="s">
        <v>18</v>
      </c>
      <c r="D2314" t="s">
        <v>19</v>
      </c>
      <c r="E2314" t="s">
        <v>44</v>
      </c>
      <c r="F2314" t="s">
        <v>21</v>
      </c>
      <c r="G2314" s="23">
        <v>0.32</v>
      </c>
      <c r="H2314" t="s">
        <v>42</v>
      </c>
      <c r="I2314" t="s">
        <v>83</v>
      </c>
      <c r="J2314" t="s">
        <v>61</v>
      </c>
      <c r="K2314" t="s">
        <v>90</v>
      </c>
      <c r="L2314" t="s">
        <v>26</v>
      </c>
      <c r="M2314" t="s">
        <v>125</v>
      </c>
      <c r="N2314" t="s">
        <v>51</v>
      </c>
      <c r="O2314">
        <v>1</v>
      </c>
      <c r="P2314">
        <v>72612</v>
      </c>
      <c r="Q2314">
        <f t="shared" si="39"/>
        <v>7.2611999999999996E-2</v>
      </c>
      <c r="R2314">
        <v>43252</v>
      </c>
      <c r="S2314" t="s">
        <v>122</v>
      </c>
    </row>
    <row r="2315" spans="1:19">
      <c r="A2315">
        <v>60000412</v>
      </c>
      <c r="B2315">
        <v>30</v>
      </c>
      <c r="C2315" t="s">
        <v>33</v>
      </c>
      <c r="D2315" t="s">
        <v>40</v>
      </c>
      <c r="E2315" t="s">
        <v>72</v>
      </c>
      <c r="F2315" t="s">
        <v>21</v>
      </c>
      <c r="G2315" s="23">
        <v>0.33</v>
      </c>
      <c r="H2315" t="s">
        <v>42</v>
      </c>
      <c r="I2315" t="s">
        <v>86</v>
      </c>
      <c r="J2315" t="s">
        <v>54</v>
      </c>
      <c r="K2315" t="s">
        <v>102</v>
      </c>
      <c r="L2315" t="s">
        <v>121</v>
      </c>
      <c r="M2315" t="s">
        <v>125</v>
      </c>
      <c r="N2315" t="s">
        <v>28</v>
      </c>
      <c r="O2315">
        <v>0</v>
      </c>
      <c r="P2315">
        <v>27132</v>
      </c>
      <c r="Q2315">
        <f t="shared" si="39"/>
        <v>2.7132E-2</v>
      </c>
      <c r="R2315">
        <v>43252</v>
      </c>
      <c r="S2315" t="s">
        <v>122</v>
      </c>
    </row>
    <row r="2316" spans="1:19">
      <c r="A2316">
        <v>60000413</v>
      </c>
      <c r="B2316">
        <v>48</v>
      </c>
      <c r="C2316" t="s">
        <v>18</v>
      </c>
      <c r="D2316" t="s">
        <v>40</v>
      </c>
      <c r="E2316" t="s">
        <v>85</v>
      </c>
      <c r="F2316" t="s">
        <v>21</v>
      </c>
      <c r="G2316" s="23">
        <v>0.36</v>
      </c>
      <c r="H2316" t="s">
        <v>42</v>
      </c>
      <c r="I2316" t="s">
        <v>73</v>
      </c>
      <c r="J2316" t="s">
        <v>58</v>
      </c>
      <c r="K2316" t="s">
        <v>97</v>
      </c>
      <c r="L2316" t="s">
        <v>26</v>
      </c>
      <c r="M2316" t="s">
        <v>125</v>
      </c>
      <c r="N2316" t="s">
        <v>28</v>
      </c>
      <c r="O2316">
        <v>0</v>
      </c>
      <c r="P2316">
        <v>42131</v>
      </c>
      <c r="Q2316">
        <f t="shared" si="39"/>
        <v>4.2131000000000002E-2</v>
      </c>
      <c r="R2316">
        <v>43252</v>
      </c>
      <c r="S2316" t="s">
        <v>122</v>
      </c>
    </row>
    <row r="2317" spans="1:19">
      <c r="A2317">
        <v>60000414</v>
      </c>
      <c r="B2317">
        <v>57</v>
      </c>
      <c r="C2317" t="s">
        <v>33</v>
      </c>
      <c r="D2317" t="s">
        <v>19</v>
      </c>
      <c r="E2317" t="s">
        <v>67</v>
      </c>
      <c r="F2317" t="s">
        <v>21</v>
      </c>
      <c r="G2317" s="23">
        <v>0.21</v>
      </c>
      <c r="H2317" t="s">
        <v>29</v>
      </c>
      <c r="I2317" t="s">
        <v>70</v>
      </c>
      <c r="J2317" t="s">
        <v>46</v>
      </c>
      <c r="K2317" t="s">
        <v>79</v>
      </c>
      <c r="L2317" t="s">
        <v>119</v>
      </c>
      <c r="M2317" t="s">
        <v>125</v>
      </c>
      <c r="N2317" t="s">
        <v>51</v>
      </c>
      <c r="O2317">
        <v>4</v>
      </c>
      <c r="P2317">
        <v>31293</v>
      </c>
      <c r="Q2317">
        <f t="shared" si="39"/>
        <v>3.1293000000000001E-2</v>
      </c>
      <c r="R2317">
        <v>43252</v>
      </c>
      <c r="S2317" t="s">
        <v>122</v>
      </c>
    </row>
    <row r="2318" spans="1:19">
      <c r="A2318">
        <v>60000415</v>
      </c>
      <c r="B2318">
        <v>36</v>
      </c>
      <c r="C2318" t="s">
        <v>18</v>
      </c>
      <c r="D2318" t="s">
        <v>19</v>
      </c>
      <c r="E2318" t="s">
        <v>64</v>
      </c>
      <c r="F2318" t="s">
        <v>21</v>
      </c>
      <c r="G2318" s="23">
        <v>0.28000000000000003</v>
      </c>
      <c r="H2318" t="s">
        <v>53</v>
      </c>
      <c r="I2318" t="s">
        <v>57</v>
      </c>
      <c r="J2318" t="s">
        <v>61</v>
      </c>
      <c r="K2318" t="s">
        <v>102</v>
      </c>
      <c r="L2318" t="s">
        <v>26</v>
      </c>
      <c r="M2318" t="s">
        <v>125</v>
      </c>
      <c r="N2318" t="s">
        <v>51</v>
      </c>
      <c r="O2318">
        <v>4</v>
      </c>
      <c r="P2318">
        <v>50744</v>
      </c>
      <c r="Q2318">
        <f t="shared" si="39"/>
        <v>5.0743999999999997E-2</v>
      </c>
      <c r="R2318">
        <v>43252</v>
      </c>
      <c r="S2318" t="s">
        <v>122</v>
      </c>
    </row>
    <row r="2319" spans="1:19">
      <c r="A2319">
        <v>60000416</v>
      </c>
      <c r="B2319">
        <v>54</v>
      </c>
      <c r="C2319" t="s">
        <v>18</v>
      </c>
      <c r="D2319" t="s">
        <v>40</v>
      </c>
      <c r="E2319" t="s">
        <v>34</v>
      </c>
      <c r="F2319" t="s">
        <v>21</v>
      </c>
      <c r="G2319" s="23">
        <v>0.3</v>
      </c>
      <c r="H2319" t="s">
        <v>53</v>
      </c>
      <c r="I2319" t="s">
        <v>68</v>
      </c>
      <c r="J2319" t="s">
        <v>61</v>
      </c>
      <c r="K2319" t="s">
        <v>117</v>
      </c>
      <c r="L2319" t="s">
        <v>121</v>
      </c>
      <c r="M2319" t="s">
        <v>125</v>
      </c>
      <c r="N2319" t="s">
        <v>28</v>
      </c>
      <c r="O2319">
        <v>0</v>
      </c>
      <c r="P2319">
        <v>27824</v>
      </c>
      <c r="Q2319">
        <f t="shared" si="39"/>
        <v>2.7824000000000002E-2</v>
      </c>
      <c r="R2319">
        <v>43252</v>
      </c>
      <c r="S2319" t="s">
        <v>122</v>
      </c>
    </row>
    <row r="2320" spans="1:19">
      <c r="A2320">
        <v>60000417</v>
      </c>
      <c r="B2320">
        <v>40</v>
      </c>
      <c r="C2320" t="s">
        <v>18</v>
      </c>
      <c r="D2320" t="s">
        <v>40</v>
      </c>
      <c r="E2320" t="s">
        <v>85</v>
      </c>
      <c r="F2320" t="s">
        <v>21</v>
      </c>
      <c r="G2320" s="23">
        <v>0.19</v>
      </c>
      <c r="H2320" t="s">
        <v>29</v>
      </c>
      <c r="I2320" t="s">
        <v>45</v>
      </c>
      <c r="J2320" t="s">
        <v>54</v>
      </c>
      <c r="K2320" t="s">
        <v>107</v>
      </c>
      <c r="L2320" t="s">
        <v>26</v>
      </c>
      <c r="M2320" t="s">
        <v>125</v>
      </c>
      <c r="N2320" t="s">
        <v>51</v>
      </c>
      <c r="O2320">
        <v>3</v>
      </c>
      <c r="P2320">
        <v>37576</v>
      </c>
      <c r="Q2320">
        <f t="shared" si="39"/>
        <v>3.7575999999999998E-2</v>
      </c>
      <c r="R2320">
        <v>43252</v>
      </c>
      <c r="S2320" t="s">
        <v>122</v>
      </c>
    </row>
    <row r="2321" spans="1:19">
      <c r="A2321">
        <v>60000418</v>
      </c>
      <c r="B2321">
        <v>34</v>
      </c>
      <c r="C2321" t="s">
        <v>18</v>
      </c>
      <c r="D2321" t="s">
        <v>19</v>
      </c>
      <c r="E2321" t="s">
        <v>34</v>
      </c>
      <c r="F2321" t="s">
        <v>21</v>
      </c>
      <c r="G2321" s="23">
        <v>0.2</v>
      </c>
      <c r="H2321" t="s">
        <v>29</v>
      </c>
      <c r="I2321" t="s">
        <v>83</v>
      </c>
      <c r="J2321" t="s">
        <v>91</v>
      </c>
      <c r="K2321" t="s">
        <v>98</v>
      </c>
      <c r="L2321" t="s">
        <v>26</v>
      </c>
      <c r="M2321" t="s">
        <v>125</v>
      </c>
      <c r="N2321" t="s">
        <v>28</v>
      </c>
      <c r="O2321">
        <v>0</v>
      </c>
      <c r="P2321">
        <v>28458</v>
      </c>
      <c r="Q2321">
        <f t="shared" si="39"/>
        <v>2.8458000000000001E-2</v>
      </c>
      <c r="R2321">
        <v>43252</v>
      </c>
      <c r="S2321" t="s">
        <v>122</v>
      </c>
    </row>
    <row r="2322" spans="1:19">
      <c r="A2322">
        <v>60000419</v>
      </c>
      <c r="B2322">
        <v>30</v>
      </c>
      <c r="C2322" t="s">
        <v>18</v>
      </c>
      <c r="D2322" t="s">
        <v>40</v>
      </c>
      <c r="E2322" t="s">
        <v>44</v>
      </c>
      <c r="F2322" t="s">
        <v>21</v>
      </c>
      <c r="G2322" s="23">
        <v>0.18</v>
      </c>
      <c r="H2322" t="s">
        <v>22</v>
      </c>
      <c r="I2322" t="s">
        <v>65</v>
      </c>
      <c r="J2322" t="s">
        <v>61</v>
      </c>
      <c r="K2322" t="s">
        <v>101</v>
      </c>
      <c r="L2322" t="s">
        <v>119</v>
      </c>
      <c r="M2322" t="s">
        <v>125</v>
      </c>
      <c r="N2322" t="s">
        <v>28</v>
      </c>
      <c r="O2322">
        <v>0</v>
      </c>
      <c r="P2322">
        <v>23995</v>
      </c>
      <c r="Q2322">
        <f t="shared" si="39"/>
        <v>2.3994999999999999E-2</v>
      </c>
      <c r="R2322">
        <v>43252</v>
      </c>
      <c r="S2322" t="s">
        <v>122</v>
      </c>
    </row>
    <row r="2323" spans="1:19">
      <c r="A2323">
        <v>60000420</v>
      </c>
      <c r="B2323">
        <v>50</v>
      </c>
      <c r="C2323" t="s">
        <v>33</v>
      </c>
      <c r="D2323" t="s">
        <v>19</v>
      </c>
      <c r="E2323" t="s">
        <v>85</v>
      </c>
      <c r="F2323" t="s">
        <v>21</v>
      </c>
      <c r="G2323" s="23">
        <v>0.26</v>
      </c>
      <c r="H2323" t="s">
        <v>53</v>
      </c>
      <c r="I2323" t="s">
        <v>83</v>
      </c>
      <c r="J2323" t="s">
        <v>46</v>
      </c>
      <c r="K2323" t="s">
        <v>63</v>
      </c>
      <c r="L2323" t="s">
        <v>119</v>
      </c>
      <c r="M2323" t="s">
        <v>125</v>
      </c>
      <c r="N2323" t="s">
        <v>51</v>
      </c>
      <c r="O2323">
        <v>5</v>
      </c>
      <c r="P2323">
        <v>23626</v>
      </c>
      <c r="Q2323">
        <f t="shared" si="39"/>
        <v>2.3626000000000001E-2</v>
      </c>
      <c r="R2323">
        <v>43252</v>
      </c>
      <c r="S2323" t="s">
        <v>122</v>
      </c>
    </row>
    <row r="2324" spans="1:19">
      <c r="A2324">
        <v>60000421</v>
      </c>
      <c r="B2324">
        <v>61</v>
      </c>
      <c r="C2324" t="s">
        <v>33</v>
      </c>
      <c r="D2324" t="s">
        <v>40</v>
      </c>
      <c r="E2324" t="s">
        <v>20</v>
      </c>
      <c r="F2324" t="s">
        <v>21</v>
      </c>
      <c r="G2324" s="23">
        <v>0.1</v>
      </c>
      <c r="H2324" t="s">
        <v>36</v>
      </c>
      <c r="I2324" t="s">
        <v>68</v>
      </c>
      <c r="J2324" t="s">
        <v>24</v>
      </c>
      <c r="K2324" t="s">
        <v>104</v>
      </c>
      <c r="L2324" t="s">
        <v>121</v>
      </c>
      <c r="M2324" t="s">
        <v>125</v>
      </c>
      <c r="N2324" t="s">
        <v>51</v>
      </c>
      <c r="O2324">
        <v>5</v>
      </c>
      <c r="P2324">
        <v>24556</v>
      </c>
      <c r="Q2324">
        <f t="shared" si="39"/>
        <v>2.4556000000000001E-2</v>
      </c>
      <c r="R2324">
        <v>43252</v>
      </c>
      <c r="S2324" t="s">
        <v>122</v>
      </c>
    </row>
    <row r="2325" spans="1:19">
      <c r="A2325">
        <v>60000422</v>
      </c>
      <c r="B2325">
        <v>23</v>
      </c>
      <c r="C2325" t="s">
        <v>18</v>
      </c>
      <c r="D2325" t="s">
        <v>19</v>
      </c>
      <c r="E2325" t="s">
        <v>64</v>
      </c>
      <c r="F2325" t="s">
        <v>21</v>
      </c>
      <c r="G2325" s="23">
        <v>0.12</v>
      </c>
      <c r="H2325" t="s">
        <v>22</v>
      </c>
      <c r="I2325" t="s">
        <v>60</v>
      </c>
      <c r="J2325" t="s">
        <v>38</v>
      </c>
      <c r="K2325" t="s">
        <v>71</v>
      </c>
      <c r="L2325" t="s">
        <v>121</v>
      </c>
      <c r="M2325" t="s">
        <v>125</v>
      </c>
      <c r="N2325" t="s">
        <v>51</v>
      </c>
      <c r="O2325">
        <v>7</v>
      </c>
      <c r="P2325">
        <v>36555</v>
      </c>
      <c r="Q2325">
        <f t="shared" si="39"/>
        <v>3.6554999999999997E-2</v>
      </c>
      <c r="R2325">
        <v>43252</v>
      </c>
      <c r="S2325" t="s">
        <v>122</v>
      </c>
    </row>
    <row r="2326" spans="1:19">
      <c r="A2326">
        <v>60000423</v>
      </c>
      <c r="B2326">
        <v>33</v>
      </c>
      <c r="C2326" t="s">
        <v>33</v>
      </c>
      <c r="D2326" t="s">
        <v>19</v>
      </c>
      <c r="E2326" t="s">
        <v>44</v>
      </c>
      <c r="F2326" t="s">
        <v>21</v>
      </c>
      <c r="G2326" s="23">
        <v>0.3</v>
      </c>
      <c r="H2326" t="s">
        <v>53</v>
      </c>
      <c r="I2326" t="s">
        <v>83</v>
      </c>
      <c r="J2326" t="s">
        <v>31</v>
      </c>
      <c r="K2326" t="s">
        <v>115</v>
      </c>
      <c r="L2326" t="s">
        <v>119</v>
      </c>
      <c r="M2326" t="s">
        <v>125</v>
      </c>
      <c r="N2326" t="s">
        <v>28</v>
      </c>
      <c r="O2326">
        <v>0</v>
      </c>
      <c r="P2326">
        <v>61440</v>
      </c>
      <c r="Q2326">
        <f t="shared" si="39"/>
        <v>6.1440000000000002E-2</v>
      </c>
      <c r="R2326">
        <v>43252</v>
      </c>
      <c r="S2326" t="s">
        <v>122</v>
      </c>
    </row>
    <row r="2327" spans="1:19">
      <c r="A2327">
        <v>60000424</v>
      </c>
      <c r="B2327">
        <v>22</v>
      </c>
      <c r="C2327" t="s">
        <v>33</v>
      </c>
      <c r="D2327" t="s">
        <v>40</v>
      </c>
      <c r="E2327" t="s">
        <v>41</v>
      </c>
      <c r="F2327" t="s">
        <v>21</v>
      </c>
      <c r="G2327" s="23">
        <v>0.16</v>
      </c>
      <c r="H2327" t="s">
        <v>22</v>
      </c>
      <c r="I2327" t="s">
        <v>68</v>
      </c>
      <c r="J2327" t="s">
        <v>58</v>
      </c>
      <c r="K2327" t="s">
        <v>89</v>
      </c>
      <c r="L2327" t="s">
        <v>119</v>
      </c>
      <c r="M2327" t="s">
        <v>125</v>
      </c>
      <c r="N2327" t="s">
        <v>51</v>
      </c>
      <c r="O2327">
        <v>7</v>
      </c>
      <c r="P2327">
        <v>38307</v>
      </c>
      <c r="Q2327">
        <f t="shared" si="39"/>
        <v>3.8307000000000001E-2</v>
      </c>
      <c r="R2327">
        <v>43252</v>
      </c>
      <c r="S2327" t="s">
        <v>122</v>
      </c>
    </row>
    <row r="2328" spans="1:19">
      <c r="A2328">
        <v>60000425</v>
      </c>
      <c r="B2328">
        <v>55</v>
      </c>
      <c r="C2328" t="s">
        <v>33</v>
      </c>
      <c r="D2328" t="s">
        <v>19</v>
      </c>
      <c r="E2328" t="s">
        <v>34</v>
      </c>
      <c r="F2328" t="s">
        <v>21</v>
      </c>
      <c r="G2328" s="23">
        <v>0.24</v>
      </c>
      <c r="H2328" t="s">
        <v>29</v>
      </c>
      <c r="I2328" t="s">
        <v>86</v>
      </c>
      <c r="J2328" t="s">
        <v>46</v>
      </c>
      <c r="K2328" t="s">
        <v>62</v>
      </c>
      <c r="L2328" t="s">
        <v>26</v>
      </c>
      <c r="M2328" t="s">
        <v>125</v>
      </c>
      <c r="N2328" t="s">
        <v>28</v>
      </c>
      <c r="O2328">
        <v>0</v>
      </c>
      <c r="P2328">
        <v>49359</v>
      </c>
      <c r="Q2328">
        <f t="shared" si="39"/>
        <v>4.9359E-2</v>
      </c>
      <c r="R2328">
        <v>43252</v>
      </c>
      <c r="S2328" t="s">
        <v>122</v>
      </c>
    </row>
    <row r="2329" spans="1:19">
      <c r="A2329">
        <v>60000426</v>
      </c>
      <c r="B2329">
        <v>34</v>
      </c>
      <c r="C2329" t="s">
        <v>33</v>
      </c>
      <c r="D2329" t="s">
        <v>40</v>
      </c>
      <c r="E2329" t="s">
        <v>41</v>
      </c>
      <c r="F2329" t="s">
        <v>21</v>
      </c>
      <c r="G2329" s="23">
        <v>0.1</v>
      </c>
      <c r="H2329" t="s">
        <v>36</v>
      </c>
      <c r="I2329" t="s">
        <v>65</v>
      </c>
      <c r="J2329" t="s">
        <v>61</v>
      </c>
      <c r="K2329" t="s">
        <v>32</v>
      </c>
      <c r="L2329" t="s">
        <v>121</v>
      </c>
      <c r="M2329" t="s">
        <v>125</v>
      </c>
      <c r="N2329" t="s">
        <v>51</v>
      </c>
      <c r="O2329">
        <v>4</v>
      </c>
      <c r="P2329">
        <v>73142</v>
      </c>
      <c r="Q2329">
        <f t="shared" si="39"/>
        <v>7.3141999999999999E-2</v>
      </c>
      <c r="R2329">
        <v>43252</v>
      </c>
      <c r="S2329" t="s">
        <v>122</v>
      </c>
    </row>
    <row r="2330" spans="1:19">
      <c r="A2330">
        <v>60000427</v>
      </c>
      <c r="B2330">
        <v>49</v>
      </c>
      <c r="C2330" t="s">
        <v>33</v>
      </c>
      <c r="D2330" t="s">
        <v>40</v>
      </c>
      <c r="E2330" t="s">
        <v>48</v>
      </c>
      <c r="F2330" t="s">
        <v>21</v>
      </c>
      <c r="G2330" s="23">
        <v>0.22</v>
      </c>
      <c r="H2330" t="s">
        <v>29</v>
      </c>
      <c r="I2330" t="s">
        <v>30</v>
      </c>
      <c r="J2330" t="s">
        <v>31</v>
      </c>
      <c r="K2330" t="s">
        <v>63</v>
      </c>
      <c r="L2330" t="s">
        <v>26</v>
      </c>
      <c r="M2330" t="s">
        <v>125</v>
      </c>
      <c r="N2330" t="s">
        <v>51</v>
      </c>
      <c r="O2330">
        <v>4</v>
      </c>
      <c r="P2330">
        <v>36101</v>
      </c>
      <c r="Q2330">
        <f t="shared" si="39"/>
        <v>3.6101000000000001E-2</v>
      </c>
      <c r="R2330">
        <v>43252</v>
      </c>
      <c r="S2330" t="s">
        <v>122</v>
      </c>
    </row>
    <row r="2331" spans="1:19">
      <c r="A2331">
        <v>60000428</v>
      </c>
      <c r="B2331">
        <v>47</v>
      </c>
      <c r="C2331" t="s">
        <v>33</v>
      </c>
      <c r="D2331" t="s">
        <v>40</v>
      </c>
      <c r="E2331" t="s">
        <v>72</v>
      </c>
      <c r="F2331" t="s">
        <v>21</v>
      </c>
      <c r="G2331" s="23">
        <v>0.35</v>
      </c>
      <c r="H2331" t="s">
        <v>42</v>
      </c>
      <c r="I2331" t="s">
        <v>62</v>
      </c>
      <c r="J2331" t="s">
        <v>91</v>
      </c>
      <c r="K2331" t="s">
        <v>55</v>
      </c>
      <c r="L2331" t="s">
        <v>119</v>
      </c>
      <c r="M2331" t="s">
        <v>125</v>
      </c>
      <c r="N2331" t="s">
        <v>51</v>
      </c>
      <c r="O2331">
        <v>5</v>
      </c>
      <c r="P2331">
        <v>25090</v>
      </c>
      <c r="Q2331">
        <f t="shared" si="39"/>
        <v>2.5090000000000001E-2</v>
      </c>
      <c r="R2331">
        <v>43252</v>
      </c>
      <c r="S2331" t="s">
        <v>122</v>
      </c>
    </row>
    <row r="2332" spans="1:19">
      <c r="A2332">
        <v>60000429</v>
      </c>
      <c r="B2332">
        <v>36</v>
      </c>
      <c r="C2332" t="s">
        <v>18</v>
      </c>
      <c r="D2332" t="s">
        <v>40</v>
      </c>
      <c r="E2332" t="s">
        <v>34</v>
      </c>
      <c r="F2332" t="s">
        <v>21</v>
      </c>
      <c r="G2332" s="23">
        <v>0.33</v>
      </c>
      <c r="H2332" t="s">
        <v>42</v>
      </c>
      <c r="I2332" t="s">
        <v>49</v>
      </c>
      <c r="J2332" t="s">
        <v>66</v>
      </c>
      <c r="K2332" t="s">
        <v>117</v>
      </c>
      <c r="L2332" t="s">
        <v>119</v>
      </c>
      <c r="M2332" t="s">
        <v>125</v>
      </c>
      <c r="N2332" t="s">
        <v>28</v>
      </c>
      <c r="O2332">
        <v>0</v>
      </c>
      <c r="P2332">
        <v>41042</v>
      </c>
      <c r="Q2332">
        <f t="shared" si="39"/>
        <v>4.1042000000000002E-2</v>
      </c>
      <c r="R2332">
        <v>43252</v>
      </c>
      <c r="S2332" t="s">
        <v>122</v>
      </c>
    </row>
    <row r="2333" spans="1:19">
      <c r="A2333">
        <v>60000430</v>
      </c>
      <c r="B2333">
        <v>29</v>
      </c>
      <c r="C2333" t="s">
        <v>18</v>
      </c>
      <c r="D2333" t="s">
        <v>40</v>
      </c>
      <c r="E2333" t="s">
        <v>48</v>
      </c>
      <c r="F2333" t="s">
        <v>21</v>
      </c>
      <c r="G2333" s="23">
        <v>0.21</v>
      </c>
      <c r="H2333" t="s">
        <v>29</v>
      </c>
      <c r="I2333" t="s">
        <v>49</v>
      </c>
      <c r="J2333" t="s">
        <v>38</v>
      </c>
      <c r="K2333" t="s">
        <v>110</v>
      </c>
      <c r="L2333" t="s">
        <v>26</v>
      </c>
      <c r="M2333" t="s">
        <v>125</v>
      </c>
      <c r="N2333" t="s">
        <v>28</v>
      </c>
      <c r="O2333">
        <v>0</v>
      </c>
      <c r="P2333">
        <v>60451</v>
      </c>
      <c r="Q2333">
        <f t="shared" si="39"/>
        <v>6.0450999999999998E-2</v>
      </c>
      <c r="R2333">
        <v>43252</v>
      </c>
      <c r="S2333" t="s">
        <v>122</v>
      </c>
    </row>
    <row r="2334" spans="1:19">
      <c r="A2334">
        <v>60000431</v>
      </c>
      <c r="B2334">
        <v>54</v>
      </c>
      <c r="C2334" t="s">
        <v>18</v>
      </c>
      <c r="D2334" t="s">
        <v>40</v>
      </c>
      <c r="E2334" t="s">
        <v>41</v>
      </c>
      <c r="F2334" t="s">
        <v>21</v>
      </c>
      <c r="G2334" s="23">
        <v>0.12</v>
      </c>
      <c r="H2334" t="s">
        <v>22</v>
      </c>
      <c r="I2334" t="s">
        <v>86</v>
      </c>
      <c r="J2334" t="s">
        <v>69</v>
      </c>
      <c r="K2334" t="s">
        <v>83</v>
      </c>
      <c r="L2334" t="s">
        <v>26</v>
      </c>
      <c r="M2334" t="s">
        <v>125</v>
      </c>
      <c r="N2334" t="s">
        <v>51</v>
      </c>
      <c r="O2334">
        <v>6</v>
      </c>
      <c r="P2334">
        <v>26178</v>
      </c>
      <c r="Q2334">
        <f t="shared" si="39"/>
        <v>2.6178E-2</v>
      </c>
      <c r="R2334">
        <v>43252</v>
      </c>
      <c r="S2334" t="s">
        <v>122</v>
      </c>
    </row>
    <row r="2335" spans="1:19">
      <c r="A2335">
        <v>60000432</v>
      </c>
      <c r="B2335">
        <v>31</v>
      </c>
      <c r="C2335" t="s">
        <v>33</v>
      </c>
      <c r="D2335" t="s">
        <v>19</v>
      </c>
      <c r="E2335" t="s">
        <v>75</v>
      </c>
      <c r="F2335" t="s">
        <v>21</v>
      </c>
      <c r="G2335" s="23">
        <v>0.22</v>
      </c>
      <c r="H2335" t="s">
        <v>29</v>
      </c>
      <c r="I2335" t="s">
        <v>60</v>
      </c>
      <c r="J2335" t="s">
        <v>66</v>
      </c>
      <c r="K2335" t="s">
        <v>55</v>
      </c>
      <c r="L2335" t="s">
        <v>26</v>
      </c>
      <c r="M2335" t="s">
        <v>125</v>
      </c>
      <c r="N2335" t="s">
        <v>51</v>
      </c>
      <c r="O2335">
        <v>1</v>
      </c>
      <c r="P2335">
        <v>57367</v>
      </c>
      <c r="Q2335">
        <f t="shared" si="39"/>
        <v>5.7367000000000001E-2</v>
      </c>
      <c r="R2335">
        <v>43252</v>
      </c>
      <c r="S2335" t="s">
        <v>122</v>
      </c>
    </row>
    <row r="2336" spans="1:19">
      <c r="A2336">
        <v>60000433</v>
      </c>
      <c r="B2336">
        <v>29</v>
      </c>
      <c r="C2336" t="s">
        <v>18</v>
      </c>
      <c r="D2336" t="s">
        <v>40</v>
      </c>
      <c r="E2336" t="s">
        <v>44</v>
      </c>
      <c r="F2336" t="s">
        <v>21</v>
      </c>
      <c r="G2336" s="23">
        <v>0.33</v>
      </c>
      <c r="H2336" t="s">
        <v>42</v>
      </c>
      <c r="I2336" t="s">
        <v>70</v>
      </c>
      <c r="J2336" t="s">
        <v>91</v>
      </c>
      <c r="K2336" t="s">
        <v>47</v>
      </c>
      <c r="L2336" t="s">
        <v>121</v>
      </c>
      <c r="M2336" t="s">
        <v>125</v>
      </c>
      <c r="N2336" t="s">
        <v>28</v>
      </c>
      <c r="O2336">
        <v>0</v>
      </c>
      <c r="P2336">
        <v>70761</v>
      </c>
      <c r="Q2336">
        <f t="shared" si="39"/>
        <v>7.0761000000000004E-2</v>
      </c>
      <c r="R2336">
        <v>43252</v>
      </c>
      <c r="S2336" t="s">
        <v>122</v>
      </c>
    </row>
    <row r="2337" spans="1:19">
      <c r="A2337">
        <v>60000434</v>
      </c>
      <c r="B2337">
        <v>51</v>
      </c>
      <c r="C2337" t="s">
        <v>18</v>
      </c>
      <c r="D2337" t="s">
        <v>19</v>
      </c>
      <c r="E2337" t="s">
        <v>56</v>
      </c>
      <c r="F2337" t="s">
        <v>21</v>
      </c>
      <c r="G2337" s="23">
        <v>0.13</v>
      </c>
      <c r="H2337" t="s">
        <v>22</v>
      </c>
      <c r="I2337" t="s">
        <v>65</v>
      </c>
      <c r="J2337" t="s">
        <v>88</v>
      </c>
      <c r="K2337" t="s">
        <v>118</v>
      </c>
      <c r="L2337" t="s">
        <v>26</v>
      </c>
      <c r="M2337" t="s">
        <v>125</v>
      </c>
      <c r="N2337" t="s">
        <v>51</v>
      </c>
      <c r="O2337">
        <v>2</v>
      </c>
      <c r="P2337">
        <v>26855</v>
      </c>
      <c r="Q2337">
        <f t="shared" si="39"/>
        <v>2.6855E-2</v>
      </c>
      <c r="R2337">
        <v>43252</v>
      </c>
      <c r="S2337" t="s">
        <v>122</v>
      </c>
    </row>
    <row r="2338" spans="1:19">
      <c r="A2338">
        <v>60000435</v>
      </c>
      <c r="B2338">
        <v>50</v>
      </c>
      <c r="C2338" t="s">
        <v>33</v>
      </c>
      <c r="D2338" t="s">
        <v>19</v>
      </c>
      <c r="E2338" t="s">
        <v>34</v>
      </c>
      <c r="F2338" t="s">
        <v>21</v>
      </c>
      <c r="G2338" s="23">
        <v>0.33</v>
      </c>
      <c r="H2338" t="s">
        <v>42</v>
      </c>
      <c r="I2338" t="s">
        <v>62</v>
      </c>
      <c r="J2338" t="s">
        <v>31</v>
      </c>
      <c r="K2338" t="s">
        <v>55</v>
      </c>
      <c r="L2338" t="s">
        <v>121</v>
      </c>
      <c r="M2338" t="s">
        <v>125</v>
      </c>
      <c r="N2338" t="s">
        <v>28</v>
      </c>
      <c r="O2338">
        <v>0</v>
      </c>
      <c r="P2338">
        <v>78889</v>
      </c>
      <c r="Q2338">
        <f t="shared" si="39"/>
        <v>7.8889000000000001E-2</v>
      </c>
      <c r="R2338">
        <v>43252</v>
      </c>
      <c r="S2338" t="s">
        <v>122</v>
      </c>
    </row>
    <row r="2339" spans="1:19">
      <c r="A2339">
        <v>60000436</v>
      </c>
      <c r="B2339">
        <v>65</v>
      </c>
      <c r="C2339" t="s">
        <v>33</v>
      </c>
      <c r="D2339" t="s">
        <v>19</v>
      </c>
      <c r="E2339" t="s">
        <v>41</v>
      </c>
      <c r="F2339" t="s">
        <v>21</v>
      </c>
      <c r="G2339" s="23">
        <v>0.38</v>
      </c>
      <c r="H2339" t="s">
        <v>42</v>
      </c>
      <c r="I2339" t="s">
        <v>68</v>
      </c>
      <c r="J2339" t="s">
        <v>91</v>
      </c>
      <c r="K2339" t="s">
        <v>49</v>
      </c>
      <c r="L2339" t="s">
        <v>119</v>
      </c>
      <c r="M2339" t="s">
        <v>125</v>
      </c>
      <c r="N2339" t="s">
        <v>51</v>
      </c>
      <c r="O2339">
        <v>3</v>
      </c>
      <c r="P2339">
        <v>34581</v>
      </c>
      <c r="Q2339">
        <f t="shared" si="39"/>
        <v>3.4581000000000001E-2</v>
      </c>
      <c r="R2339">
        <v>43252</v>
      </c>
      <c r="S2339" t="s">
        <v>122</v>
      </c>
    </row>
    <row r="2340" spans="1:19">
      <c r="A2340">
        <v>60000437</v>
      </c>
      <c r="B2340">
        <v>55</v>
      </c>
      <c r="C2340" t="s">
        <v>18</v>
      </c>
      <c r="D2340" t="s">
        <v>40</v>
      </c>
      <c r="E2340" t="s">
        <v>44</v>
      </c>
      <c r="F2340" t="s">
        <v>21</v>
      </c>
      <c r="G2340" s="23">
        <v>0.37</v>
      </c>
      <c r="H2340" t="s">
        <v>42</v>
      </c>
      <c r="I2340" t="s">
        <v>73</v>
      </c>
      <c r="J2340" t="s">
        <v>69</v>
      </c>
      <c r="K2340" t="s">
        <v>87</v>
      </c>
      <c r="L2340" t="s">
        <v>26</v>
      </c>
      <c r="M2340" t="s">
        <v>125</v>
      </c>
      <c r="N2340" t="s">
        <v>28</v>
      </c>
      <c r="O2340">
        <v>0</v>
      </c>
      <c r="P2340">
        <v>38750</v>
      </c>
      <c r="Q2340">
        <f t="shared" si="39"/>
        <v>3.875E-2</v>
      </c>
      <c r="R2340">
        <v>43252</v>
      </c>
      <c r="S2340" t="s">
        <v>122</v>
      </c>
    </row>
    <row r="2341" spans="1:19">
      <c r="A2341">
        <v>60000438</v>
      </c>
      <c r="B2341">
        <v>26</v>
      </c>
      <c r="C2341" t="s">
        <v>18</v>
      </c>
      <c r="D2341" t="s">
        <v>40</v>
      </c>
      <c r="E2341" t="s">
        <v>52</v>
      </c>
      <c r="F2341" t="s">
        <v>21</v>
      </c>
      <c r="G2341" s="23">
        <v>0.15</v>
      </c>
      <c r="H2341" t="s">
        <v>22</v>
      </c>
      <c r="I2341" t="s">
        <v>37</v>
      </c>
      <c r="J2341" t="s">
        <v>88</v>
      </c>
      <c r="K2341" t="s">
        <v>97</v>
      </c>
      <c r="L2341" t="s">
        <v>26</v>
      </c>
      <c r="M2341" t="s">
        <v>125</v>
      </c>
      <c r="N2341" t="s">
        <v>51</v>
      </c>
      <c r="O2341">
        <v>3</v>
      </c>
      <c r="P2341">
        <v>27003</v>
      </c>
      <c r="Q2341">
        <f t="shared" si="39"/>
        <v>2.7002999999999999E-2</v>
      </c>
      <c r="R2341">
        <v>43252</v>
      </c>
      <c r="S2341" t="s">
        <v>122</v>
      </c>
    </row>
    <row r="2342" spans="1:19">
      <c r="A2342">
        <v>60000439</v>
      </c>
      <c r="B2342">
        <v>21</v>
      </c>
      <c r="C2342" t="s">
        <v>33</v>
      </c>
      <c r="D2342" t="s">
        <v>19</v>
      </c>
      <c r="E2342" t="s">
        <v>20</v>
      </c>
      <c r="F2342" t="s">
        <v>21</v>
      </c>
      <c r="G2342" s="23">
        <v>0.1</v>
      </c>
      <c r="H2342" t="s">
        <v>36</v>
      </c>
      <c r="I2342" t="s">
        <v>37</v>
      </c>
      <c r="J2342" t="s">
        <v>31</v>
      </c>
      <c r="K2342" t="s">
        <v>79</v>
      </c>
      <c r="L2342" t="s">
        <v>119</v>
      </c>
      <c r="M2342" t="s">
        <v>125</v>
      </c>
      <c r="N2342" t="s">
        <v>51</v>
      </c>
      <c r="O2342">
        <v>7</v>
      </c>
      <c r="P2342">
        <v>35593</v>
      </c>
      <c r="Q2342">
        <f t="shared" si="39"/>
        <v>3.5593E-2</v>
      </c>
      <c r="R2342">
        <v>43252</v>
      </c>
      <c r="S2342" t="s">
        <v>122</v>
      </c>
    </row>
    <row r="2343" spans="1:19">
      <c r="A2343">
        <v>60000440</v>
      </c>
      <c r="B2343">
        <v>49</v>
      </c>
      <c r="C2343" t="s">
        <v>18</v>
      </c>
      <c r="D2343" t="s">
        <v>19</v>
      </c>
      <c r="E2343" t="s">
        <v>44</v>
      </c>
      <c r="F2343" t="s">
        <v>120</v>
      </c>
      <c r="G2343" s="23">
        <v>0.18</v>
      </c>
      <c r="H2343" t="s">
        <v>22</v>
      </c>
      <c r="I2343" t="s">
        <v>65</v>
      </c>
      <c r="J2343" t="s">
        <v>24</v>
      </c>
      <c r="K2343" t="s">
        <v>111</v>
      </c>
      <c r="L2343" t="s">
        <v>121</v>
      </c>
      <c r="M2343" t="s">
        <v>125</v>
      </c>
      <c r="N2343" t="s">
        <v>51</v>
      </c>
      <c r="O2343">
        <v>4</v>
      </c>
      <c r="P2343">
        <v>54011</v>
      </c>
      <c r="Q2343">
        <f t="shared" si="39"/>
        <v>5.4011000000000003E-2</v>
      </c>
      <c r="R2343">
        <v>43252</v>
      </c>
      <c r="S2343" t="s">
        <v>122</v>
      </c>
    </row>
    <row r="2344" spans="1:19">
      <c r="A2344">
        <v>60000441</v>
      </c>
      <c r="B2344">
        <v>21</v>
      </c>
      <c r="C2344" t="s">
        <v>18</v>
      </c>
      <c r="D2344" t="s">
        <v>19</v>
      </c>
      <c r="E2344" t="s">
        <v>48</v>
      </c>
      <c r="F2344" t="s">
        <v>120</v>
      </c>
      <c r="G2344" s="23">
        <v>0.1</v>
      </c>
      <c r="H2344" t="s">
        <v>36</v>
      </c>
      <c r="I2344" t="s">
        <v>68</v>
      </c>
      <c r="J2344" t="s">
        <v>88</v>
      </c>
      <c r="K2344" t="s">
        <v>43</v>
      </c>
      <c r="L2344" t="s">
        <v>121</v>
      </c>
      <c r="M2344" t="s">
        <v>125</v>
      </c>
      <c r="N2344" t="s">
        <v>51</v>
      </c>
      <c r="O2344">
        <v>0</v>
      </c>
      <c r="P2344">
        <v>39860</v>
      </c>
      <c r="Q2344">
        <f t="shared" si="39"/>
        <v>3.986E-2</v>
      </c>
      <c r="R2344">
        <v>43252</v>
      </c>
      <c r="S2344" t="s">
        <v>122</v>
      </c>
    </row>
    <row r="2345" spans="1:19">
      <c r="A2345">
        <v>60000442</v>
      </c>
      <c r="B2345">
        <v>20</v>
      </c>
      <c r="C2345" t="s">
        <v>33</v>
      </c>
      <c r="D2345" t="s">
        <v>40</v>
      </c>
      <c r="E2345" t="s">
        <v>48</v>
      </c>
      <c r="F2345" t="s">
        <v>21</v>
      </c>
      <c r="G2345" s="23">
        <v>0.35</v>
      </c>
      <c r="H2345" t="s">
        <v>42</v>
      </c>
      <c r="I2345" t="s">
        <v>73</v>
      </c>
      <c r="J2345" t="s">
        <v>38</v>
      </c>
      <c r="K2345" t="s">
        <v>96</v>
      </c>
      <c r="L2345" t="s">
        <v>26</v>
      </c>
      <c r="M2345" t="s">
        <v>125</v>
      </c>
      <c r="N2345" t="s">
        <v>28</v>
      </c>
      <c r="O2345">
        <v>0</v>
      </c>
      <c r="P2345">
        <v>78921</v>
      </c>
      <c r="Q2345">
        <f t="shared" si="39"/>
        <v>7.8921000000000005E-2</v>
      </c>
      <c r="R2345">
        <v>43252</v>
      </c>
      <c r="S2345" t="s">
        <v>122</v>
      </c>
    </row>
    <row r="2346" spans="1:19">
      <c r="A2346">
        <v>60000443</v>
      </c>
      <c r="B2346">
        <v>63</v>
      </c>
      <c r="C2346" t="s">
        <v>33</v>
      </c>
      <c r="D2346" t="s">
        <v>40</v>
      </c>
      <c r="E2346" t="s">
        <v>41</v>
      </c>
      <c r="F2346" t="s">
        <v>21</v>
      </c>
      <c r="G2346" s="23">
        <v>0.37</v>
      </c>
      <c r="H2346" t="s">
        <v>42</v>
      </c>
      <c r="I2346" t="s">
        <v>57</v>
      </c>
      <c r="J2346" t="s">
        <v>46</v>
      </c>
      <c r="K2346" t="s">
        <v>118</v>
      </c>
      <c r="L2346" t="s">
        <v>26</v>
      </c>
      <c r="M2346" t="s">
        <v>125</v>
      </c>
      <c r="N2346" t="s">
        <v>51</v>
      </c>
      <c r="O2346">
        <v>3</v>
      </c>
      <c r="P2346">
        <v>49834</v>
      </c>
      <c r="Q2346">
        <f t="shared" si="39"/>
        <v>4.9834000000000003E-2</v>
      </c>
      <c r="R2346">
        <v>43252</v>
      </c>
      <c r="S2346" t="s">
        <v>122</v>
      </c>
    </row>
    <row r="2347" spans="1:19">
      <c r="A2347">
        <v>60000444</v>
      </c>
      <c r="B2347">
        <v>37</v>
      </c>
      <c r="C2347" t="s">
        <v>33</v>
      </c>
      <c r="D2347" t="s">
        <v>19</v>
      </c>
      <c r="E2347" t="s">
        <v>34</v>
      </c>
      <c r="F2347" t="s">
        <v>35</v>
      </c>
      <c r="G2347" s="23">
        <v>0.19</v>
      </c>
      <c r="H2347" t="s">
        <v>29</v>
      </c>
      <c r="I2347" t="s">
        <v>45</v>
      </c>
      <c r="J2347" t="s">
        <v>61</v>
      </c>
      <c r="K2347" t="s">
        <v>96</v>
      </c>
      <c r="L2347" t="s">
        <v>121</v>
      </c>
      <c r="M2347" t="s">
        <v>125</v>
      </c>
      <c r="N2347" t="s">
        <v>28</v>
      </c>
      <c r="O2347">
        <v>0</v>
      </c>
      <c r="P2347">
        <v>37822</v>
      </c>
      <c r="Q2347">
        <f t="shared" si="39"/>
        <v>3.7822000000000001E-2</v>
      </c>
      <c r="R2347">
        <v>43252</v>
      </c>
      <c r="S2347" t="s">
        <v>122</v>
      </c>
    </row>
    <row r="2348" spans="1:19">
      <c r="A2348">
        <v>60000445</v>
      </c>
      <c r="B2348">
        <v>56</v>
      </c>
      <c r="C2348" t="s">
        <v>18</v>
      </c>
      <c r="D2348" t="s">
        <v>40</v>
      </c>
      <c r="E2348" t="s">
        <v>20</v>
      </c>
      <c r="F2348" t="s">
        <v>21</v>
      </c>
      <c r="G2348" s="23">
        <v>0.3</v>
      </c>
      <c r="H2348" t="s">
        <v>53</v>
      </c>
      <c r="I2348" t="s">
        <v>73</v>
      </c>
      <c r="J2348" t="s">
        <v>74</v>
      </c>
      <c r="K2348" t="s">
        <v>81</v>
      </c>
      <c r="L2348" t="s">
        <v>121</v>
      </c>
      <c r="M2348" t="s">
        <v>125</v>
      </c>
      <c r="N2348" t="s">
        <v>28</v>
      </c>
      <c r="O2348">
        <v>0</v>
      </c>
      <c r="P2348">
        <v>38296</v>
      </c>
      <c r="Q2348">
        <f t="shared" si="39"/>
        <v>3.8295999999999997E-2</v>
      </c>
      <c r="R2348">
        <v>43252</v>
      </c>
      <c r="S2348" t="s">
        <v>122</v>
      </c>
    </row>
    <row r="2349" spans="1:19">
      <c r="A2349">
        <v>60000446</v>
      </c>
      <c r="B2349">
        <v>44</v>
      </c>
      <c r="C2349" t="s">
        <v>33</v>
      </c>
      <c r="D2349" t="s">
        <v>40</v>
      </c>
      <c r="E2349" t="s">
        <v>85</v>
      </c>
      <c r="F2349" t="s">
        <v>21</v>
      </c>
      <c r="G2349" s="23">
        <v>0.14000000000000001</v>
      </c>
      <c r="H2349" t="s">
        <v>22</v>
      </c>
      <c r="I2349" t="s">
        <v>23</v>
      </c>
      <c r="J2349" t="s">
        <v>46</v>
      </c>
      <c r="K2349" t="s">
        <v>96</v>
      </c>
      <c r="L2349" t="s">
        <v>119</v>
      </c>
      <c r="M2349" t="s">
        <v>125</v>
      </c>
      <c r="N2349" t="s">
        <v>51</v>
      </c>
      <c r="O2349">
        <v>0</v>
      </c>
      <c r="P2349">
        <v>78541</v>
      </c>
      <c r="Q2349">
        <f t="shared" si="39"/>
        <v>7.8541E-2</v>
      </c>
      <c r="R2349">
        <v>43252</v>
      </c>
      <c r="S2349" t="s">
        <v>122</v>
      </c>
    </row>
    <row r="2350" spans="1:19">
      <c r="A2350">
        <v>60000447</v>
      </c>
      <c r="B2350">
        <v>29</v>
      </c>
      <c r="C2350" t="s">
        <v>18</v>
      </c>
      <c r="D2350" t="s">
        <v>40</v>
      </c>
      <c r="E2350" t="s">
        <v>52</v>
      </c>
      <c r="F2350" t="s">
        <v>35</v>
      </c>
      <c r="G2350" s="23">
        <v>0.3</v>
      </c>
      <c r="H2350" t="s">
        <v>53</v>
      </c>
      <c r="I2350" t="s">
        <v>37</v>
      </c>
      <c r="J2350" t="s">
        <v>61</v>
      </c>
      <c r="K2350" t="s">
        <v>60</v>
      </c>
      <c r="L2350" t="s">
        <v>26</v>
      </c>
      <c r="M2350" t="s">
        <v>125</v>
      </c>
      <c r="N2350" t="s">
        <v>28</v>
      </c>
      <c r="O2350">
        <v>0</v>
      </c>
      <c r="P2350">
        <v>79092</v>
      </c>
      <c r="Q2350">
        <f t="shared" si="39"/>
        <v>7.9091999999999996E-2</v>
      </c>
      <c r="R2350">
        <v>43252</v>
      </c>
      <c r="S2350" t="s">
        <v>122</v>
      </c>
    </row>
    <row r="2351" spans="1:19">
      <c r="A2351">
        <v>60000448</v>
      </c>
      <c r="B2351">
        <v>64</v>
      </c>
      <c r="C2351" t="s">
        <v>18</v>
      </c>
      <c r="D2351" t="s">
        <v>40</v>
      </c>
      <c r="E2351" t="s">
        <v>75</v>
      </c>
      <c r="F2351" t="s">
        <v>120</v>
      </c>
      <c r="G2351" s="23">
        <v>0.18</v>
      </c>
      <c r="H2351" t="s">
        <v>22</v>
      </c>
      <c r="I2351" t="s">
        <v>68</v>
      </c>
      <c r="J2351" t="s">
        <v>69</v>
      </c>
      <c r="K2351" t="s">
        <v>97</v>
      </c>
      <c r="L2351" t="s">
        <v>26</v>
      </c>
      <c r="M2351" t="s">
        <v>125</v>
      </c>
      <c r="N2351" t="s">
        <v>51</v>
      </c>
      <c r="O2351">
        <v>7</v>
      </c>
      <c r="P2351">
        <v>76003</v>
      </c>
      <c r="Q2351">
        <f t="shared" ref="Q2351:Q2414" si="40">+P2351/1000000</f>
        <v>7.6003000000000001E-2</v>
      </c>
      <c r="R2351">
        <v>43252</v>
      </c>
      <c r="S2351" t="s">
        <v>122</v>
      </c>
    </row>
    <row r="2352" spans="1:19">
      <c r="A2352">
        <v>60000449</v>
      </c>
      <c r="B2352">
        <v>44</v>
      </c>
      <c r="C2352" t="s">
        <v>33</v>
      </c>
      <c r="D2352" t="s">
        <v>19</v>
      </c>
      <c r="E2352" t="s">
        <v>44</v>
      </c>
      <c r="F2352" t="s">
        <v>21</v>
      </c>
      <c r="G2352" s="23">
        <v>0.34</v>
      </c>
      <c r="H2352" t="s">
        <v>42</v>
      </c>
      <c r="I2352" t="s">
        <v>49</v>
      </c>
      <c r="J2352" t="s">
        <v>31</v>
      </c>
      <c r="K2352" t="s">
        <v>84</v>
      </c>
      <c r="L2352" t="s">
        <v>121</v>
      </c>
      <c r="M2352" t="s">
        <v>125</v>
      </c>
      <c r="N2352" t="s">
        <v>51</v>
      </c>
      <c r="O2352">
        <v>6</v>
      </c>
      <c r="P2352">
        <v>46543</v>
      </c>
      <c r="Q2352">
        <f t="shared" si="40"/>
        <v>4.6543000000000001E-2</v>
      </c>
      <c r="R2352">
        <v>43252</v>
      </c>
      <c r="S2352" t="s">
        <v>122</v>
      </c>
    </row>
    <row r="2353" spans="1:19">
      <c r="A2353">
        <v>60000450</v>
      </c>
      <c r="B2353">
        <v>29</v>
      </c>
      <c r="C2353" t="s">
        <v>33</v>
      </c>
      <c r="D2353" t="s">
        <v>40</v>
      </c>
      <c r="E2353" t="s">
        <v>44</v>
      </c>
      <c r="F2353" t="s">
        <v>21</v>
      </c>
      <c r="G2353" s="23">
        <v>0.18</v>
      </c>
      <c r="H2353" t="s">
        <v>22</v>
      </c>
      <c r="I2353" t="s">
        <v>62</v>
      </c>
      <c r="J2353" t="s">
        <v>54</v>
      </c>
      <c r="K2353" t="s">
        <v>99</v>
      </c>
      <c r="L2353" t="s">
        <v>119</v>
      </c>
      <c r="M2353" t="s">
        <v>125</v>
      </c>
      <c r="N2353" t="s">
        <v>28</v>
      </c>
      <c r="O2353">
        <v>0</v>
      </c>
      <c r="P2353">
        <v>81088</v>
      </c>
      <c r="Q2353">
        <f t="shared" si="40"/>
        <v>8.1087999999999993E-2</v>
      </c>
      <c r="R2353">
        <v>43252</v>
      </c>
      <c r="S2353" t="s">
        <v>122</v>
      </c>
    </row>
    <row r="2354" spans="1:19">
      <c r="A2354">
        <v>60000451</v>
      </c>
      <c r="B2354">
        <v>48</v>
      </c>
      <c r="C2354" t="s">
        <v>33</v>
      </c>
      <c r="D2354" t="s">
        <v>40</v>
      </c>
      <c r="E2354" t="s">
        <v>67</v>
      </c>
      <c r="F2354" t="s">
        <v>21</v>
      </c>
      <c r="G2354" s="23">
        <v>0.32</v>
      </c>
      <c r="H2354" t="s">
        <v>42</v>
      </c>
      <c r="I2354" t="s">
        <v>83</v>
      </c>
      <c r="J2354" t="s">
        <v>38</v>
      </c>
      <c r="K2354" t="s">
        <v>96</v>
      </c>
      <c r="L2354" t="s">
        <v>119</v>
      </c>
      <c r="M2354" t="s">
        <v>125</v>
      </c>
      <c r="N2354" t="s">
        <v>51</v>
      </c>
      <c r="O2354">
        <v>1</v>
      </c>
      <c r="P2354">
        <v>69209</v>
      </c>
      <c r="Q2354">
        <f t="shared" si="40"/>
        <v>6.9209000000000007E-2</v>
      </c>
      <c r="R2354">
        <v>43252</v>
      </c>
      <c r="S2354" t="s">
        <v>122</v>
      </c>
    </row>
    <row r="2355" spans="1:19">
      <c r="A2355">
        <v>60000452</v>
      </c>
      <c r="B2355">
        <v>23</v>
      </c>
      <c r="C2355" t="s">
        <v>18</v>
      </c>
      <c r="D2355" t="s">
        <v>40</v>
      </c>
      <c r="E2355" t="s">
        <v>67</v>
      </c>
      <c r="F2355" t="s">
        <v>35</v>
      </c>
      <c r="G2355" s="23">
        <v>0.31</v>
      </c>
      <c r="H2355" t="s">
        <v>53</v>
      </c>
      <c r="I2355" t="s">
        <v>76</v>
      </c>
      <c r="J2355" t="s">
        <v>24</v>
      </c>
      <c r="K2355" t="s">
        <v>116</v>
      </c>
      <c r="L2355" t="s">
        <v>121</v>
      </c>
      <c r="M2355" t="s">
        <v>125</v>
      </c>
      <c r="N2355" t="s">
        <v>51</v>
      </c>
      <c r="O2355">
        <v>2</v>
      </c>
      <c r="P2355">
        <v>33431</v>
      </c>
      <c r="Q2355">
        <f t="shared" si="40"/>
        <v>3.3431000000000002E-2</v>
      </c>
      <c r="R2355">
        <v>43252</v>
      </c>
      <c r="S2355" t="s">
        <v>122</v>
      </c>
    </row>
    <row r="2356" spans="1:19">
      <c r="A2356">
        <v>60000453</v>
      </c>
      <c r="B2356">
        <v>38</v>
      </c>
      <c r="C2356" t="s">
        <v>18</v>
      </c>
      <c r="D2356" t="s">
        <v>19</v>
      </c>
      <c r="E2356" t="s">
        <v>56</v>
      </c>
      <c r="F2356" t="s">
        <v>35</v>
      </c>
      <c r="G2356" s="23">
        <v>0.17</v>
      </c>
      <c r="H2356" t="s">
        <v>22</v>
      </c>
      <c r="I2356" t="s">
        <v>80</v>
      </c>
      <c r="J2356" t="s">
        <v>58</v>
      </c>
      <c r="K2356" t="s">
        <v>96</v>
      </c>
      <c r="L2356" t="s">
        <v>119</v>
      </c>
      <c r="M2356" t="s">
        <v>125</v>
      </c>
      <c r="N2356" t="s">
        <v>51</v>
      </c>
      <c r="O2356">
        <v>0</v>
      </c>
      <c r="P2356">
        <v>59716</v>
      </c>
      <c r="Q2356">
        <f t="shared" si="40"/>
        <v>5.9715999999999998E-2</v>
      </c>
      <c r="R2356">
        <v>43252</v>
      </c>
      <c r="S2356" t="s">
        <v>122</v>
      </c>
    </row>
    <row r="2357" spans="1:19">
      <c r="A2357">
        <v>60000454</v>
      </c>
      <c r="B2357">
        <v>27</v>
      </c>
      <c r="C2357" t="s">
        <v>18</v>
      </c>
      <c r="D2357" t="s">
        <v>19</v>
      </c>
      <c r="E2357" t="s">
        <v>56</v>
      </c>
      <c r="F2357" t="s">
        <v>35</v>
      </c>
      <c r="G2357" s="23">
        <v>0.32</v>
      </c>
      <c r="H2357" t="s">
        <v>42</v>
      </c>
      <c r="I2357" t="s">
        <v>23</v>
      </c>
      <c r="J2357" t="s">
        <v>66</v>
      </c>
      <c r="K2357" t="s">
        <v>49</v>
      </c>
      <c r="L2357" t="s">
        <v>119</v>
      </c>
      <c r="M2357" t="s">
        <v>125</v>
      </c>
      <c r="N2357" t="s">
        <v>51</v>
      </c>
      <c r="O2357">
        <v>4</v>
      </c>
      <c r="P2357">
        <v>84839</v>
      </c>
      <c r="Q2357">
        <f t="shared" si="40"/>
        <v>8.4838999999999998E-2</v>
      </c>
      <c r="R2357">
        <v>43252</v>
      </c>
      <c r="S2357" t="s">
        <v>122</v>
      </c>
    </row>
    <row r="2358" spans="1:19">
      <c r="A2358">
        <v>60000455</v>
      </c>
      <c r="B2358">
        <v>57</v>
      </c>
      <c r="C2358" t="s">
        <v>33</v>
      </c>
      <c r="D2358" t="s">
        <v>40</v>
      </c>
      <c r="E2358" t="s">
        <v>72</v>
      </c>
      <c r="F2358" t="s">
        <v>120</v>
      </c>
      <c r="G2358" s="23">
        <v>0.35</v>
      </c>
      <c r="H2358" t="s">
        <v>42</v>
      </c>
      <c r="I2358" t="s">
        <v>73</v>
      </c>
      <c r="J2358" t="s">
        <v>24</v>
      </c>
      <c r="K2358" t="s">
        <v>47</v>
      </c>
      <c r="L2358" t="s">
        <v>26</v>
      </c>
      <c r="M2358" t="s">
        <v>125</v>
      </c>
      <c r="N2358" t="s">
        <v>28</v>
      </c>
      <c r="O2358">
        <v>0</v>
      </c>
      <c r="P2358">
        <v>52981</v>
      </c>
      <c r="Q2358">
        <f t="shared" si="40"/>
        <v>5.2981E-2</v>
      </c>
      <c r="R2358">
        <v>43252</v>
      </c>
      <c r="S2358" t="s">
        <v>122</v>
      </c>
    </row>
    <row r="2359" spans="1:19">
      <c r="A2359">
        <v>60000456</v>
      </c>
      <c r="B2359">
        <v>27</v>
      </c>
      <c r="C2359" t="s">
        <v>18</v>
      </c>
      <c r="D2359" t="s">
        <v>19</v>
      </c>
      <c r="E2359" t="s">
        <v>56</v>
      </c>
      <c r="F2359" t="s">
        <v>21</v>
      </c>
      <c r="G2359" s="23">
        <v>0.25</v>
      </c>
      <c r="H2359" t="s">
        <v>53</v>
      </c>
      <c r="I2359" t="s">
        <v>68</v>
      </c>
      <c r="J2359" t="s">
        <v>54</v>
      </c>
      <c r="K2359" t="s">
        <v>65</v>
      </c>
      <c r="L2359" t="s">
        <v>26</v>
      </c>
      <c r="M2359" t="s">
        <v>125</v>
      </c>
      <c r="N2359" t="s">
        <v>28</v>
      </c>
      <c r="O2359">
        <v>0</v>
      </c>
      <c r="P2359">
        <v>75264</v>
      </c>
      <c r="Q2359">
        <f t="shared" si="40"/>
        <v>7.5263999999999998E-2</v>
      </c>
      <c r="R2359">
        <v>43252</v>
      </c>
      <c r="S2359" t="s">
        <v>122</v>
      </c>
    </row>
    <row r="2360" spans="1:19">
      <c r="A2360">
        <v>60000457</v>
      </c>
      <c r="B2360">
        <v>54</v>
      </c>
      <c r="C2360" t="s">
        <v>18</v>
      </c>
      <c r="D2360" t="s">
        <v>40</v>
      </c>
      <c r="E2360" t="s">
        <v>56</v>
      </c>
      <c r="F2360" t="s">
        <v>35</v>
      </c>
      <c r="G2360" s="23">
        <v>0.17</v>
      </c>
      <c r="H2360" t="s">
        <v>22</v>
      </c>
      <c r="I2360" t="s">
        <v>80</v>
      </c>
      <c r="J2360" t="s">
        <v>54</v>
      </c>
      <c r="K2360" t="s">
        <v>114</v>
      </c>
      <c r="L2360" t="s">
        <v>121</v>
      </c>
      <c r="M2360" t="s">
        <v>125</v>
      </c>
      <c r="N2360" t="s">
        <v>28</v>
      </c>
      <c r="O2360">
        <v>0</v>
      </c>
      <c r="P2360">
        <v>40112</v>
      </c>
      <c r="Q2360">
        <f t="shared" si="40"/>
        <v>4.0112000000000002E-2</v>
      </c>
      <c r="R2360">
        <v>43252</v>
      </c>
      <c r="S2360" t="s">
        <v>122</v>
      </c>
    </row>
    <row r="2361" spans="1:19">
      <c r="A2361">
        <v>60000458</v>
      </c>
      <c r="B2361">
        <v>31</v>
      </c>
      <c r="C2361" t="s">
        <v>18</v>
      </c>
      <c r="D2361" t="s">
        <v>40</v>
      </c>
      <c r="E2361" t="s">
        <v>72</v>
      </c>
      <c r="F2361" t="s">
        <v>120</v>
      </c>
      <c r="G2361" s="23">
        <v>0.32</v>
      </c>
      <c r="H2361" t="s">
        <v>42</v>
      </c>
      <c r="I2361" t="s">
        <v>76</v>
      </c>
      <c r="J2361" t="s">
        <v>74</v>
      </c>
      <c r="K2361" t="s">
        <v>25</v>
      </c>
      <c r="L2361" t="s">
        <v>121</v>
      </c>
      <c r="M2361" t="s">
        <v>125</v>
      </c>
      <c r="N2361" t="s">
        <v>51</v>
      </c>
      <c r="O2361">
        <v>1</v>
      </c>
      <c r="P2361">
        <v>35550</v>
      </c>
      <c r="Q2361">
        <f t="shared" si="40"/>
        <v>3.5549999999999998E-2</v>
      </c>
      <c r="R2361">
        <v>43252</v>
      </c>
      <c r="S2361" t="s">
        <v>122</v>
      </c>
    </row>
    <row r="2362" spans="1:19">
      <c r="A2362">
        <v>60000459</v>
      </c>
      <c r="B2362">
        <v>21</v>
      </c>
      <c r="C2362" t="s">
        <v>33</v>
      </c>
      <c r="D2362" t="s">
        <v>40</v>
      </c>
      <c r="E2362" t="s">
        <v>48</v>
      </c>
      <c r="F2362" t="s">
        <v>120</v>
      </c>
      <c r="G2362" s="23">
        <v>0.13</v>
      </c>
      <c r="H2362" t="s">
        <v>22</v>
      </c>
      <c r="I2362" t="s">
        <v>70</v>
      </c>
      <c r="J2362" t="s">
        <v>66</v>
      </c>
      <c r="K2362" t="s">
        <v>79</v>
      </c>
      <c r="L2362" t="s">
        <v>26</v>
      </c>
      <c r="M2362" t="s">
        <v>125</v>
      </c>
      <c r="N2362" t="s">
        <v>28</v>
      </c>
      <c r="O2362">
        <v>0</v>
      </c>
      <c r="P2362">
        <v>31234</v>
      </c>
      <c r="Q2362">
        <f t="shared" si="40"/>
        <v>3.1234000000000001E-2</v>
      </c>
      <c r="R2362">
        <v>43252</v>
      </c>
      <c r="S2362" t="s">
        <v>122</v>
      </c>
    </row>
    <row r="2363" spans="1:19">
      <c r="A2363">
        <v>60000460</v>
      </c>
      <c r="B2363">
        <v>24</v>
      </c>
      <c r="C2363" t="s">
        <v>18</v>
      </c>
      <c r="D2363" t="s">
        <v>19</v>
      </c>
      <c r="E2363" t="s">
        <v>48</v>
      </c>
      <c r="F2363" t="s">
        <v>21</v>
      </c>
      <c r="G2363" s="23">
        <v>0.15</v>
      </c>
      <c r="H2363" t="s">
        <v>22</v>
      </c>
      <c r="I2363" t="s">
        <v>83</v>
      </c>
      <c r="J2363" t="s">
        <v>46</v>
      </c>
      <c r="K2363" t="s">
        <v>47</v>
      </c>
      <c r="L2363" t="s">
        <v>26</v>
      </c>
      <c r="M2363" t="s">
        <v>125</v>
      </c>
      <c r="N2363" t="s">
        <v>51</v>
      </c>
      <c r="O2363">
        <v>5</v>
      </c>
      <c r="P2363">
        <v>47650</v>
      </c>
      <c r="Q2363">
        <f t="shared" si="40"/>
        <v>4.7649999999999998E-2</v>
      </c>
      <c r="R2363">
        <v>43252</v>
      </c>
      <c r="S2363" t="s">
        <v>122</v>
      </c>
    </row>
    <row r="2364" spans="1:19">
      <c r="A2364">
        <v>60000461</v>
      </c>
      <c r="B2364">
        <v>61</v>
      </c>
      <c r="C2364" t="s">
        <v>18</v>
      </c>
      <c r="D2364" t="s">
        <v>19</v>
      </c>
      <c r="E2364" t="s">
        <v>64</v>
      </c>
      <c r="F2364" t="s">
        <v>120</v>
      </c>
      <c r="G2364" s="23">
        <v>0.28999999999999998</v>
      </c>
      <c r="H2364" t="s">
        <v>53</v>
      </c>
      <c r="I2364" t="s">
        <v>68</v>
      </c>
      <c r="J2364" t="s">
        <v>24</v>
      </c>
      <c r="K2364" t="s">
        <v>25</v>
      </c>
      <c r="L2364" t="s">
        <v>119</v>
      </c>
      <c r="M2364" t="s">
        <v>125</v>
      </c>
      <c r="N2364" t="s">
        <v>28</v>
      </c>
      <c r="O2364">
        <v>0</v>
      </c>
      <c r="P2364">
        <v>74390</v>
      </c>
      <c r="Q2364">
        <f t="shared" si="40"/>
        <v>7.4389999999999998E-2</v>
      </c>
      <c r="R2364">
        <v>43252</v>
      </c>
      <c r="S2364" t="s">
        <v>122</v>
      </c>
    </row>
    <row r="2365" spans="1:19">
      <c r="A2365">
        <v>60000462</v>
      </c>
      <c r="B2365">
        <v>52</v>
      </c>
      <c r="C2365" t="s">
        <v>33</v>
      </c>
      <c r="D2365" t="s">
        <v>40</v>
      </c>
      <c r="E2365" t="s">
        <v>67</v>
      </c>
      <c r="F2365" t="s">
        <v>35</v>
      </c>
      <c r="G2365" s="23">
        <v>0.27</v>
      </c>
      <c r="H2365" t="s">
        <v>53</v>
      </c>
      <c r="I2365" t="s">
        <v>86</v>
      </c>
      <c r="J2365" t="s">
        <v>54</v>
      </c>
      <c r="K2365" t="s">
        <v>98</v>
      </c>
      <c r="L2365" t="s">
        <v>121</v>
      </c>
      <c r="M2365" t="s">
        <v>125</v>
      </c>
      <c r="N2365" t="s">
        <v>51</v>
      </c>
      <c r="O2365">
        <v>1</v>
      </c>
      <c r="P2365">
        <v>31964</v>
      </c>
      <c r="Q2365">
        <f t="shared" si="40"/>
        <v>3.1963999999999999E-2</v>
      </c>
      <c r="R2365">
        <v>43252</v>
      </c>
      <c r="S2365" t="s">
        <v>122</v>
      </c>
    </row>
    <row r="2366" spans="1:19">
      <c r="A2366">
        <v>60000463</v>
      </c>
      <c r="B2366">
        <v>62</v>
      </c>
      <c r="C2366" t="s">
        <v>33</v>
      </c>
      <c r="D2366" t="s">
        <v>40</v>
      </c>
      <c r="E2366" t="s">
        <v>20</v>
      </c>
      <c r="F2366" t="s">
        <v>35</v>
      </c>
      <c r="G2366" s="23">
        <v>0.18</v>
      </c>
      <c r="H2366" t="s">
        <v>22</v>
      </c>
      <c r="I2366" t="s">
        <v>70</v>
      </c>
      <c r="J2366" t="s">
        <v>91</v>
      </c>
      <c r="K2366" t="s">
        <v>39</v>
      </c>
      <c r="L2366" t="s">
        <v>121</v>
      </c>
      <c r="M2366" t="s">
        <v>125</v>
      </c>
      <c r="N2366" t="s">
        <v>28</v>
      </c>
      <c r="O2366">
        <v>0</v>
      </c>
      <c r="P2366">
        <v>36758</v>
      </c>
      <c r="Q2366">
        <f t="shared" si="40"/>
        <v>3.6757999999999999E-2</v>
      </c>
      <c r="R2366">
        <v>43252</v>
      </c>
      <c r="S2366" t="s">
        <v>122</v>
      </c>
    </row>
    <row r="2367" spans="1:19">
      <c r="A2367">
        <v>60000464</v>
      </c>
      <c r="B2367">
        <v>29</v>
      </c>
      <c r="C2367" t="s">
        <v>18</v>
      </c>
      <c r="D2367" t="s">
        <v>40</v>
      </c>
      <c r="E2367" t="s">
        <v>44</v>
      </c>
      <c r="F2367" t="s">
        <v>21</v>
      </c>
      <c r="G2367" s="23">
        <v>0.2</v>
      </c>
      <c r="H2367" t="s">
        <v>29</v>
      </c>
      <c r="I2367" t="s">
        <v>70</v>
      </c>
      <c r="J2367" t="s">
        <v>88</v>
      </c>
      <c r="K2367" t="s">
        <v>101</v>
      </c>
      <c r="L2367" t="s">
        <v>119</v>
      </c>
      <c r="M2367" t="s">
        <v>125</v>
      </c>
      <c r="N2367" t="s">
        <v>51</v>
      </c>
      <c r="O2367">
        <v>3</v>
      </c>
      <c r="P2367">
        <v>74360</v>
      </c>
      <c r="Q2367">
        <f t="shared" si="40"/>
        <v>7.4359999999999996E-2</v>
      </c>
      <c r="R2367">
        <v>43252</v>
      </c>
      <c r="S2367" t="s">
        <v>122</v>
      </c>
    </row>
    <row r="2368" spans="1:19">
      <c r="A2368">
        <v>60000465</v>
      </c>
      <c r="B2368">
        <v>53</v>
      </c>
      <c r="C2368" t="s">
        <v>33</v>
      </c>
      <c r="D2368" t="s">
        <v>40</v>
      </c>
      <c r="E2368" t="s">
        <v>52</v>
      </c>
      <c r="F2368" t="s">
        <v>35</v>
      </c>
      <c r="G2368" s="23">
        <v>0.15</v>
      </c>
      <c r="H2368" t="s">
        <v>22</v>
      </c>
      <c r="I2368" t="s">
        <v>23</v>
      </c>
      <c r="J2368" t="s">
        <v>54</v>
      </c>
      <c r="K2368" t="s">
        <v>115</v>
      </c>
      <c r="L2368" t="s">
        <v>121</v>
      </c>
      <c r="M2368" t="s">
        <v>125</v>
      </c>
      <c r="N2368" t="s">
        <v>51</v>
      </c>
      <c r="O2368">
        <v>6</v>
      </c>
      <c r="P2368">
        <v>38342</v>
      </c>
      <c r="Q2368">
        <f t="shared" si="40"/>
        <v>3.8342000000000001E-2</v>
      </c>
      <c r="R2368">
        <v>43252</v>
      </c>
      <c r="S2368" t="s">
        <v>122</v>
      </c>
    </row>
    <row r="2369" spans="1:19">
      <c r="A2369">
        <v>60000466</v>
      </c>
      <c r="B2369">
        <v>34</v>
      </c>
      <c r="C2369" t="s">
        <v>33</v>
      </c>
      <c r="D2369" t="s">
        <v>19</v>
      </c>
      <c r="E2369" t="s">
        <v>20</v>
      </c>
      <c r="F2369" t="s">
        <v>35</v>
      </c>
      <c r="G2369" s="23">
        <v>0.25</v>
      </c>
      <c r="H2369" t="s">
        <v>53</v>
      </c>
      <c r="I2369" t="s">
        <v>68</v>
      </c>
      <c r="J2369" t="s">
        <v>74</v>
      </c>
      <c r="K2369" t="s">
        <v>84</v>
      </c>
      <c r="L2369" t="s">
        <v>121</v>
      </c>
      <c r="M2369" t="s">
        <v>125</v>
      </c>
      <c r="N2369" t="s">
        <v>28</v>
      </c>
      <c r="O2369">
        <v>0</v>
      </c>
      <c r="P2369">
        <v>23348</v>
      </c>
      <c r="Q2369">
        <f t="shared" si="40"/>
        <v>2.3348000000000001E-2</v>
      </c>
      <c r="R2369">
        <v>43252</v>
      </c>
      <c r="S2369" t="s">
        <v>122</v>
      </c>
    </row>
    <row r="2370" spans="1:19">
      <c r="A2370">
        <v>60000467</v>
      </c>
      <c r="B2370">
        <v>23</v>
      </c>
      <c r="C2370" t="s">
        <v>33</v>
      </c>
      <c r="D2370" t="s">
        <v>19</v>
      </c>
      <c r="E2370" t="s">
        <v>67</v>
      </c>
      <c r="F2370" t="s">
        <v>35</v>
      </c>
      <c r="G2370" s="23">
        <v>0.1</v>
      </c>
      <c r="H2370" t="s">
        <v>36</v>
      </c>
      <c r="I2370" t="s">
        <v>37</v>
      </c>
      <c r="J2370" t="s">
        <v>69</v>
      </c>
      <c r="K2370" t="s">
        <v>94</v>
      </c>
      <c r="L2370" t="s">
        <v>121</v>
      </c>
      <c r="M2370" t="s">
        <v>125</v>
      </c>
      <c r="N2370" t="s">
        <v>28</v>
      </c>
      <c r="O2370">
        <v>0</v>
      </c>
      <c r="P2370">
        <v>59192</v>
      </c>
      <c r="Q2370">
        <f t="shared" si="40"/>
        <v>5.9192000000000002E-2</v>
      </c>
      <c r="R2370">
        <v>43252</v>
      </c>
      <c r="S2370" t="s">
        <v>122</v>
      </c>
    </row>
    <row r="2371" spans="1:19">
      <c r="A2371">
        <v>60000468</v>
      </c>
      <c r="B2371">
        <v>46</v>
      </c>
      <c r="C2371" t="s">
        <v>18</v>
      </c>
      <c r="D2371" t="s">
        <v>19</v>
      </c>
      <c r="E2371" t="s">
        <v>56</v>
      </c>
      <c r="F2371" t="s">
        <v>21</v>
      </c>
      <c r="G2371" s="23">
        <v>0.13</v>
      </c>
      <c r="H2371" t="s">
        <v>22</v>
      </c>
      <c r="I2371" t="s">
        <v>65</v>
      </c>
      <c r="J2371" t="s">
        <v>38</v>
      </c>
      <c r="K2371" t="s">
        <v>25</v>
      </c>
      <c r="L2371" t="s">
        <v>119</v>
      </c>
      <c r="M2371" t="s">
        <v>125</v>
      </c>
      <c r="N2371" t="s">
        <v>51</v>
      </c>
      <c r="O2371">
        <v>6</v>
      </c>
      <c r="P2371">
        <v>84233</v>
      </c>
      <c r="Q2371">
        <f t="shared" si="40"/>
        <v>8.4233000000000002E-2</v>
      </c>
      <c r="R2371">
        <v>43252</v>
      </c>
      <c r="S2371" t="s">
        <v>122</v>
      </c>
    </row>
    <row r="2372" spans="1:19">
      <c r="A2372">
        <v>60000469</v>
      </c>
      <c r="B2372">
        <v>53</v>
      </c>
      <c r="C2372" t="s">
        <v>18</v>
      </c>
      <c r="D2372" t="s">
        <v>40</v>
      </c>
      <c r="E2372" t="s">
        <v>85</v>
      </c>
      <c r="F2372" t="s">
        <v>21</v>
      </c>
      <c r="G2372" s="23">
        <v>0.28000000000000003</v>
      </c>
      <c r="H2372" t="s">
        <v>53</v>
      </c>
      <c r="I2372" t="s">
        <v>23</v>
      </c>
      <c r="J2372" t="s">
        <v>78</v>
      </c>
      <c r="K2372" t="s">
        <v>49</v>
      </c>
      <c r="L2372" t="s">
        <v>26</v>
      </c>
      <c r="M2372" t="s">
        <v>125</v>
      </c>
      <c r="N2372" t="s">
        <v>51</v>
      </c>
      <c r="O2372">
        <v>6</v>
      </c>
      <c r="P2372">
        <v>68066</v>
      </c>
      <c r="Q2372">
        <f t="shared" si="40"/>
        <v>6.8066000000000002E-2</v>
      </c>
      <c r="R2372">
        <v>43252</v>
      </c>
      <c r="S2372" t="s">
        <v>122</v>
      </c>
    </row>
    <row r="2373" spans="1:19">
      <c r="A2373">
        <v>60000470</v>
      </c>
      <c r="B2373">
        <v>58</v>
      </c>
      <c r="C2373" t="s">
        <v>33</v>
      </c>
      <c r="D2373" t="s">
        <v>19</v>
      </c>
      <c r="E2373" t="s">
        <v>41</v>
      </c>
      <c r="F2373" t="s">
        <v>21</v>
      </c>
      <c r="G2373" s="23">
        <v>0.23</v>
      </c>
      <c r="H2373" t="s">
        <v>29</v>
      </c>
      <c r="I2373" t="s">
        <v>49</v>
      </c>
      <c r="J2373" t="s">
        <v>78</v>
      </c>
      <c r="K2373" t="s">
        <v>111</v>
      </c>
      <c r="L2373" t="s">
        <v>121</v>
      </c>
      <c r="M2373" t="s">
        <v>125</v>
      </c>
      <c r="N2373" t="s">
        <v>51</v>
      </c>
      <c r="O2373">
        <v>6</v>
      </c>
      <c r="P2373">
        <v>76494</v>
      </c>
      <c r="Q2373">
        <f t="shared" si="40"/>
        <v>7.6494000000000006E-2</v>
      </c>
      <c r="R2373">
        <v>43252</v>
      </c>
      <c r="S2373" t="s">
        <v>122</v>
      </c>
    </row>
    <row r="2374" spans="1:19">
      <c r="A2374">
        <v>60000471</v>
      </c>
      <c r="B2374">
        <v>49</v>
      </c>
      <c r="C2374" t="s">
        <v>33</v>
      </c>
      <c r="D2374" t="s">
        <v>19</v>
      </c>
      <c r="E2374" t="s">
        <v>52</v>
      </c>
      <c r="F2374" t="s">
        <v>120</v>
      </c>
      <c r="G2374" s="23">
        <v>0.13</v>
      </c>
      <c r="H2374" t="s">
        <v>22</v>
      </c>
      <c r="I2374" t="s">
        <v>68</v>
      </c>
      <c r="J2374" t="s">
        <v>58</v>
      </c>
      <c r="K2374" t="s">
        <v>97</v>
      </c>
      <c r="L2374" t="s">
        <v>121</v>
      </c>
      <c r="M2374" t="s">
        <v>125</v>
      </c>
      <c r="N2374" t="s">
        <v>51</v>
      </c>
      <c r="O2374">
        <v>6</v>
      </c>
      <c r="P2374">
        <v>34053</v>
      </c>
      <c r="Q2374">
        <f t="shared" si="40"/>
        <v>3.4053E-2</v>
      </c>
      <c r="R2374">
        <v>43252</v>
      </c>
      <c r="S2374" t="s">
        <v>122</v>
      </c>
    </row>
    <row r="2375" spans="1:19">
      <c r="A2375">
        <v>60000472</v>
      </c>
      <c r="B2375">
        <v>45</v>
      </c>
      <c r="C2375" t="s">
        <v>33</v>
      </c>
      <c r="D2375" t="s">
        <v>19</v>
      </c>
      <c r="E2375" t="s">
        <v>85</v>
      </c>
      <c r="F2375" t="s">
        <v>35</v>
      </c>
      <c r="G2375" s="23">
        <v>0.32</v>
      </c>
      <c r="H2375" t="s">
        <v>42</v>
      </c>
      <c r="I2375" t="s">
        <v>23</v>
      </c>
      <c r="J2375" t="s">
        <v>38</v>
      </c>
      <c r="K2375" t="s">
        <v>106</v>
      </c>
      <c r="L2375" t="s">
        <v>121</v>
      </c>
      <c r="M2375" t="s">
        <v>125</v>
      </c>
      <c r="N2375" t="s">
        <v>28</v>
      </c>
      <c r="O2375">
        <v>0</v>
      </c>
      <c r="P2375">
        <v>79293</v>
      </c>
      <c r="Q2375">
        <f t="shared" si="40"/>
        <v>7.9293000000000002E-2</v>
      </c>
      <c r="R2375">
        <v>43252</v>
      </c>
      <c r="S2375" t="s">
        <v>122</v>
      </c>
    </row>
    <row r="2376" spans="1:19">
      <c r="A2376">
        <v>60000473</v>
      </c>
      <c r="B2376">
        <v>37</v>
      </c>
      <c r="C2376" t="s">
        <v>33</v>
      </c>
      <c r="D2376" t="s">
        <v>40</v>
      </c>
      <c r="E2376" t="s">
        <v>85</v>
      </c>
      <c r="F2376" t="s">
        <v>35</v>
      </c>
      <c r="G2376" s="23">
        <v>0.23</v>
      </c>
      <c r="H2376" t="s">
        <v>29</v>
      </c>
      <c r="I2376" t="s">
        <v>80</v>
      </c>
      <c r="J2376" t="s">
        <v>38</v>
      </c>
      <c r="K2376" t="s">
        <v>107</v>
      </c>
      <c r="L2376" t="s">
        <v>119</v>
      </c>
      <c r="M2376" t="s">
        <v>125</v>
      </c>
      <c r="N2376" t="s">
        <v>28</v>
      </c>
      <c r="O2376">
        <v>0</v>
      </c>
      <c r="P2376">
        <v>25683</v>
      </c>
      <c r="Q2376">
        <f t="shared" si="40"/>
        <v>2.5683000000000001E-2</v>
      </c>
      <c r="R2376">
        <v>43252</v>
      </c>
      <c r="S2376" t="s">
        <v>122</v>
      </c>
    </row>
    <row r="2377" spans="1:19">
      <c r="A2377">
        <v>60000474</v>
      </c>
      <c r="B2377">
        <v>28</v>
      </c>
      <c r="C2377" t="s">
        <v>33</v>
      </c>
      <c r="D2377" t="s">
        <v>19</v>
      </c>
      <c r="E2377" t="s">
        <v>85</v>
      </c>
      <c r="F2377" t="s">
        <v>21</v>
      </c>
      <c r="G2377" s="23">
        <v>0.15</v>
      </c>
      <c r="H2377" t="s">
        <v>22</v>
      </c>
      <c r="I2377" t="s">
        <v>30</v>
      </c>
      <c r="J2377" t="s">
        <v>58</v>
      </c>
      <c r="K2377" t="s">
        <v>105</v>
      </c>
      <c r="L2377" t="s">
        <v>121</v>
      </c>
      <c r="M2377" t="s">
        <v>125</v>
      </c>
      <c r="N2377" t="s">
        <v>28</v>
      </c>
      <c r="O2377">
        <v>0</v>
      </c>
      <c r="P2377">
        <v>57179</v>
      </c>
      <c r="Q2377">
        <f t="shared" si="40"/>
        <v>5.7179000000000001E-2</v>
      </c>
      <c r="R2377">
        <v>43252</v>
      </c>
      <c r="S2377" t="s">
        <v>122</v>
      </c>
    </row>
    <row r="2378" spans="1:19">
      <c r="A2378">
        <v>60000475</v>
      </c>
      <c r="B2378">
        <v>45</v>
      </c>
      <c r="C2378" t="s">
        <v>33</v>
      </c>
      <c r="D2378" t="s">
        <v>40</v>
      </c>
      <c r="E2378" t="s">
        <v>44</v>
      </c>
      <c r="F2378" t="s">
        <v>35</v>
      </c>
      <c r="G2378" s="23">
        <v>0.2</v>
      </c>
      <c r="H2378" t="s">
        <v>29</v>
      </c>
      <c r="I2378" t="s">
        <v>73</v>
      </c>
      <c r="J2378" t="s">
        <v>78</v>
      </c>
      <c r="K2378" t="s">
        <v>59</v>
      </c>
      <c r="L2378" t="s">
        <v>121</v>
      </c>
      <c r="M2378" t="s">
        <v>125</v>
      </c>
      <c r="N2378" t="s">
        <v>51</v>
      </c>
      <c r="O2378">
        <v>3</v>
      </c>
      <c r="P2378">
        <v>75455</v>
      </c>
      <c r="Q2378">
        <f t="shared" si="40"/>
        <v>7.5454999999999994E-2</v>
      </c>
      <c r="R2378">
        <v>43252</v>
      </c>
      <c r="S2378" t="s">
        <v>122</v>
      </c>
    </row>
    <row r="2379" spans="1:19">
      <c r="A2379">
        <v>60000476</v>
      </c>
      <c r="B2379">
        <v>46</v>
      </c>
      <c r="C2379" t="s">
        <v>33</v>
      </c>
      <c r="D2379" t="s">
        <v>19</v>
      </c>
      <c r="E2379" t="s">
        <v>64</v>
      </c>
      <c r="F2379" t="s">
        <v>120</v>
      </c>
      <c r="G2379" s="23">
        <v>0.31</v>
      </c>
      <c r="H2379" t="s">
        <v>53</v>
      </c>
      <c r="I2379" t="s">
        <v>73</v>
      </c>
      <c r="J2379" t="s">
        <v>24</v>
      </c>
      <c r="K2379" t="s">
        <v>105</v>
      </c>
      <c r="L2379" t="s">
        <v>119</v>
      </c>
      <c r="M2379" t="s">
        <v>125</v>
      </c>
      <c r="N2379" t="s">
        <v>51</v>
      </c>
      <c r="O2379">
        <v>3</v>
      </c>
      <c r="P2379">
        <v>84609</v>
      </c>
      <c r="Q2379">
        <f t="shared" si="40"/>
        <v>8.4609000000000004E-2</v>
      </c>
      <c r="R2379">
        <v>43252</v>
      </c>
      <c r="S2379" t="s">
        <v>122</v>
      </c>
    </row>
    <row r="2380" spans="1:19">
      <c r="A2380">
        <v>60000477</v>
      </c>
      <c r="B2380">
        <v>50</v>
      </c>
      <c r="C2380" t="s">
        <v>18</v>
      </c>
      <c r="D2380" t="s">
        <v>40</v>
      </c>
      <c r="E2380" t="s">
        <v>72</v>
      </c>
      <c r="F2380" t="s">
        <v>35</v>
      </c>
      <c r="G2380" s="23">
        <v>0.11</v>
      </c>
      <c r="H2380" t="s">
        <v>36</v>
      </c>
      <c r="I2380" t="s">
        <v>68</v>
      </c>
      <c r="J2380" t="s">
        <v>78</v>
      </c>
      <c r="K2380" t="s">
        <v>104</v>
      </c>
      <c r="L2380" t="s">
        <v>26</v>
      </c>
      <c r="M2380" t="s">
        <v>125</v>
      </c>
      <c r="N2380" t="s">
        <v>51</v>
      </c>
      <c r="O2380">
        <v>5</v>
      </c>
      <c r="P2380">
        <v>55080</v>
      </c>
      <c r="Q2380">
        <f t="shared" si="40"/>
        <v>5.5079999999999997E-2</v>
      </c>
      <c r="R2380">
        <v>43252</v>
      </c>
      <c r="S2380" t="s">
        <v>122</v>
      </c>
    </row>
    <row r="2381" spans="1:19">
      <c r="A2381">
        <v>60000478</v>
      </c>
      <c r="B2381">
        <v>25</v>
      </c>
      <c r="C2381" t="s">
        <v>33</v>
      </c>
      <c r="D2381" t="s">
        <v>19</v>
      </c>
      <c r="E2381" t="s">
        <v>52</v>
      </c>
      <c r="F2381" t="s">
        <v>21</v>
      </c>
      <c r="G2381" s="23">
        <v>0.35</v>
      </c>
      <c r="H2381" t="s">
        <v>42</v>
      </c>
      <c r="I2381" t="s">
        <v>57</v>
      </c>
      <c r="J2381" t="s">
        <v>74</v>
      </c>
      <c r="K2381" t="s">
        <v>49</v>
      </c>
      <c r="L2381" t="s">
        <v>26</v>
      </c>
      <c r="M2381" t="s">
        <v>125</v>
      </c>
      <c r="N2381" t="s">
        <v>51</v>
      </c>
      <c r="O2381">
        <v>3</v>
      </c>
      <c r="P2381">
        <v>56686</v>
      </c>
      <c r="Q2381">
        <f t="shared" si="40"/>
        <v>5.6686E-2</v>
      </c>
      <c r="R2381">
        <v>43252</v>
      </c>
      <c r="S2381" t="s">
        <v>122</v>
      </c>
    </row>
    <row r="2382" spans="1:19">
      <c r="A2382">
        <v>60000479</v>
      </c>
      <c r="B2382">
        <v>38</v>
      </c>
      <c r="C2382" t="s">
        <v>33</v>
      </c>
      <c r="D2382" t="s">
        <v>19</v>
      </c>
      <c r="E2382" t="s">
        <v>20</v>
      </c>
      <c r="F2382" t="s">
        <v>21</v>
      </c>
      <c r="G2382" s="23">
        <v>0.35</v>
      </c>
      <c r="H2382" t="s">
        <v>42</v>
      </c>
      <c r="I2382" t="s">
        <v>86</v>
      </c>
      <c r="J2382" t="s">
        <v>78</v>
      </c>
      <c r="K2382" t="s">
        <v>49</v>
      </c>
      <c r="L2382" t="s">
        <v>26</v>
      </c>
      <c r="M2382" t="s">
        <v>125</v>
      </c>
      <c r="N2382" t="s">
        <v>51</v>
      </c>
      <c r="O2382">
        <v>5</v>
      </c>
      <c r="P2382">
        <v>61577</v>
      </c>
      <c r="Q2382">
        <f t="shared" si="40"/>
        <v>6.1577E-2</v>
      </c>
      <c r="R2382">
        <v>43252</v>
      </c>
      <c r="S2382" t="s">
        <v>122</v>
      </c>
    </row>
    <row r="2383" spans="1:19">
      <c r="A2383">
        <v>60000480</v>
      </c>
      <c r="B2383">
        <v>38</v>
      </c>
      <c r="C2383" t="s">
        <v>33</v>
      </c>
      <c r="D2383" t="s">
        <v>19</v>
      </c>
      <c r="E2383" t="s">
        <v>85</v>
      </c>
      <c r="F2383" t="s">
        <v>35</v>
      </c>
      <c r="G2383" s="23">
        <v>0.2</v>
      </c>
      <c r="H2383" t="s">
        <v>29</v>
      </c>
      <c r="I2383" t="s">
        <v>80</v>
      </c>
      <c r="J2383" t="s">
        <v>38</v>
      </c>
      <c r="K2383" t="s">
        <v>97</v>
      </c>
      <c r="L2383" t="s">
        <v>26</v>
      </c>
      <c r="M2383" t="s">
        <v>125</v>
      </c>
      <c r="N2383" t="s">
        <v>28</v>
      </c>
      <c r="O2383">
        <v>0</v>
      </c>
      <c r="P2383">
        <v>56751</v>
      </c>
      <c r="Q2383">
        <f t="shared" si="40"/>
        <v>5.6751000000000003E-2</v>
      </c>
      <c r="R2383">
        <v>43252</v>
      </c>
      <c r="S2383" t="s">
        <v>122</v>
      </c>
    </row>
    <row r="2384" spans="1:19">
      <c r="A2384">
        <v>60000481</v>
      </c>
      <c r="B2384">
        <v>45</v>
      </c>
      <c r="C2384" t="s">
        <v>18</v>
      </c>
      <c r="D2384" t="s">
        <v>19</v>
      </c>
      <c r="E2384" t="s">
        <v>34</v>
      </c>
      <c r="F2384" t="s">
        <v>21</v>
      </c>
      <c r="G2384" s="23">
        <v>0.32</v>
      </c>
      <c r="H2384" t="s">
        <v>42</v>
      </c>
      <c r="I2384" t="s">
        <v>76</v>
      </c>
      <c r="J2384" t="s">
        <v>31</v>
      </c>
      <c r="K2384" t="s">
        <v>108</v>
      </c>
      <c r="L2384" t="s">
        <v>119</v>
      </c>
      <c r="M2384" t="s">
        <v>125</v>
      </c>
      <c r="N2384" t="s">
        <v>51</v>
      </c>
      <c r="O2384">
        <v>3</v>
      </c>
      <c r="P2384">
        <v>68563</v>
      </c>
      <c r="Q2384">
        <f t="shared" si="40"/>
        <v>6.8562999999999999E-2</v>
      </c>
      <c r="R2384">
        <v>43252</v>
      </c>
      <c r="S2384" t="s">
        <v>122</v>
      </c>
    </row>
    <row r="2385" spans="1:19">
      <c r="A2385">
        <v>60000482</v>
      </c>
      <c r="B2385">
        <v>48</v>
      </c>
      <c r="C2385" t="s">
        <v>18</v>
      </c>
      <c r="D2385" t="s">
        <v>19</v>
      </c>
      <c r="E2385" t="s">
        <v>20</v>
      </c>
      <c r="F2385" t="s">
        <v>21</v>
      </c>
      <c r="G2385" s="23">
        <v>0.31</v>
      </c>
      <c r="H2385" t="s">
        <v>53</v>
      </c>
      <c r="I2385" t="s">
        <v>73</v>
      </c>
      <c r="J2385" t="s">
        <v>38</v>
      </c>
      <c r="K2385" t="s">
        <v>114</v>
      </c>
      <c r="L2385" t="s">
        <v>26</v>
      </c>
      <c r="M2385" t="s">
        <v>125</v>
      </c>
      <c r="N2385" t="s">
        <v>51</v>
      </c>
      <c r="O2385">
        <v>3</v>
      </c>
      <c r="P2385">
        <v>71105</v>
      </c>
      <c r="Q2385">
        <f t="shared" si="40"/>
        <v>7.1105000000000002E-2</v>
      </c>
      <c r="R2385">
        <v>43252</v>
      </c>
      <c r="S2385" t="s">
        <v>122</v>
      </c>
    </row>
    <row r="2386" spans="1:19">
      <c r="A2386">
        <v>60000483</v>
      </c>
      <c r="B2386">
        <v>57</v>
      </c>
      <c r="C2386" t="s">
        <v>33</v>
      </c>
      <c r="D2386" t="s">
        <v>40</v>
      </c>
      <c r="E2386" t="s">
        <v>64</v>
      </c>
      <c r="F2386" t="s">
        <v>35</v>
      </c>
      <c r="G2386" s="23">
        <v>0.35</v>
      </c>
      <c r="H2386" t="s">
        <v>42</v>
      </c>
      <c r="I2386" t="s">
        <v>57</v>
      </c>
      <c r="J2386" t="s">
        <v>38</v>
      </c>
      <c r="K2386" t="s">
        <v>89</v>
      </c>
      <c r="L2386" t="s">
        <v>119</v>
      </c>
      <c r="M2386" t="s">
        <v>125</v>
      </c>
      <c r="N2386" t="s">
        <v>51</v>
      </c>
      <c r="O2386">
        <v>1</v>
      </c>
      <c r="P2386">
        <v>60253</v>
      </c>
      <c r="Q2386">
        <f t="shared" si="40"/>
        <v>6.0253000000000001E-2</v>
      </c>
      <c r="R2386">
        <v>43252</v>
      </c>
      <c r="S2386" t="s">
        <v>122</v>
      </c>
    </row>
    <row r="2387" spans="1:19">
      <c r="A2387">
        <v>60000484</v>
      </c>
      <c r="B2387">
        <v>60</v>
      </c>
      <c r="C2387" t="s">
        <v>33</v>
      </c>
      <c r="D2387" t="s">
        <v>19</v>
      </c>
      <c r="E2387" t="s">
        <v>85</v>
      </c>
      <c r="F2387" t="s">
        <v>21</v>
      </c>
      <c r="G2387" s="23">
        <v>0.3</v>
      </c>
      <c r="H2387" t="s">
        <v>53</v>
      </c>
      <c r="I2387" t="s">
        <v>37</v>
      </c>
      <c r="J2387" t="s">
        <v>58</v>
      </c>
      <c r="K2387" t="s">
        <v>99</v>
      </c>
      <c r="L2387" t="s">
        <v>119</v>
      </c>
      <c r="M2387" t="s">
        <v>125</v>
      </c>
      <c r="N2387" t="s">
        <v>51</v>
      </c>
      <c r="O2387">
        <v>1</v>
      </c>
      <c r="P2387">
        <v>80860</v>
      </c>
      <c r="Q2387">
        <f t="shared" si="40"/>
        <v>8.0860000000000001E-2</v>
      </c>
      <c r="R2387">
        <v>43252</v>
      </c>
      <c r="S2387" t="s">
        <v>122</v>
      </c>
    </row>
    <row r="2388" spans="1:19">
      <c r="A2388">
        <v>60000485</v>
      </c>
      <c r="B2388">
        <v>33</v>
      </c>
      <c r="C2388" t="s">
        <v>18</v>
      </c>
      <c r="D2388" t="s">
        <v>40</v>
      </c>
      <c r="E2388" t="s">
        <v>48</v>
      </c>
      <c r="F2388" t="s">
        <v>21</v>
      </c>
      <c r="G2388" s="23">
        <v>0.11</v>
      </c>
      <c r="H2388" t="s">
        <v>36</v>
      </c>
      <c r="I2388" t="s">
        <v>62</v>
      </c>
      <c r="J2388" t="s">
        <v>58</v>
      </c>
      <c r="K2388" t="s">
        <v>107</v>
      </c>
      <c r="L2388" t="s">
        <v>119</v>
      </c>
      <c r="M2388" t="s">
        <v>125</v>
      </c>
      <c r="N2388" t="s">
        <v>28</v>
      </c>
      <c r="O2388">
        <v>0</v>
      </c>
      <c r="P2388">
        <v>48374</v>
      </c>
      <c r="Q2388">
        <f t="shared" si="40"/>
        <v>4.8374E-2</v>
      </c>
      <c r="R2388">
        <v>43252</v>
      </c>
      <c r="S2388" t="s">
        <v>122</v>
      </c>
    </row>
    <row r="2389" spans="1:19">
      <c r="A2389">
        <v>60000486</v>
      </c>
      <c r="B2389">
        <v>61</v>
      </c>
      <c r="C2389" t="s">
        <v>18</v>
      </c>
      <c r="D2389" t="s">
        <v>19</v>
      </c>
      <c r="E2389" t="s">
        <v>56</v>
      </c>
      <c r="F2389" t="s">
        <v>21</v>
      </c>
      <c r="G2389" s="23">
        <v>0.14000000000000001</v>
      </c>
      <c r="H2389" t="s">
        <v>22</v>
      </c>
      <c r="I2389" t="s">
        <v>80</v>
      </c>
      <c r="J2389" t="s">
        <v>54</v>
      </c>
      <c r="K2389" t="s">
        <v>50</v>
      </c>
      <c r="L2389" t="s">
        <v>121</v>
      </c>
      <c r="M2389" t="s">
        <v>125</v>
      </c>
      <c r="N2389" t="s">
        <v>28</v>
      </c>
      <c r="O2389">
        <v>0</v>
      </c>
      <c r="P2389">
        <v>51538</v>
      </c>
      <c r="Q2389">
        <f t="shared" si="40"/>
        <v>5.1538E-2</v>
      </c>
      <c r="R2389">
        <v>43252</v>
      </c>
      <c r="S2389" t="s">
        <v>122</v>
      </c>
    </row>
    <row r="2390" spans="1:19">
      <c r="A2390">
        <v>60000487</v>
      </c>
      <c r="B2390">
        <v>40</v>
      </c>
      <c r="C2390" t="s">
        <v>33</v>
      </c>
      <c r="D2390" t="s">
        <v>40</v>
      </c>
      <c r="E2390" t="s">
        <v>67</v>
      </c>
      <c r="F2390" t="s">
        <v>35</v>
      </c>
      <c r="G2390" s="23">
        <v>0.18</v>
      </c>
      <c r="H2390" t="s">
        <v>22</v>
      </c>
      <c r="I2390" t="s">
        <v>83</v>
      </c>
      <c r="J2390" t="s">
        <v>88</v>
      </c>
      <c r="K2390" t="s">
        <v>100</v>
      </c>
      <c r="L2390" t="s">
        <v>119</v>
      </c>
      <c r="M2390" t="s">
        <v>125</v>
      </c>
      <c r="N2390" t="s">
        <v>51</v>
      </c>
      <c r="O2390">
        <v>1</v>
      </c>
      <c r="P2390">
        <v>39944</v>
      </c>
      <c r="Q2390">
        <f t="shared" si="40"/>
        <v>3.9944E-2</v>
      </c>
      <c r="R2390">
        <v>43252</v>
      </c>
      <c r="S2390" t="s">
        <v>122</v>
      </c>
    </row>
    <row r="2391" spans="1:19">
      <c r="A2391">
        <v>60000488</v>
      </c>
      <c r="B2391">
        <v>63</v>
      </c>
      <c r="C2391" t="s">
        <v>18</v>
      </c>
      <c r="D2391" t="s">
        <v>19</v>
      </c>
      <c r="E2391" t="s">
        <v>56</v>
      </c>
      <c r="F2391" t="s">
        <v>35</v>
      </c>
      <c r="G2391" s="23">
        <v>0.11</v>
      </c>
      <c r="H2391" t="s">
        <v>36</v>
      </c>
      <c r="I2391" t="s">
        <v>30</v>
      </c>
      <c r="J2391" t="s">
        <v>38</v>
      </c>
      <c r="K2391" t="s">
        <v>97</v>
      </c>
      <c r="L2391" t="s">
        <v>26</v>
      </c>
      <c r="M2391" t="s">
        <v>125</v>
      </c>
      <c r="N2391" t="s">
        <v>51</v>
      </c>
      <c r="O2391">
        <v>2</v>
      </c>
      <c r="P2391">
        <v>84587</v>
      </c>
      <c r="Q2391">
        <f t="shared" si="40"/>
        <v>8.4586999999999996E-2</v>
      </c>
      <c r="R2391">
        <v>43252</v>
      </c>
      <c r="S2391" t="s">
        <v>122</v>
      </c>
    </row>
    <row r="2392" spans="1:19">
      <c r="A2392">
        <v>60000489</v>
      </c>
      <c r="B2392">
        <v>42</v>
      </c>
      <c r="C2392" t="s">
        <v>33</v>
      </c>
      <c r="D2392" t="s">
        <v>40</v>
      </c>
      <c r="E2392" t="s">
        <v>20</v>
      </c>
      <c r="F2392" t="s">
        <v>120</v>
      </c>
      <c r="G2392" s="23">
        <v>0.36</v>
      </c>
      <c r="H2392" t="s">
        <v>42</v>
      </c>
      <c r="I2392" t="s">
        <v>60</v>
      </c>
      <c r="J2392" t="s">
        <v>31</v>
      </c>
      <c r="K2392" t="s">
        <v>82</v>
      </c>
      <c r="L2392" t="s">
        <v>119</v>
      </c>
      <c r="M2392" t="s">
        <v>125</v>
      </c>
      <c r="N2392" t="s">
        <v>51</v>
      </c>
      <c r="O2392">
        <v>0</v>
      </c>
      <c r="P2392">
        <v>30344</v>
      </c>
      <c r="Q2392">
        <f t="shared" si="40"/>
        <v>3.0343999999999999E-2</v>
      </c>
      <c r="R2392">
        <v>43252</v>
      </c>
      <c r="S2392" t="s">
        <v>122</v>
      </c>
    </row>
    <row r="2393" spans="1:19">
      <c r="A2393">
        <v>60000490</v>
      </c>
      <c r="B2393">
        <v>39</v>
      </c>
      <c r="C2393" t="s">
        <v>18</v>
      </c>
      <c r="D2393" t="s">
        <v>19</v>
      </c>
      <c r="E2393" t="s">
        <v>56</v>
      </c>
      <c r="F2393" t="s">
        <v>120</v>
      </c>
      <c r="G2393" s="23">
        <v>0.24</v>
      </c>
      <c r="H2393" t="s">
        <v>29</v>
      </c>
      <c r="I2393" t="s">
        <v>70</v>
      </c>
      <c r="J2393" t="s">
        <v>61</v>
      </c>
      <c r="K2393" t="s">
        <v>118</v>
      </c>
      <c r="L2393" t="s">
        <v>119</v>
      </c>
      <c r="M2393" t="s">
        <v>125</v>
      </c>
      <c r="N2393" t="s">
        <v>51</v>
      </c>
      <c r="O2393">
        <v>2</v>
      </c>
      <c r="P2393">
        <v>37773</v>
      </c>
      <c r="Q2393">
        <f t="shared" si="40"/>
        <v>3.7773000000000001E-2</v>
      </c>
      <c r="R2393">
        <v>43252</v>
      </c>
      <c r="S2393" t="s">
        <v>122</v>
      </c>
    </row>
    <row r="2394" spans="1:19">
      <c r="A2394">
        <v>60000491</v>
      </c>
      <c r="B2394">
        <v>50</v>
      </c>
      <c r="C2394" t="s">
        <v>33</v>
      </c>
      <c r="D2394" t="s">
        <v>19</v>
      </c>
      <c r="E2394" t="s">
        <v>20</v>
      </c>
      <c r="F2394" t="s">
        <v>21</v>
      </c>
      <c r="G2394" s="23">
        <v>0.32</v>
      </c>
      <c r="H2394" t="s">
        <v>42</v>
      </c>
      <c r="I2394" t="s">
        <v>60</v>
      </c>
      <c r="J2394" t="s">
        <v>74</v>
      </c>
      <c r="K2394" t="s">
        <v>90</v>
      </c>
      <c r="L2394" t="s">
        <v>119</v>
      </c>
      <c r="M2394" t="s">
        <v>125</v>
      </c>
      <c r="N2394" t="s">
        <v>51</v>
      </c>
      <c r="O2394">
        <v>7</v>
      </c>
      <c r="P2394">
        <v>54503</v>
      </c>
      <c r="Q2394">
        <f t="shared" si="40"/>
        <v>5.4503000000000003E-2</v>
      </c>
      <c r="R2394">
        <v>43252</v>
      </c>
      <c r="S2394" t="s">
        <v>122</v>
      </c>
    </row>
    <row r="2395" spans="1:19">
      <c r="A2395">
        <v>60000492</v>
      </c>
      <c r="B2395">
        <v>33</v>
      </c>
      <c r="C2395" t="s">
        <v>18</v>
      </c>
      <c r="D2395" t="s">
        <v>19</v>
      </c>
      <c r="E2395" t="s">
        <v>52</v>
      </c>
      <c r="F2395" t="s">
        <v>120</v>
      </c>
      <c r="G2395" s="23">
        <v>0.17</v>
      </c>
      <c r="H2395" t="s">
        <v>22</v>
      </c>
      <c r="I2395" t="s">
        <v>73</v>
      </c>
      <c r="J2395" t="s">
        <v>54</v>
      </c>
      <c r="K2395" t="s">
        <v>43</v>
      </c>
      <c r="L2395" t="s">
        <v>119</v>
      </c>
      <c r="M2395" t="s">
        <v>125</v>
      </c>
      <c r="N2395" t="s">
        <v>51</v>
      </c>
      <c r="O2395">
        <v>2</v>
      </c>
      <c r="P2395">
        <v>69843</v>
      </c>
      <c r="Q2395">
        <f t="shared" si="40"/>
        <v>6.9843000000000002E-2</v>
      </c>
      <c r="R2395">
        <v>43252</v>
      </c>
      <c r="S2395" t="s">
        <v>122</v>
      </c>
    </row>
    <row r="2396" spans="1:19">
      <c r="A2396">
        <v>60000493</v>
      </c>
      <c r="B2396">
        <v>58</v>
      </c>
      <c r="C2396" t="s">
        <v>18</v>
      </c>
      <c r="D2396" t="s">
        <v>40</v>
      </c>
      <c r="E2396" t="s">
        <v>44</v>
      </c>
      <c r="F2396" t="s">
        <v>35</v>
      </c>
      <c r="G2396" s="23">
        <v>0.26</v>
      </c>
      <c r="H2396" t="s">
        <v>53</v>
      </c>
      <c r="I2396" t="s">
        <v>37</v>
      </c>
      <c r="J2396" t="s">
        <v>74</v>
      </c>
      <c r="K2396" t="s">
        <v>60</v>
      </c>
      <c r="L2396" t="s">
        <v>119</v>
      </c>
      <c r="M2396" t="s">
        <v>125</v>
      </c>
      <c r="N2396" t="s">
        <v>51</v>
      </c>
      <c r="O2396">
        <v>2</v>
      </c>
      <c r="P2396">
        <v>52179</v>
      </c>
      <c r="Q2396">
        <f t="shared" si="40"/>
        <v>5.2179000000000003E-2</v>
      </c>
      <c r="R2396">
        <v>43252</v>
      </c>
      <c r="S2396" t="s">
        <v>122</v>
      </c>
    </row>
    <row r="2397" spans="1:19">
      <c r="A2397">
        <v>60000494</v>
      </c>
      <c r="B2397">
        <v>51</v>
      </c>
      <c r="C2397" t="s">
        <v>18</v>
      </c>
      <c r="D2397" t="s">
        <v>19</v>
      </c>
      <c r="E2397" t="s">
        <v>67</v>
      </c>
      <c r="F2397" t="s">
        <v>120</v>
      </c>
      <c r="G2397" s="23">
        <v>0.28999999999999998</v>
      </c>
      <c r="H2397" t="s">
        <v>53</v>
      </c>
      <c r="I2397" t="s">
        <v>45</v>
      </c>
      <c r="J2397" t="s">
        <v>46</v>
      </c>
      <c r="K2397" t="s">
        <v>83</v>
      </c>
      <c r="L2397" t="s">
        <v>26</v>
      </c>
      <c r="M2397" t="s">
        <v>125</v>
      </c>
      <c r="N2397" t="s">
        <v>28</v>
      </c>
      <c r="O2397">
        <v>0</v>
      </c>
      <c r="P2397">
        <v>74828</v>
      </c>
      <c r="Q2397">
        <f t="shared" si="40"/>
        <v>7.4828000000000006E-2</v>
      </c>
      <c r="R2397">
        <v>43252</v>
      </c>
      <c r="S2397" t="s">
        <v>122</v>
      </c>
    </row>
    <row r="2398" spans="1:19">
      <c r="A2398">
        <v>60000495</v>
      </c>
      <c r="B2398">
        <v>55</v>
      </c>
      <c r="C2398" t="s">
        <v>18</v>
      </c>
      <c r="D2398" t="s">
        <v>40</v>
      </c>
      <c r="E2398" t="s">
        <v>34</v>
      </c>
      <c r="F2398" t="s">
        <v>35</v>
      </c>
      <c r="G2398" s="23">
        <v>0.1</v>
      </c>
      <c r="H2398" t="s">
        <v>36</v>
      </c>
      <c r="I2398" t="s">
        <v>30</v>
      </c>
      <c r="J2398" t="s">
        <v>69</v>
      </c>
      <c r="K2398" t="s">
        <v>81</v>
      </c>
      <c r="L2398" t="s">
        <v>119</v>
      </c>
      <c r="M2398" t="s">
        <v>125</v>
      </c>
      <c r="N2398" t="s">
        <v>51</v>
      </c>
      <c r="O2398">
        <v>0</v>
      </c>
      <c r="P2398">
        <v>33616</v>
      </c>
      <c r="Q2398">
        <f t="shared" si="40"/>
        <v>3.3616E-2</v>
      </c>
      <c r="R2398">
        <v>43252</v>
      </c>
      <c r="S2398" t="s">
        <v>122</v>
      </c>
    </row>
    <row r="2399" spans="1:19">
      <c r="A2399">
        <v>60000496</v>
      </c>
      <c r="B2399">
        <v>20</v>
      </c>
      <c r="C2399" t="s">
        <v>18</v>
      </c>
      <c r="D2399" t="s">
        <v>40</v>
      </c>
      <c r="E2399" t="s">
        <v>44</v>
      </c>
      <c r="F2399" t="s">
        <v>21</v>
      </c>
      <c r="G2399" s="23">
        <v>0.18</v>
      </c>
      <c r="H2399" t="s">
        <v>22</v>
      </c>
      <c r="I2399" t="s">
        <v>76</v>
      </c>
      <c r="J2399" t="s">
        <v>88</v>
      </c>
      <c r="K2399" t="s">
        <v>110</v>
      </c>
      <c r="L2399" t="s">
        <v>121</v>
      </c>
      <c r="M2399" t="s">
        <v>125</v>
      </c>
      <c r="N2399" t="s">
        <v>28</v>
      </c>
      <c r="O2399">
        <v>0</v>
      </c>
      <c r="P2399">
        <v>26557</v>
      </c>
      <c r="Q2399">
        <f t="shared" si="40"/>
        <v>2.6557000000000001E-2</v>
      </c>
      <c r="R2399">
        <v>43252</v>
      </c>
      <c r="S2399" t="s">
        <v>122</v>
      </c>
    </row>
    <row r="2400" spans="1:19">
      <c r="A2400">
        <v>60000497</v>
      </c>
      <c r="B2400">
        <v>31</v>
      </c>
      <c r="C2400" t="s">
        <v>18</v>
      </c>
      <c r="D2400" t="s">
        <v>40</v>
      </c>
      <c r="E2400" t="s">
        <v>67</v>
      </c>
      <c r="F2400" t="s">
        <v>21</v>
      </c>
      <c r="G2400" s="23">
        <v>0.3</v>
      </c>
      <c r="H2400" t="s">
        <v>53</v>
      </c>
      <c r="I2400" t="s">
        <v>86</v>
      </c>
      <c r="J2400" t="s">
        <v>58</v>
      </c>
      <c r="K2400" t="s">
        <v>112</v>
      </c>
      <c r="L2400" t="s">
        <v>26</v>
      </c>
      <c r="M2400" t="s">
        <v>125</v>
      </c>
      <c r="N2400" t="s">
        <v>28</v>
      </c>
      <c r="O2400">
        <v>0</v>
      </c>
      <c r="P2400">
        <v>62858</v>
      </c>
      <c r="Q2400">
        <f t="shared" si="40"/>
        <v>6.2857999999999997E-2</v>
      </c>
      <c r="R2400">
        <v>43252</v>
      </c>
      <c r="S2400" t="s">
        <v>122</v>
      </c>
    </row>
    <row r="2401" spans="1:19">
      <c r="A2401">
        <v>60000498</v>
      </c>
      <c r="B2401">
        <v>22</v>
      </c>
      <c r="C2401" t="s">
        <v>33</v>
      </c>
      <c r="D2401" t="s">
        <v>40</v>
      </c>
      <c r="E2401" t="s">
        <v>41</v>
      </c>
      <c r="F2401" t="s">
        <v>21</v>
      </c>
      <c r="G2401" s="23">
        <v>0.33</v>
      </c>
      <c r="H2401" t="s">
        <v>42</v>
      </c>
      <c r="I2401" t="s">
        <v>68</v>
      </c>
      <c r="J2401" t="s">
        <v>78</v>
      </c>
      <c r="K2401" t="s">
        <v>111</v>
      </c>
      <c r="L2401" t="s">
        <v>119</v>
      </c>
      <c r="M2401" t="s">
        <v>125</v>
      </c>
      <c r="N2401" t="s">
        <v>51</v>
      </c>
      <c r="O2401">
        <v>1</v>
      </c>
      <c r="P2401">
        <v>61560</v>
      </c>
      <c r="Q2401">
        <f t="shared" si="40"/>
        <v>6.1559999999999997E-2</v>
      </c>
      <c r="R2401">
        <v>43252</v>
      </c>
      <c r="S2401" t="s">
        <v>122</v>
      </c>
    </row>
    <row r="2402" spans="1:19">
      <c r="A2402">
        <v>60000499</v>
      </c>
      <c r="B2402">
        <v>49</v>
      </c>
      <c r="C2402" t="s">
        <v>33</v>
      </c>
      <c r="D2402" t="s">
        <v>19</v>
      </c>
      <c r="E2402" t="s">
        <v>41</v>
      </c>
      <c r="F2402" t="s">
        <v>21</v>
      </c>
      <c r="G2402" s="23">
        <v>0.18</v>
      </c>
      <c r="H2402" t="s">
        <v>22</v>
      </c>
      <c r="I2402" t="s">
        <v>73</v>
      </c>
      <c r="J2402" t="s">
        <v>58</v>
      </c>
      <c r="K2402" t="s">
        <v>71</v>
      </c>
      <c r="L2402" t="s">
        <v>121</v>
      </c>
      <c r="M2402" t="s">
        <v>125</v>
      </c>
      <c r="N2402" t="s">
        <v>28</v>
      </c>
      <c r="O2402">
        <v>0</v>
      </c>
      <c r="P2402">
        <v>79005</v>
      </c>
      <c r="Q2402">
        <f t="shared" si="40"/>
        <v>7.9005000000000006E-2</v>
      </c>
      <c r="R2402">
        <v>43252</v>
      </c>
      <c r="S2402" t="s">
        <v>122</v>
      </c>
    </row>
    <row r="2403" spans="1:19">
      <c r="A2403">
        <v>60000500</v>
      </c>
      <c r="B2403">
        <v>42</v>
      </c>
      <c r="C2403" t="s">
        <v>33</v>
      </c>
      <c r="D2403" t="s">
        <v>40</v>
      </c>
      <c r="E2403" t="s">
        <v>41</v>
      </c>
      <c r="F2403" t="s">
        <v>35</v>
      </c>
      <c r="G2403" s="23">
        <v>0.28000000000000003</v>
      </c>
      <c r="H2403" t="s">
        <v>53</v>
      </c>
      <c r="I2403" t="s">
        <v>73</v>
      </c>
      <c r="J2403" t="s">
        <v>46</v>
      </c>
      <c r="K2403" t="s">
        <v>114</v>
      </c>
      <c r="L2403" t="s">
        <v>119</v>
      </c>
      <c r="M2403" t="s">
        <v>125</v>
      </c>
      <c r="N2403" t="s">
        <v>28</v>
      </c>
      <c r="O2403">
        <v>0</v>
      </c>
      <c r="P2403">
        <v>28323</v>
      </c>
      <c r="Q2403">
        <f t="shared" si="40"/>
        <v>2.8323000000000001E-2</v>
      </c>
      <c r="R2403">
        <v>43252</v>
      </c>
      <c r="S2403" t="s">
        <v>122</v>
      </c>
    </row>
    <row r="2404" spans="1:19">
      <c r="A2404">
        <v>60000501</v>
      </c>
      <c r="B2404">
        <v>37</v>
      </c>
      <c r="C2404" t="s">
        <v>33</v>
      </c>
      <c r="D2404" t="s">
        <v>19</v>
      </c>
      <c r="E2404" t="s">
        <v>67</v>
      </c>
      <c r="F2404" t="s">
        <v>120</v>
      </c>
      <c r="G2404" s="23">
        <v>0.18</v>
      </c>
      <c r="H2404" t="s">
        <v>22</v>
      </c>
      <c r="I2404" t="s">
        <v>57</v>
      </c>
      <c r="J2404" t="s">
        <v>38</v>
      </c>
      <c r="K2404" t="s">
        <v>59</v>
      </c>
      <c r="L2404" t="s">
        <v>121</v>
      </c>
      <c r="M2404" t="s">
        <v>125</v>
      </c>
      <c r="N2404" t="s">
        <v>51</v>
      </c>
      <c r="O2404">
        <v>4</v>
      </c>
      <c r="P2404">
        <v>52056</v>
      </c>
      <c r="Q2404">
        <f t="shared" si="40"/>
        <v>5.2055999999999998E-2</v>
      </c>
      <c r="R2404">
        <v>43252</v>
      </c>
      <c r="S2404" t="s">
        <v>122</v>
      </c>
    </row>
    <row r="2405" spans="1:19">
      <c r="A2405">
        <v>60000502</v>
      </c>
      <c r="B2405">
        <v>62</v>
      </c>
      <c r="C2405" t="s">
        <v>18</v>
      </c>
      <c r="D2405" t="s">
        <v>40</v>
      </c>
      <c r="E2405" t="s">
        <v>67</v>
      </c>
      <c r="F2405" t="s">
        <v>35</v>
      </c>
      <c r="G2405" s="23">
        <v>0.31</v>
      </c>
      <c r="H2405" t="s">
        <v>53</v>
      </c>
      <c r="I2405" t="s">
        <v>49</v>
      </c>
      <c r="J2405" t="s">
        <v>74</v>
      </c>
      <c r="K2405" t="s">
        <v>113</v>
      </c>
      <c r="L2405" t="s">
        <v>119</v>
      </c>
      <c r="M2405" t="s">
        <v>125</v>
      </c>
      <c r="N2405" t="s">
        <v>28</v>
      </c>
      <c r="O2405">
        <v>0</v>
      </c>
      <c r="P2405">
        <v>39339</v>
      </c>
      <c r="Q2405">
        <f t="shared" si="40"/>
        <v>3.9338999999999999E-2</v>
      </c>
      <c r="R2405">
        <v>43252</v>
      </c>
      <c r="S2405" t="s">
        <v>122</v>
      </c>
    </row>
    <row r="2406" spans="1:19">
      <c r="A2406">
        <v>60000503</v>
      </c>
      <c r="B2406">
        <v>24</v>
      </c>
      <c r="C2406" t="s">
        <v>33</v>
      </c>
      <c r="D2406" t="s">
        <v>40</v>
      </c>
      <c r="E2406" t="s">
        <v>44</v>
      </c>
      <c r="F2406" t="s">
        <v>35</v>
      </c>
      <c r="G2406" s="23">
        <v>0.27</v>
      </c>
      <c r="H2406" t="s">
        <v>53</v>
      </c>
      <c r="I2406" t="s">
        <v>86</v>
      </c>
      <c r="J2406" t="s">
        <v>38</v>
      </c>
      <c r="K2406" t="s">
        <v>50</v>
      </c>
      <c r="L2406" t="s">
        <v>119</v>
      </c>
      <c r="M2406" t="s">
        <v>125</v>
      </c>
      <c r="N2406" t="s">
        <v>28</v>
      </c>
      <c r="O2406">
        <v>0</v>
      </c>
      <c r="P2406">
        <v>41199</v>
      </c>
      <c r="Q2406">
        <f t="shared" si="40"/>
        <v>4.1199E-2</v>
      </c>
      <c r="R2406">
        <v>43252</v>
      </c>
      <c r="S2406" t="s">
        <v>122</v>
      </c>
    </row>
    <row r="2407" spans="1:19">
      <c r="A2407">
        <v>60000504</v>
      </c>
      <c r="B2407">
        <v>24</v>
      </c>
      <c r="C2407" t="s">
        <v>33</v>
      </c>
      <c r="D2407" t="s">
        <v>40</v>
      </c>
      <c r="E2407" t="s">
        <v>48</v>
      </c>
      <c r="F2407" t="s">
        <v>120</v>
      </c>
      <c r="G2407" s="23">
        <v>0.17</v>
      </c>
      <c r="H2407" t="s">
        <v>22</v>
      </c>
      <c r="I2407" t="s">
        <v>80</v>
      </c>
      <c r="J2407" t="s">
        <v>61</v>
      </c>
      <c r="K2407" t="s">
        <v>81</v>
      </c>
      <c r="L2407" t="s">
        <v>26</v>
      </c>
      <c r="M2407" t="s">
        <v>125</v>
      </c>
      <c r="N2407" t="s">
        <v>28</v>
      </c>
      <c r="O2407">
        <v>0</v>
      </c>
      <c r="P2407">
        <v>49602</v>
      </c>
      <c r="Q2407">
        <f t="shared" si="40"/>
        <v>4.9602E-2</v>
      </c>
      <c r="R2407">
        <v>43252</v>
      </c>
      <c r="S2407" t="s">
        <v>122</v>
      </c>
    </row>
    <row r="2408" spans="1:19">
      <c r="A2408">
        <v>60000505</v>
      </c>
      <c r="B2408">
        <v>52</v>
      </c>
      <c r="C2408" t="s">
        <v>18</v>
      </c>
      <c r="D2408" t="s">
        <v>40</v>
      </c>
      <c r="E2408" t="s">
        <v>85</v>
      </c>
      <c r="F2408" t="s">
        <v>35</v>
      </c>
      <c r="G2408" s="23">
        <v>0.2</v>
      </c>
      <c r="H2408" t="s">
        <v>29</v>
      </c>
      <c r="I2408" t="s">
        <v>30</v>
      </c>
      <c r="J2408" t="s">
        <v>46</v>
      </c>
      <c r="K2408" t="s">
        <v>25</v>
      </c>
      <c r="L2408" t="s">
        <v>26</v>
      </c>
      <c r="M2408" t="s">
        <v>125</v>
      </c>
      <c r="N2408" t="s">
        <v>28</v>
      </c>
      <c r="O2408">
        <v>0</v>
      </c>
      <c r="P2408">
        <v>36760</v>
      </c>
      <c r="Q2408">
        <f t="shared" si="40"/>
        <v>3.6760000000000001E-2</v>
      </c>
      <c r="R2408">
        <v>43252</v>
      </c>
      <c r="S2408" t="s">
        <v>122</v>
      </c>
    </row>
    <row r="2409" spans="1:19">
      <c r="A2409">
        <v>60000506</v>
      </c>
      <c r="B2409">
        <v>54</v>
      </c>
      <c r="C2409" t="s">
        <v>18</v>
      </c>
      <c r="D2409" t="s">
        <v>19</v>
      </c>
      <c r="E2409" t="s">
        <v>75</v>
      </c>
      <c r="F2409" t="s">
        <v>35</v>
      </c>
      <c r="G2409" s="23">
        <v>0.34</v>
      </c>
      <c r="H2409" t="s">
        <v>42</v>
      </c>
      <c r="I2409" t="s">
        <v>68</v>
      </c>
      <c r="J2409" t="s">
        <v>69</v>
      </c>
      <c r="K2409" t="s">
        <v>50</v>
      </c>
      <c r="L2409" t="s">
        <v>119</v>
      </c>
      <c r="M2409" t="s">
        <v>125</v>
      </c>
      <c r="N2409" t="s">
        <v>28</v>
      </c>
      <c r="O2409">
        <v>0</v>
      </c>
      <c r="P2409">
        <v>79375</v>
      </c>
      <c r="Q2409">
        <f t="shared" si="40"/>
        <v>7.9375000000000001E-2</v>
      </c>
      <c r="R2409">
        <v>43252</v>
      </c>
      <c r="S2409" t="s">
        <v>122</v>
      </c>
    </row>
    <row r="2410" spans="1:19">
      <c r="A2410">
        <v>60000507</v>
      </c>
      <c r="B2410">
        <v>23</v>
      </c>
      <c r="C2410" t="s">
        <v>18</v>
      </c>
      <c r="D2410" t="s">
        <v>19</v>
      </c>
      <c r="E2410" t="s">
        <v>20</v>
      </c>
      <c r="F2410" t="s">
        <v>35</v>
      </c>
      <c r="G2410" s="23">
        <v>0.28000000000000003</v>
      </c>
      <c r="H2410" t="s">
        <v>53</v>
      </c>
      <c r="I2410" t="s">
        <v>80</v>
      </c>
      <c r="J2410" t="s">
        <v>66</v>
      </c>
      <c r="K2410" t="s">
        <v>113</v>
      </c>
      <c r="L2410" t="s">
        <v>121</v>
      </c>
      <c r="M2410" t="s">
        <v>125</v>
      </c>
      <c r="N2410" t="s">
        <v>51</v>
      </c>
      <c r="O2410">
        <v>7</v>
      </c>
      <c r="P2410">
        <v>77696</v>
      </c>
      <c r="Q2410">
        <f t="shared" si="40"/>
        <v>7.7696000000000001E-2</v>
      </c>
      <c r="R2410">
        <v>43252</v>
      </c>
      <c r="S2410" t="s">
        <v>122</v>
      </c>
    </row>
    <row r="2411" spans="1:19">
      <c r="A2411">
        <v>60000508</v>
      </c>
      <c r="B2411">
        <v>37</v>
      </c>
      <c r="C2411" t="s">
        <v>33</v>
      </c>
      <c r="D2411" t="s">
        <v>19</v>
      </c>
      <c r="E2411" t="s">
        <v>52</v>
      </c>
      <c r="F2411" t="s">
        <v>120</v>
      </c>
      <c r="G2411" s="23">
        <v>0.35</v>
      </c>
      <c r="H2411" t="s">
        <v>42</v>
      </c>
      <c r="I2411" t="s">
        <v>70</v>
      </c>
      <c r="J2411" t="s">
        <v>78</v>
      </c>
      <c r="K2411" t="s">
        <v>99</v>
      </c>
      <c r="L2411" t="s">
        <v>121</v>
      </c>
      <c r="M2411" t="s">
        <v>125</v>
      </c>
      <c r="N2411" t="s">
        <v>28</v>
      </c>
      <c r="O2411">
        <v>0</v>
      </c>
      <c r="P2411">
        <v>81384</v>
      </c>
      <c r="Q2411">
        <f t="shared" si="40"/>
        <v>8.1383999999999998E-2</v>
      </c>
      <c r="R2411">
        <v>43252</v>
      </c>
      <c r="S2411" t="s">
        <v>122</v>
      </c>
    </row>
    <row r="2412" spans="1:19">
      <c r="A2412">
        <v>60000509</v>
      </c>
      <c r="B2412">
        <v>22</v>
      </c>
      <c r="C2412" t="s">
        <v>18</v>
      </c>
      <c r="D2412" t="s">
        <v>19</v>
      </c>
      <c r="E2412" t="s">
        <v>48</v>
      </c>
      <c r="F2412" t="s">
        <v>120</v>
      </c>
      <c r="G2412" s="23">
        <v>0.36</v>
      </c>
      <c r="H2412" t="s">
        <v>42</v>
      </c>
      <c r="I2412" t="s">
        <v>23</v>
      </c>
      <c r="J2412" t="s">
        <v>46</v>
      </c>
      <c r="K2412" t="s">
        <v>50</v>
      </c>
      <c r="L2412" t="s">
        <v>26</v>
      </c>
      <c r="M2412" t="s">
        <v>125</v>
      </c>
      <c r="N2412" t="s">
        <v>51</v>
      </c>
      <c r="O2412">
        <v>0</v>
      </c>
      <c r="P2412">
        <v>64585</v>
      </c>
      <c r="Q2412">
        <f t="shared" si="40"/>
        <v>6.4585000000000004E-2</v>
      </c>
      <c r="R2412">
        <v>43252</v>
      </c>
      <c r="S2412" t="s">
        <v>122</v>
      </c>
    </row>
    <row r="2413" spans="1:19">
      <c r="A2413">
        <v>60000510</v>
      </c>
      <c r="B2413">
        <v>22</v>
      </c>
      <c r="C2413" t="s">
        <v>33</v>
      </c>
      <c r="D2413" t="s">
        <v>19</v>
      </c>
      <c r="E2413" t="s">
        <v>64</v>
      </c>
      <c r="F2413" t="s">
        <v>35</v>
      </c>
      <c r="G2413" s="23">
        <v>0.38</v>
      </c>
      <c r="H2413" t="s">
        <v>42</v>
      </c>
      <c r="I2413" t="s">
        <v>65</v>
      </c>
      <c r="J2413" t="s">
        <v>74</v>
      </c>
      <c r="K2413" t="s">
        <v>65</v>
      </c>
      <c r="L2413" t="s">
        <v>119</v>
      </c>
      <c r="M2413" t="s">
        <v>125</v>
      </c>
      <c r="N2413" t="s">
        <v>51</v>
      </c>
      <c r="O2413">
        <v>6</v>
      </c>
      <c r="P2413">
        <v>26416</v>
      </c>
      <c r="Q2413">
        <f t="shared" si="40"/>
        <v>2.6415999999999999E-2</v>
      </c>
      <c r="R2413">
        <v>43252</v>
      </c>
      <c r="S2413" t="s">
        <v>122</v>
      </c>
    </row>
    <row r="2414" spans="1:19">
      <c r="A2414">
        <v>60000511</v>
      </c>
      <c r="B2414">
        <v>29</v>
      </c>
      <c r="C2414" t="s">
        <v>33</v>
      </c>
      <c r="D2414" t="s">
        <v>40</v>
      </c>
      <c r="E2414" t="s">
        <v>72</v>
      </c>
      <c r="F2414" t="s">
        <v>120</v>
      </c>
      <c r="G2414" s="23">
        <v>0.27</v>
      </c>
      <c r="H2414" t="s">
        <v>53</v>
      </c>
      <c r="I2414" t="s">
        <v>65</v>
      </c>
      <c r="J2414" t="s">
        <v>66</v>
      </c>
      <c r="K2414" t="s">
        <v>94</v>
      </c>
      <c r="L2414" t="s">
        <v>119</v>
      </c>
      <c r="M2414" t="s">
        <v>125</v>
      </c>
      <c r="N2414" t="s">
        <v>51</v>
      </c>
      <c r="O2414">
        <v>2</v>
      </c>
      <c r="P2414">
        <v>64046</v>
      </c>
      <c r="Q2414">
        <f t="shared" si="40"/>
        <v>6.4046000000000006E-2</v>
      </c>
      <c r="R2414">
        <v>43252</v>
      </c>
      <c r="S2414" t="s">
        <v>122</v>
      </c>
    </row>
    <row r="2415" spans="1:19">
      <c r="A2415">
        <v>60000512</v>
      </c>
      <c r="B2415">
        <v>38</v>
      </c>
      <c r="C2415" t="s">
        <v>18</v>
      </c>
      <c r="D2415" t="s">
        <v>40</v>
      </c>
      <c r="E2415" t="s">
        <v>44</v>
      </c>
      <c r="F2415" t="s">
        <v>35</v>
      </c>
      <c r="G2415" s="23">
        <v>0.35</v>
      </c>
      <c r="H2415" t="s">
        <v>42</v>
      </c>
      <c r="I2415" t="s">
        <v>23</v>
      </c>
      <c r="J2415" t="s">
        <v>46</v>
      </c>
      <c r="K2415" t="s">
        <v>112</v>
      </c>
      <c r="L2415" t="s">
        <v>121</v>
      </c>
      <c r="M2415" t="s">
        <v>125</v>
      </c>
      <c r="N2415" t="s">
        <v>51</v>
      </c>
      <c r="O2415">
        <v>7</v>
      </c>
      <c r="P2415">
        <v>24939</v>
      </c>
      <c r="Q2415">
        <f t="shared" ref="Q2415:Q2478" si="41">+P2415/1000000</f>
        <v>2.4938999999999999E-2</v>
      </c>
      <c r="R2415">
        <v>43252</v>
      </c>
      <c r="S2415" t="s">
        <v>122</v>
      </c>
    </row>
    <row r="2416" spans="1:19">
      <c r="A2416">
        <v>60000513</v>
      </c>
      <c r="B2416">
        <v>64</v>
      </c>
      <c r="C2416" t="s">
        <v>18</v>
      </c>
      <c r="D2416" t="s">
        <v>19</v>
      </c>
      <c r="E2416" t="s">
        <v>72</v>
      </c>
      <c r="F2416" t="s">
        <v>35</v>
      </c>
      <c r="G2416" s="23">
        <v>0.35</v>
      </c>
      <c r="H2416" t="s">
        <v>42</v>
      </c>
      <c r="I2416" t="s">
        <v>68</v>
      </c>
      <c r="J2416" t="s">
        <v>38</v>
      </c>
      <c r="K2416" t="s">
        <v>49</v>
      </c>
      <c r="L2416" t="s">
        <v>26</v>
      </c>
      <c r="M2416" t="s">
        <v>125</v>
      </c>
      <c r="N2416" t="s">
        <v>28</v>
      </c>
      <c r="O2416">
        <v>0</v>
      </c>
      <c r="P2416">
        <v>79838</v>
      </c>
      <c r="Q2416">
        <f t="shared" si="41"/>
        <v>7.9838000000000006E-2</v>
      </c>
      <c r="R2416">
        <v>43252</v>
      </c>
      <c r="S2416" t="s">
        <v>122</v>
      </c>
    </row>
    <row r="2417" spans="1:19">
      <c r="A2417">
        <v>60000514</v>
      </c>
      <c r="B2417">
        <v>59</v>
      </c>
      <c r="C2417" t="s">
        <v>18</v>
      </c>
      <c r="D2417" t="s">
        <v>40</v>
      </c>
      <c r="E2417" t="s">
        <v>67</v>
      </c>
      <c r="F2417" t="s">
        <v>21</v>
      </c>
      <c r="G2417" s="23">
        <v>0.19</v>
      </c>
      <c r="H2417" t="s">
        <v>29</v>
      </c>
      <c r="I2417" t="s">
        <v>30</v>
      </c>
      <c r="J2417" t="s">
        <v>38</v>
      </c>
      <c r="K2417" t="s">
        <v>108</v>
      </c>
      <c r="L2417" t="s">
        <v>26</v>
      </c>
      <c r="M2417" t="s">
        <v>125</v>
      </c>
      <c r="N2417" t="s">
        <v>51</v>
      </c>
      <c r="O2417">
        <v>7</v>
      </c>
      <c r="P2417">
        <v>28883</v>
      </c>
      <c r="Q2417">
        <f t="shared" si="41"/>
        <v>2.8882999999999999E-2</v>
      </c>
      <c r="R2417">
        <v>43252</v>
      </c>
      <c r="S2417" t="s">
        <v>122</v>
      </c>
    </row>
    <row r="2418" spans="1:19">
      <c r="A2418">
        <v>60000515</v>
      </c>
      <c r="B2418">
        <v>58</v>
      </c>
      <c r="C2418" t="s">
        <v>18</v>
      </c>
      <c r="D2418" t="s">
        <v>40</v>
      </c>
      <c r="E2418" t="s">
        <v>67</v>
      </c>
      <c r="F2418" t="s">
        <v>35</v>
      </c>
      <c r="G2418" s="23">
        <v>0.25</v>
      </c>
      <c r="H2418" t="s">
        <v>53</v>
      </c>
      <c r="I2418" t="s">
        <v>86</v>
      </c>
      <c r="J2418" t="s">
        <v>31</v>
      </c>
      <c r="K2418" t="s">
        <v>99</v>
      </c>
      <c r="L2418" t="s">
        <v>119</v>
      </c>
      <c r="M2418" t="s">
        <v>125</v>
      </c>
      <c r="N2418" t="s">
        <v>51</v>
      </c>
      <c r="O2418">
        <v>0</v>
      </c>
      <c r="P2418">
        <v>82172</v>
      </c>
      <c r="Q2418">
        <f t="shared" si="41"/>
        <v>8.2171999999999995E-2</v>
      </c>
      <c r="R2418">
        <v>43252</v>
      </c>
      <c r="S2418" t="s">
        <v>122</v>
      </c>
    </row>
    <row r="2419" spans="1:19">
      <c r="A2419">
        <v>60000516</v>
      </c>
      <c r="B2419">
        <v>22</v>
      </c>
      <c r="C2419" t="s">
        <v>18</v>
      </c>
      <c r="D2419" t="s">
        <v>19</v>
      </c>
      <c r="E2419" t="s">
        <v>64</v>
      </c>
      <c r="F2419" t="s">
        <v>21</v>
      </c>
      <c r="G2419" s="23">
        <v>0.18</v>
      </c>
      <c r="H2419" t="s">
        <v>22</v>
      </c>
      <c r="I2419" t="s">
        <v>60</v>
      </c>
      <c r="J2419" t="s">
        <v>24</v>
      </c>
      <c r="K2419" t="s">
        <v>84</v>
      </c>
      <c r="L2419" t="s">
        <v>119</v>
      </c>
      <c r="M2419" t="s">
        <v>125</v>
      </c>
      <c r="N2419" t="s">
        <v>28</v>
      </c>
      <c r="O2419">
        <v>0</v>
      </c>
      <c r="P2419">
        <v>49849</v>
      </c>
      <c r="Q2419">
        <f t="shared" si="41"/>
        <v>4.9848999999999997E-2</v>
      </c>
      <c r="R2419">
        <v>43252</v>
      </c>
      <c r="S2419" t="s">
        <v>122</v>
      </c>
    </row>
    <row r="2420" spans="1:19">
      <c r="A2420">
        <v>60000517</v>
      </c>
      <c r="B2420">
        <v>22</v>
      </c>
      <c r="C2420" t="s">
        <v>18</v>
      </c>
      <c r="D2420" t="s">
        <v>40</v>
      </c>
      <c r="E2420" t="s">
        <v>56</v>
      </c>
      <c r="F2420" t="s">
        <v>120</v>
      </c>
      <c r="G2420" s="23">
        <v>0.16</v>
      </c>
      <c r="H2420" t="s">
        <v>22</v>
      </c>
      <c r="I2420" t="s">
        <v>68</v>
      </c>
      <c r="J2420" t="s">
        <v>74</v>
      </c>
      <c r="K2420" t="s">
        <v>111</v>
      </c>
      <c r="L2420" t="s">
        <v>119</v>
      </c>
      <c r="M2420" t="s">
        <v>125</v>
      </c>
      <c r="N2420" t="s">
        <v>28</v>
      </c>
      <c r="O2420">
        <v>0</v>
      </c>
      <c r="P2420">
        <v>55350</v>
      </c>
      <c r="Q2420">
        <f t="shared" si="41"/>
        <v>5.5350000000000003E-2</v>
      </c>
      <c r="R2420">
        <v>43252</v>
      </c>
      <c r="S2420" t="s">
        <v>122</v>
      </c>
    </row>
    <row r="2421" spans="1:19">
      <c r="A2421">
        <v>60000518</v>
      </c>
      <c r="B2421">
        <v>45</v>
      </c>
      <c r="C2421" t="s">
        <v>18</v>
      </c>
      <c r="D2421" t="s">
        <v>19</v>
      </c>
      <c r="E2421" t="s">
        <v>75</v>
      </c>
      <c r="F2421" t="s">
        <v>21</v>
      </c>
      <c r="G2421" s="23">
        <v>0.28000000000000003</v>
      </c>
      <c r="H2421" t="s">
        <v>53</v>
      </c>
      <c r="I2421" t="s">
        <v>86</v>
      </c>
      <c r="J2421" t="s">
        <v>61</v>
      </c>
      <c r="K2421" t="s">
        <v>79</v>
      </c>
      <c r="L2421" t="s">
        <v>121</v>
      </c>
      <c r="M2421" t="s">
        <v>125</v>
      </c>
      <c r="N2421" t="s">
        <v>51</v>
      </c>
      <c r="O2421">
        <v>3</v>
      </c>
      <c r="P2421">
        <v>78750</v>
      </c>
      <c r="Q2421">
        <f t="shared" si="41"/>
        <v>7.8750000000000001E-2</v>
      </c>
      <c r="R2421">
        <v>43252</v>
      </c>
      <c r="S2421" t="s">
        <v>122</v>
      </c>
    </row>
    <row r="2422" spans="1:19">
      <c r="A2422">
        <v>60000519</v>
      </c>
      <c r="B2422">
        <v>26</v>
      </c>
      <c r="C2422" t="s">
        <v>33</v>
      </c>
      <c r="D2422" t="s">
        <v>19</v>
      </c>
      <c r="E2422" t="s">
        <v>44</v>
      </c>
      <c r="F2422" t="s">
        <v>21</v>
      </c>
      <c r="G2422" s="23">
        <v>0.17</v>
      </c>
      <c r="H2422" t="s">
        <v>22</v>
      </c>
      <c r="I2422" t="s">
        <v>73</v>
      </c>
      <c r="J2422" t="s">
        <v>66</v>
      </c>
      <c r="K2422" t="s">
        <v>65</v>
      </c>
      <c r="L2422" t="s">
        <v>119</v>
      </c>
      <c r="M2422" t="s">
        <v>125</v>
      </c>
      <c r="N2422" t="s">
        <v>51</v>
      </c>
      <c r="O2422">
        <v>3</v>
      </c>
      <c r="P2422">
        <v>76139</v>
      </c>
      <c r="Q2422">
        <f t="shared" si="41"/>
        <v>7.6138999999999998E-2</v>
      </c>
      <c r="R2422">
        <v>43252</v>
      </c>
      <c r="S2422" t="s">
        <v>122</v>
      </c>
    </row>
    <row r="2423" spans="1:19">
      <c r="A2423">
        <v>60000520</v>
      </c>
      <c r="B2423">
        <v>54</v>
      </c>
      <c r="C2423" t="s">
        <v>33</v>
      </c>
      <c r="D2423" t="s">
        <v>19</v>
      </c>
      <c r="E2423" t="s">
        <v>44</v>
      </c>
      <c r="F2423" t="s">
        <v>120</v>
      </c>
      <c r="G2423" s="23">
        <v>0.32</v>
      </c>
      <c r="H2423" t="s">
        <v>42</v>
      </c>
      <c r="I2423" t="s">
        <v>45</v>
      </c>
      <c r="J2423" t="s">
        <v>38</v>
      </c>
      <c r="K2423" t="s">
        <v>79</v>
      </c>
      <c r="L2423" t="s">
        <v>26</v>
      </c>
      <c r="M2423" t="s">
        <v>125</v>
      </c>
      <c r="N2423" t="s">
        <v>51</v>
      </c>
      <c r="O2423">
        <v>7</v>
      </c>
      <c r="P2423">
        <v>44697</v>
      </c>
      <c r="Q2423">
        <f t="shared" si="41"/>
        <v>4.4697000000000001E-2</v>
      </c>
      <c r="R2423">
        <v>43252</v>
      </c>
      <c r="S2423" t="s">
        <v>122</v>
      </c>
    </row>
    <row r="2424" spans="1:19">
      <c r="A2424">
        <v>60000521</v>
      </c>
      <c r="B2424">
        <v>32</v>
      </c>
      <c r="C2424" t="s">
        <v>33</v>
      </c>
      <c r="D2424" t="s">
        <v>19</v>
      </c>
      <c r="E2424" t="s">
        <v>34</v>
      </c>
      <c r="F2424" t="s">
        <v>21</v>
      </c>
      <c r="G2424" s="23">
        <v>0.32</v>
      </c>
      <c r="H2424" t="s">
        <v>42</v>
      </c>
      <c r="I2424" t="s">
        <v>57</v>
      </c>
      <c r="J2424" t="s">
        <v>78</v>
      </c>
      <c r="K2424" t="s">
        <v>118</v>
      </c>
      <c r="L2424" t="s">
        <v>26</v>
      </c>
      <c r="M2424" t="s">
        <v>125</v>
      </c>
      <c r="N2424" t="s">
        <v>51</v>
      </c>
      <c r="O2424">
        <v>3</v>
      </c>
      <c r="P2424">
        <v>29148</v>
      </c>
      <c r="Q2424">
        <f t="shared" si="41"/>
        <v>2.9148E-2</v>
      </c>
      <c r="R2424">
        <v>43252</v>
      </c>
      <c r="S2424" t="s">
        <v>122</v>
      </c>
    </row>
    <row r="2425" spans="1:19">
      <c r="A2425">
        <v>60000522</v>
      </c>
      <c r="B2425">
        <v>26</v>
      </c>
      <c r="C2425" t="s">
        <v>33</v>
      </c>
      <c r="D2425" t="s">
        <v>40</v>
      </c>
      <c r="E2425" t="s">
        <v>56</v>
      </c>
      <c r="F2425" t="s">
        <v>35</v>
      </c>
      <c r="G2425" s="23">
        <v>0.3</v>
      </c>
      <c r="H2425" t="s">
        <v>53</v>
      </c>
      <c r="I2425" t="s">
        <v>49</v>
      </c>
      <c r="J2425" t="s">
        <v>66</v>
      </c>
      <c r="K2425" t="s">
        <v>104</v>
      </c>
      <c r="L2425" t="s">
        <v>119</v>
      </c>
      <c r="M2425" t="s">
        <v>125</v>
      </c>
      <c r="N2425" t="s">
        <v>51</v>
      </c>
      <c r="O2425">
        <v>7</v>
      </c>
      <c r="P2425">
        <v>46375</v>
      </c>
      <c r="Q2425">
        <f t="shared" si="41"/>
        <v>4.6375E-2</v>
      </c>
      <c r="R2425">
        <v>43252</v>
      </c>
      <c r="S2425" t="s">
        <v>122</v>
      </c>
    </row>
    <row r="2426" spans="1:19">
      <c r="A2426">
        <v>60000523</v>
      </c>
      <c r="B2426">
        <v>32</v>
      </c>
      <c r="C2426" t="s">
        <v>18</v>
      </c>
      <c r="D2426" t="s">
        <v>40</v>
      </c>
      <c r="E2426" t="s">
        <v>85</v>
      </c>
      <c r="F2426" t="s">
        <v>21</v>
      </c>
      <c r="G2426" s="23">
        <v>0.1</v>
      </c>
      <c r="H2426" t="s">
        <v>36</v>
      </c>
      <c r="I2426" t="s">
        <v>60</v>
      </c>
      <c r="J2426" t="s">
        <v>78</v>
      </c>
      <c r="K2426" t="s">
        <v>94</v>
      </c>
      <c r="L2426" t="s">
        <v>26</v>
      </c>
      <c r="M2426" t="s">
        <v>125</v>
      </c>
      <c r="N2426" t="s">
        <v>51</v>
      </c>
      <c r="O2426">
        <v>6</v>
      </c>
      <c r="P2426">
        <v>46883</v>
      </c>
      <c r="Q2426">
        <f t="shared" si="41"/>
        <v>4.6883000000000001E-2</v>
      </c>
      <c r="R2426">
        <v>43252</v>
      </c>
      <c r="S2426" t="s">
        <v>122</v>
      </c>
    </row>
    <row r="2427" spans="1:19">
      <c r="A2427">
        <v>60000524</v>
      </c>
      <c r="B2427">
        <v>47</v>
      </c>
      <c r="C2427" t="s">
        <v>33</v>
      </c>
      <c r="D2427" t="s">
        <v>19</v>
      </c>
      <c r="E2427" t="s">
        <v>44</v>
      </c>
      <c r="F2427" t="s">
        <v>35</v>
      </c>
      <c r="G2427" s="23">
        <v>0.22</v>
      </c>
      <c r="H2427" t="s">
        <v>29</v>
      </c>
      <c r="I2427" t="s">
        <v>80</v>
      </c>
      <c r="J2427" t="s">
        <v>54</v>
      </c>
      <c r="K2427" t="s">
        <v>82</v>
      </c>
      <c r="L2427" t="s">
        <v>121</v>
      </c>
      <c r="M2427" t="s">
        <v>125</v>
      </c>
      <c r="N2427" t="s">
        <v>28</v>
      </c>
      <c r="O2427">
        <v>0</v>
      </c>
      <c r="P2427">
        <v>35596</v>
      </c>
      <c r="Q2427">
        <f t="shared" si="41"/>
        <v>3.5596000000000003E-2</v>
      </c>
      <c r="R2427">
        <v>43252</v>
      </c>
      <c r="S2427" t="s">
        <v>122</v>
      </c>
    </row>
    <row r="2428" spans="1:19">
      <c r="A2428">
        <v>60000525</v>
      </c>
      <c r="B2428">
        <v>28</v>
      </c>
      <c r="C2428" t="s">
        <v>33</v>
      </c>
      <c r="D2428" t="s">
        <v>40</v>
      </c>
      <c r="E2428" t="s">
        <v>75</v>
      </c>
      <c r="F2428" t="s">
        <v>35</v>
      </c>
      <c r="G2428" s="23">
        <v>0.37</v>
      </c>
      <c r="H2428" t="s">
        <v>42</v>
      </c>
      <c r="I2428" t="s">
        <v>45</v>
      </c>
      <c r="J2428" t="s">
        <v>78</v>
      </c>
      <c r="K2428" t="s">
        <v>99</v>
      </c>
      <c r="L2428" t="s">
        <v>26</v>
      </c>
      <c r="M2428" t="s">
        <v>125</v>
      </c>
      <c r="N2428" t="s">
        <v>51</v>
      </c>
      <c r="O2428">
        <v>4</v>
      </c>
      <c r="P2428">
        <v>47797</v>
      </c>
      <c r="Q2428">
        <f t="shared" si="41"/>
        <v>4.7796999999999999E-2</v>
      </c>
      <c r="R2428">
        <v>43252</v>
      </c>
      <c r="S2428" t="s">
        <v>122</v>
      </c>
    </row>
    <row r="2429" spans="1:19">
      <c r="A2429">
        <v>60000526</v>
      </c>
      <c r="B2429">
        <v>49</v>
      </c>
      <c r="C2429" t="s">
        <v>18</v>
      </c>
      <c r="D2429" t="s">
        <v>40</v>
      </c>
      <c r="E2429" t="s">
        <v>75</v>
      </c>
      <c r="F2429" t="s">
        <v>35</v>
      </c>
      <c r="G2429" s="23">
        <v>0.13</v>
      </c>
      <c r="H2429" t="s">
        <v>22</v>
      </c>
      <c r="I2429" t="s">
        <v>49</v>
      </c>
      <c r="J2429" t="s">
        <v>46</v>
      </c>
      <c r="K2429" t="s">
        <v>63</v>
      </c>
      <c r="L2429" t="s">
        <v>119</v>
      </c>
      <c r="M2429" t="s">
        <v>125</v>
      </c>
      <c r="N2429" t="s">
        <v>51</v>
      </c>
      <c r="O2429">
        <v>7</v>
      </c>
      <c r="P2429">
        <v>84205</v>
      </c>
      <c r="Q2429">
        <f t="shared" si="41"/>
        <v>8.4205000000000002E-2</v>
      </c>
      <c r="R2429">
        <v>43252</v>
      </c>
      <c r="S2429" t="s">
        <v>122</v>
      </c>
    </row>
    <row r="2430" spans="1:19">
      <c r="A2430">
        <v>60000527</v>
      </c>
      <c r="B2430">
        <v>27</v>
      </c>
      <c r="C2430" t="s">
        <v>33</v>
      </c>
      <c r="D2430" t="s">
        <v>40</v>
      </c>
      <c r="E2430" t="s">
        <v>72</v>
      </c>
      <c r="F2430" t="s">
        <v>35</v>
      </c>
      <c r="G2430" s="23">
        <v>0.31</v>
      </c>
      <c r="H2430" t="s">
        <v>53</v>
      </c>
      <c r="I2430" t="s">
        <v>65</v>
      </c>
      <c r="J2430" t="s">
        <v>69</v>
      </c>
      <c r="K2430" t="s">
        <v>55</v>
      </c>
      <c r="L2430" t="s">
        <v>121</v>
      </c>
      <c r="M2430" t="s">
        <v>125</v>
      </c>
      <c r="N2430" t="s">
        <v>28</v>
      </c>
      <c r="O2430">
        <v>0</v>
      </c>
      <c r="P2430">
        <v>40117</v>
      </c>
      <c r="Q2430">
        <f t="shared" si="41"/>
        <v>4.0117E-2</v>
      </c>
      <c r="R2430">
        <v>43252</v>
      </c>
      <c r="S2430" t="s">
        <v>122</v>
      </c>
    </row>
    <row r="2431" spans="1:19">
      <c r="A2431">
        <v>60000528</v>
      </c>
      <c r="B2431">
        <v>55</v>
      </c>
      <c r="C2431" t="s">
        <v>18</v>
      </c>
      <c r="D2431" t="s">
        <v>19</v>
      </c>
      <c r="E2431" t="s">
        <v>20</v>
      </c>
      <c r="F2431" t="s">
        <v>35</v>
      </c>
      <c r="G2431" s="23">
        <v>0.24</v>
      </c>
      <c r="H2431" t="s">
        <v>29</v>
      </c>
      <c r="I2431" t="s">
        <v>49</v>
      </c>
      <c r="J2431" t="s">
        <v>46</v>
      </c>
      <c r="K2431" t="s">
        <v>90</v>
      </c>
      <c r="L2431" t="s">
        <v>119</v>
      </c>
      <c r="M2431" t="s">
        <v>125</v>
      </c>
      <c r="N2431" t="s">
        <v>28</v>
      </c>
      <c r="O2431">
        <v>0</v>
      </c>
      <c r="P2431">
        <v>41802</v>
      </c>
      <c r="Q2431">
        <f t="shared" si="41"/>
        <v>4.1801999999999999E-2</v>
      </c>
      <c r="R2431">
        <v>43252</v>
      </c>
      <c r="S2431" t="s">
        <v>122</v>
      </c>
    </row>
    <row r="2432" spans="1:19">
      <c r="A2432">
        <v>60000529</v>
      </c>
      <c r="B2432">
        <v>27</v>
      </c>
      <c r="C2432" t="s">
        <v>18</v>
      </c>
      <c r="D2432" t="s">
        <v>19</v>
      </c>
      <c r="E2432" t="s">
        <v>67</v>
      </c>
      <c r="F2432" t="s">
        <v>35</v>
      </c>
      <c r="G2432" s="23">
        <v>0.34</v>
      </c>
      <c r="H2432" t="s">
        <v>42</v>
      </c>
      <c r="I2432" t="s">
        <v>86</v>
      </c>
      <c r="J2432" t="s">
        <v>69</v>
      </c>
      <c r="K2432" t="s">
        <v>39</v>
      </c>
      <c r="L2432" t="s">
        <v>26</v>
      </c>
      <c r="M2432" t="s">
        <v>125</v>
      </c>
      <c r="N2432" t="s">
        <v>28</v>
      </c>
      <c r="O2432">
        <v>0</v>
      </c>
      <c r="P2432">
        <v>69085</v>
      </c>
      <c r="Q2432">
        <f t="shared" si="41"/>
        <v>6.9084999999999994E-2</v>
      </c>
      <c r="R2432">
        <v>43252</v>
      </c>
      <c r="S2432" t="s">
        <v>122</v>
      </c>
    </row>
    <row r="2433" spans="1:19">
      <c r="A2433">
        <v>60000530</v>
      </c>
      <c r="B2433">
        <v>27</v>
      </c>
      <c r="C2433" t="s">
        <v>18</v>
      </c>
      <c r="D2433" t="s">
        <v>40</v>
      </c>
      <c r="E2433" t="s">
        <v>56</v>
      </c>
      <c r="F2433" t="s">
        <v>35</v>
      </c>
      <c r="G2433" s="23">
        <v>0.38</v>
      </c>
      <c r="H2433" t="s">
        <v>42</v>
      </c>
      <c r="I2433" t="s">
        <v>65</v>
      </c>
      <c r="J2433" t="s">
        <v>54</v>
      </c>
      <c r="K2433" t="s">
        <v>106</v>
      </c>
      <c r="L2433" t="s">
        <v>119</v>
      </c>
      <c r="M2433" t="s">
        <v>125</v>
      </c>
      <c r="N2433" t="s">
        <v>51</v>
      </c>
      <c r="O2433">
        <v>6</v>
      </c>
      <c r="P2433">
        <v>51061</v>
      </c>
      <c r="Q2433">
        <f t="shared" si="41"/>
        <v>5.1061000000000002E-2</v>
      </c>
      <c r="R2433">
        <v>43252</v>
      </c>
      <c r="S2433" t="s">
        <v>122</v>
      </c>
    </row>
    <row r="2434" spans="1:19">
      <c r="A2434">
        <v>60000531</v>
      </c>
      <c r="B2434">
        <v>27</v>
      </c>
      <c r="C2434" t="s">
        <v>18</v>
      </c>
      <c r="D2434" t="s">
        <v>40</v>
      </c>
      <c r="E2434" t="s">
        <v>67</v>
      </c>
      <c r="F2434" t="s">
        <v>35</v>
      </c>
      <c r="G2434" s="23">
        <v>0.14000000000000001</v>
      </c>
      <c r="H2434" t="s">
        <v>22</v>
      </c>
      <c r="I2434" t="s">
        <v>68</v>
      </c>
      <c r="J2434" t="s">
        <v>46</v>
      </c>
      <c r="K2434" t="s">
        <v>95</v>
      </c>
      <c r="L2434" t="s">
        <v>26</v>
      </c>
      <c r="M2434" t="s">
        <v>125</v>
      </c>
      <c r="N2434" t="s">
        <v>51</v>
      </c>
      <c r="O2434">
        <v>2</v>
      </c>
      <c r="P2434">
        <v>83923</v>
      </c>
      <c r="Q2434">
        <f t="shared" si="41"/>
        <v>8.3922999999999998E-2</v>
      </c>
      <c r="R2434">
        <v>43252</v>
      </c>
      <c r="S2434" t="s">
        <v>122</v>
      </c>
    </row>
    <row r="2435" spans="1:19">
      <c r="A2435">
        <v>60000532</v>
      </c>
      <c r="B2435">
        <v>20</v>
      </c>
      <c r="C2435" t="s">
        <v>33</v>
      </c>
      <c r="D2435" t="s">
        <v>19</v>
      </c>
      <c r="E2435" t="s">
        <v>20</v>
      </c>
      <c r="F2435" t="s">
        <v>21</v>
      </c>
      <c r="G2435" s="23">
        <v>0.35</v>
      </c>
      <c r="H2435" t="s">
        <v>42</v>
      </c>
      <c r="I2435" t="s">
        <v>30</v>
      </c>
      <c r="J2435" t="s">
        <v>78</v>
      </c>
      <c r="K2435" t="s">
        <v>55</v>
      </c>
      <c r="L2435" t="s">
        <v>119</v>
      </c>
      <c r="M2435" t="s">
        <v>125</v>
      </c>
      <c r="N2435" t="s">
        <v>28</v>
      </c>
      <c r="O2435">
        <v>0</v>
      </c>
      <c r="P2435">
        <v>58922</v>
      </c>
      <c r="Q2435">
        <f t="shared" si="41"/>
        <v>5.8922000000000002E-2</v>
      </c>
      <c r="R2435">
        <v>43252</v>
      </c>
      <c r="S2435" t="s">
        <v>122</v>
      </c>
    </row>
    <row r="2436" spans="1:19">
      <c r="A2436">
        <v>60000533</v>
      </c>
      <c r="B2436">
        <v>26</v>
      </c>
      <c r="C2436" t="s">
        <v>33</v>
      </c>
      <c r="D2436" t="s">
        <v>40</v>
      </c>
      <c r="E2436" t="s">
        <v>75</v>
      </c>
      <c r="F2436" t="s">
        <v>21</v>
      </c>
      <c r="G2436" s="23">
        <v>0.24</v>
      </c>
      <c r="H2436" t="s">
        <v>29</v>
      </c>
      <c r="I2436" t="s">
        <v>68</v>
      </c>
      <c r="J2436" t="s">
        <v>66</v>
      </c>
      <c r="K2436" t="s">
        <v>47</v>
      </c>
      <c r="L2436" t="s">
        <v>26</v>
      </c>
      <c r="M2436" t="s">
        <v>125</v>
      </c>
      <c r="N2436" t="s">
        <v>28</v>
      </c>
      <c r="O2436">
        <v>0</v>
      </c>
      <c r="P2436">
        <v>51571</v>
      </c>
      <c r="Q2436">
        <f t="shared" si="41"/>
        <v>5.1570999999999999E-2</v>
      </c>
      <c r="R2436">
        <v>43252</v>
      </c>
      <c r="S2436" t="s">
        <v>122</v>
      </c>
    </row>
    <row r="2437" spans="1:19">
      <c r="A2437">
        <v>60000534</v>
      </c>
      <c r="B2437">
        <v>51</v>
      </c>
      <c r="C2437" t="s">
        <v>18</v>
      </c>
      <c r="D2437" t="s">
        <v>19</v>
      </c>
      <c r="E2437" t="s">
        <v>20</v>
      </c>
      <c r="F2437" t="s">
        <v>35</v>
      </c>
      <c r="G2437" s="23">
        <v>0.25</v>
      </c>
      <c r="H2437" t="s">
        <v>53</v>
      </c>
      <c r="I2437" t="s">
        <v>30</v>
      </c>
      <c r="J2437" t="s">
        <v>38</v>
      </c>
      <c r="K2437" t="s">
        <v>105</v>
      </c>
      <c r="L2437" t="s">
        <v>121</v>
      </c>
      <c r="M2437" t="s">
        <v>125</v>
      </c>
      <c r="N2437" t="s">
        <v>51</v>
      </c>
      <c r="O2437">
        <v>5</v>
      </c>
      <c r="P2437">
        <v>71370</v>
      </c>
      <c r="Q2437">
        <f t="shared" si="41"/>
        <v>7.1370000000000003E-2</v>
      </c>
      <c r="R2437">
        <v>43252</v>
      </c>
      <c r="S2437" t="s">
        <v>122</v>
      </c>
    </row>
    <row r="2438" spans="1:19">
      <c r="A2438">
        <v>60000535</v>
      </c>
      <c r="B2438">
        <v>45</v>
      </c>
      <c r="C2438" t="s">
        <v>18</v>
      </c>
      <c r="D2438" t="s">
        <v>19</v>
      </c>
      <c r="E2438" t="s">
        <v>56</v>
      </c>
      <c r="F2438" t="s">
        <v>35</v>
      </c>
      <c r="G2438" s="23">
        <v>0.15</v>
      </c>
      <c r="H2438" t="s">
        <v>22</v>
      </c>
      <c r="I2438" t="s">
        <v>62</v>
      </c>
      <c r="J2438" t="s">
        <v>46</v>
      </c>
      <c r="K2438" t="s">
        <v>104</v>
      </c>
      <c r="L2438" t="s">
        <v>119</v>
      </c>
      <c r="M2438" t="s">
        <v>125</v>
      </c>
      <c r="N2438" t="s">
        <v>28</v>
      </c>
      <c r="O2438">
        <v>0</v>
      </c>
      <c r="P2438">
        <v>82397</v>
      </c>
      <c r="Q2438">
        <f t="shared" si="41"/>
        <v>8.2396999999999998E-2</v>
      </c>
      <c r="R2438">
        <v>43252</v>
      </c>
      <c r="S2438" t="s">
        <v>122</v>
      </c>
    </row>
    <row r="2439" spans="1:19">
      <c r="A2439">
        <v>60000536</v>
      </c>
      <c r="B2439">
        <v>25</v>
      </c>
      <c r="C2439" t="s">
        <v>33</v>
      </c>
      <c r="D2439" t="s">
        <v>40</v>
      </c>
      <c r="E2439" t="s">
        <v>64</v>
      </c>
      <c r="F2439" t="s">
        <v>120</v>
      </c>
      <c r="G2439" s="23">
        <v>0.23</v>
      </c>
      <c r="H2439" t="s">
        <v>29</v>
      </c>
      <c r="I2439" t="s">
        <v>30</v>
      </c>
      <c r="J2439" t="s">
        <v>58</v>
      </c>
      <c r="K2439" t="s">
        <v>92</v>
      </c>
      <c r="L2439" t="s">
        <v>26</v>
      </c>
      <c r="M2439" t="s">
        <v>125</v>
      </c>
      <c r="N2439" t="s">
        <v>51</v>
      </c>
      <c r="O2439">
        <v>1</v>
      </c>
      <c r="P2439">
        <v>27825</v>
      </c>
      <c r="Q2439">
        <f t="shared" si="41"/>
        <v>2.7824999999999999E-2</v>
      </c>
      <c r="R2439">
        <v>43252</v>
      </c>
      <c r="S2439" t="s">
        <v>122</v>
      </c>
    </row>
    <row r="2440" spans="1:19">
      <c r="A2440">
        <v>60000537</v>
      </c>
      <c r="B2440">
        <v>29</v>
      </c>
      <c r="C2440" t="s">
        <v>33</v>
      </c>
      <c r="D2440" t="s">
        <v>19</v>
      </c>
      <c r="E2440" t="s">
        <v>34</v>
      </c>
      <c r="F2440" t="s">
        <v>21</v>
      </c>
      <c r="G2440" s="23">
        <v>0.24</v>
      </c>
      <c r="H2440" t="s">
        <v>29</v>
      </c>
      <c r="I2440" t="s">
        <v>68</v>
      </c>
      <c r="J2440" t="s">
        <v>38</v>
      </c>
      <c r="K2440" t="s">
        <v>114</v>
      </c>
      <c r="L2440" t="s">
        <v>119</v>
      </c>
      <c r="M2440" t="s">
        <v>125</v>
      </c>
      <c r="N2440" t="s">
        <v>28</v>
      </c>
      <c r="O2440">
        <v>0</v>
      </c>
      <c r="P2440">
        <v>58041</v>
      </c>
      <c r="Q2440">
        <f t="shared" si="41"/>
        <v>5.8041000000000002E-2</v>
      </c>
      <c r="R2440">
        <v>43252</v>
      </c>
      <c r="S2440" t="s">
        <v>122</v>
      </c>
    </row>
    <row r="2441" spans="1:19">
      <c r="A2441">
        <v>60000538</v>
      </c>
      <c r="B2441">
        <v>40</v>
      </c>
      <c r="C2441" t="s">
        <v>33</v>
      </c>
      <c r="D2441" t="s">
        <v>19</v>
      </c>
      <c r="E2441" t="s">
        <v>52</v>
      </c>
      <c r="F2441" t="s">
        <v>35</v>
      </c>
      <c r="G2441" s="23">
        <v>0.12</v>
      </c>
      <c r="H2441" t="s">
        <v>22</v>
      </c>
      <c r="I2441" t="s">
        <v>70</v>
      </c>
      <c r="J2441" t="s">
        <v>66</v>
      </c>
      <c r="K2441" t="s">
        <v>108</v>
      </c>
      <c r="L2441" t="s">
        <v>26</v>
      </c>
      <c r="M2441" t="s">
        <v>125</v>
      </c>
      <c r="N2441" t="s">
        <v>51</v>
      </c>
      <c r="O2441">
        <v>6</v>
      </c>
      <c r="P2441">
        <v>80139</v>
      </c>
      <c r="Q2441">
        <f t="shared" si="41"/>
        <v>8.0139000000000002E-2</v>
      </c>
      <c r="R2441">
        <v>43252</v>
      </c>
      <c r="S2441" t="s">
        <v>122</v>
      </c>
    </row>
    <row r="2442" spans="1:19">
      <c r="A2442">
        <v>60000539</v>
      </c>
      <c r="B2442">
        <v>53</v>
      </c>
      <c r="C2442" t="s">
        <v>33</v>
      </c>
      <c r="D2442" t="s">
        <v>40</v>
      </c>
      <c r="E2442" t="s">
        <v>72</v>
      </c>
      <c r="F2442" t="s">
        <v>21</v>
      </c>
      <c r="G2442" s="23">
        <v>0.14000000000000001</v>
      </c>
      <c r="H2442" t="s">
        <v>22</v>
      </c>
      <c r="I2442" t="s">
        <v>65</v>
      </c>
      <c r="J2442" t="s">
        <v>38</v>
      </c>
      <c r="K2442" t="s">
        <v>112</v>
      </c>
      <c r="L2442" t="s">
        <v>121</v>
      </c>
      <c r="M2442" t="s">
        <v>125</v>
      </c>
      <c r="N2442" t="s">
        <v>51</v>
      </c>
      <c r="O2442">
        <v>2</v>
      </c>
      <c r="P2442">
        <v>70328</v>
      </c>
      <c r="Q2442">
        <f t="shared" si="41"/>
        <v>7.0328000000000002E-2</v>
      </c>
      <c r="R2442">
        <v>43252</v>
      </c>
      <c r="S2442" t="s">
        <v>122</v>
      </c>
    </row>
    <row r="2443" spans="1:19">
      <c r="A2443">
        <v>60000540</v>
      </c>
      <c r="B2443">
        <v>50</v>
      </c>
      <c r="C2443" t="s">
        <v>33</v>
      </c>
      <c r="D2443" t="s">
        <v>40</v>
      </c>
      <c r="E2443" t="s">
        <v>20</v>
      </c>
      <c r="F2443" t="s">
        <v>120</v>
      </c>
      <c r="G2443" s="23">
        <v>0.2</v>
      </c>
      <c r="H2443" t="s">
        <v>29</v>
      </c>
      <c r="I2443" t="s">
        <v>70</v>
      </c>
      <c r="J2443" t="s">
        <v>74</v>
      </c>
      <c r="K2443" t="s">
        <v>59</v>
      </c>
      <c r="L2443" t="s">
        <v>26</v>
      </c>
      <c r="M2443" t="s">
        <v>125</v>
      </c>
      <c r="N2443" t="s">
        <v>28</v>
      </c>
      <c r="O2443">
        <v>0</v>
      </c>
      <c r="P2443">
        <v>39091</v>
      </c>
      <c r="Q2443">
        <f t="shared" si="41"/>
        <v>3.9091000000000001E-2</v>
      </c>
      <c r="R2443">
        <v>43252</v>
      </c>
      <c r="S2443" t="s">
        <v>122</v>
      </c>
    </row>
    <row r="2444" spans="1:19">
      <c r="A2444">
        <v>60000541</v>
      </c>
      <c r="B2444">
        <v>21</v>
      </c>
      <c r="C2444" t="s">
        <v>18</v>
      </c>
      <c r="D2444" t="s">
        <v>19</v>
      </c>
      <c r="E2444" t="s">
        <v>44</v>
      </c>
      <c r="F2444" t="s">
        <v>35</v>
      </c>
      <c r="G2444" s="23">
        <v>0.31</v>
      </c>
      <c r="H2444" t="s">
        <v>53</v>
      </c>
      <c r="I2444" t="s">
        <v>83</v>
      </c>
      <c r="J2444" t="s">
        <v>66</v>
      </c>
      <c r="K2444" t="s">
        <v>43</v>
      </c>
      <c r="L2444" t="s">
        <v>121</v>
      </c>
      <c r="M2444" t="s">
        <v>125</v>
      </c>
      <c r="N2444" t="s">
        <v>28</v>
      </c>
      <c r="O2444">
        <v>0</v>
      </c>
      <c r="P2444">
        <v>57443</v>
      </c>
      <c r="Q2444">
        <f t="shared" si="41"/>
        <v>5.7443000000000001E-2</v>
      </c>
      <c r="R2444">
        <v>43252</v>
      </c>
      <c r="S2444" t="s">
        <v>122</v>
      </c>
    </row>
    <row r="2445" spans="1:19">
      <c r="A2445">
        <v>60000542</v>
      </c>
      <c r="B2445">
        <v>52</v>
      </c>
      <c r="C2445" t="s">
        <v>18</v>
      </c>
      <c r="D2445" t="s">
        <v>40</v>
      </c>
      <c r="E2445" t="s">
        <v>72</v>
      </c>
      <c r="F2445" t="s">
        <v>35</v>
      </c>
      <c r="G2445" s="23">
        <v>0.37</v>
      </c>
      <c r="H2445" t="s">
        <v>42</v>
      </c>
      <c r="I2445" t="s">
        <v>68</v>
      </c>
      <c r="J2445" t="s">
        <v>66</v>
      </c>
      <c r="K2445" t="s">
        <v>113</v>
      </c>
      <c r="L2445" t="s">
        <v>119</v>
      </c>
      <c r="M2445" t="s">
        <v>125</v>
      </c>
      <c r="N2445" t="s">
        <v>28</v>
      </c>
      <c r="O2445">
        <v>0</v>
      </c>
      <c r="P2445">
        <v>37654</v>
      </c>
      <c r="Q2445">
        <f t="shared" si="41"/>
        <v>3.7654E-2</v>
      </c>
      <c r="R2445">
        <v>43252</v>
      </c>
      <c r="S2445" t="s">
        <v>122</v>
      </c>
    </row>
    <row r="2446" spans="1:19">
      <c r="A2446">
        <v>60000543</v>
      </c>
      <c r="B2446">
        <v>56</v>
      </c>
      <c r="C2446" t="s">
        <v>18</v>
      </c>
      <c r="D2446" t="s">
        <v>40</v>
      </c>
      <c r="E2446" t="s">
        <v>48</v>
      </c>
      <c r="F2446" t="s">
        <v>35</v>
      </c>
      <c r="G2446" s="23">
        <v>0.31</v>
      </c>
      <c r="H2446" t="s">
        <v>53</v>
      </c>
      <c r="I2446" t="s">
        <v>45</v>
      </c>
      <c r="J2446" t="s">
        <v>91</v>
      </c>
      <c r="K2446" t="s">
        <v>102</v>
      </c>
      <c r="L2446" t="s">
        <v>119</v>
      </c>
      <c r="M2446" t="s">
        <v>125</v>
      </c>
      <c r="N2446" t="s">
        <v>28</v>
      </c>
      <c r="O2446">
        <v>0</v>
      </c>
      <c r="P2446">
        <v>76747</v>
      </c>
      <c r="Q2446">
        <f t="shared" si="41"/>
        <v>7.6746999999999996E-2</v>
      </c>
      <c r="R2446">
        <v>43252</v>
      </c>
      <c r="S2446" t="s">
        <v>122</v>
      </c>
    </row>
    <row r="2447" spans="1:19">
      <c r="A2447">
        <v>60000544</v>
      </c>
      <c r="B2447">
        <v>57</v>
      </c>
      <c r="C2447" t="s">
        <v>33</v>
      </c>
      <c r="D2447" t="s">
        <v>19</v>
      </c>
      <c r="E2447" t="s">
        <v>20</v>
      </c>
      <c r="F2447" t="s">
        <v>35</v>
      </c>
      <c r="G2447" s="23">
        <v>0.22</v>
      </c>
      <c r="H2447" t="s">
        <v>29</v>
      </c>
      <c r="I2447" t="s">
        <v>68</v>
      </c>
      <c r="J2447" t="s">
        <v>88</v>
      </c>
      <c r="K2447" t="s">
        <v>117</v>
      </c>
      <c r="L2447" t="s">
        <v>121</v>
      </c>
      <c r="M2447" t="s">
        <v>125</v>
      </c>
      <c r="N2447" t="s">
        <v>51</v>
      </c>
      <c r="O2447">
        <v>7</v>
      </c>
      <c r="P2447">
        <v>79615</v>
      </c>
      <c r="Q2447">
        <f t="shared" si="41"/>
        <v>7.9615000000000005E-2</v>
      </c>
      <c r="R2447">
        <v>43252</v>
      </c>
      <c r="S2447" t="s">
        <v>122</v>
      </c>
    </row>
    <row r="2448" spans="1:19">
      <c r="A2448">
        <v>60000545</v>
      </c>
      <c r="B2448">
        <v>36</v>
      </c>
      <c r="C2448" t="s">
        <v>18</v>
      </c>
      <c r="D2448" t="s">
        <v>40</v>
      </c>
      <c r="E2448" t="s">
        <v>85</v>
      </c>
      <c r="F2448" t="s">
        <v>21</v>
      </c>
      <c r="G2448" s="23">
        <v>0.18</v>
      </c>
      <c r="H2448" t="s">
        <v>22</v>
      </c>
      <c r="I2448" t="s">
        <v>30</v>
      </c>
      <c r="J2448" t="s">
        <v>88</v>
      </c>
      <c r="K2448" t="s">
        <v>63</v>
      </c>
      <c r="L2448" t="s">
        <v>119</v>
      </c>
      <c r="M2448" t="s">
        <v>125</v>
      </c>
      <c r="N2448" t="s">
        <v>51</v>
      </c>
      <c r="O2448">
        <v>0</v>
      </c>
      <c r="P2448">
        <v>51669</v>
      </c>
      <c r="Q2448">
        <f t="shared" si="41"/>
        <v>5.1669E-2</v>
      </c>
      <c r="R2448">
        <v>43252</v>
      </c>
      <c r="S2448" t="s">
        <v>122</v>
      </c>
    </row>
    <row r="2449" spans="1:19">
      <c r="A2449">
        <v>60000546</v>
      </c>
      <c r="B2449">
        <v>61</v>
      </c>
      <c r="C2449" t="s">
        <v>33</v>
      </c>
      <c r="D2449" t="s">
        <v>40</v>
      </c>
      <c r="E2449" t="s">
        <v>48</v>
      </c>
      <c r="F2449" t="s">
        <v>120</v>
      </c>
      <c r="G2449" s="23">
        <v>0.21</v>
      </c>
      <c r="H2449" t="s">
        <v>29</v>
      </c>
      <c r="I2449" t="s">
        <v>83</v>
      </c>
      <c r="J2449" t="s">
        <v>58</v>
      </c>
      <c r="K2449" t="s">
        <v>60</v>
      </c>
      <c r="L2449" t="s">
        <v>26</v>
      </c>
      <c r="M2449" t="s">
        <v>125</v>
      </c>
      <c r="N2449" t="s">
        <v>28</v>
      </c>
      <c r="O2449">
        <v>0</v>
      </c>
      <c r="P2449">
        <v>45235</v>
      </c>
      <c r="Q2449">
        <f t="shared" si="41"/>
        <v>4.5234999999999997E-2</v>
      </c>
      <c r="R2449">
        <v>43252</v>
      </c>
      <c r="S2449" t="s">
        <v>122</v>
      </c>
    </row>
    <row r="2450" spans="1:19">
      <c r="A2450">
        <v>60000547</v>
      </c>
      <c r="B2450">
        <v>64</v>
      </c>
      <c r="C2450" t="s">
        <v>33</v>
      </c>
      <c r="D2450" t="s">
        <v>19</v>
      </c>
      <c r="E2450" t="s">
        <v>75</v>
      </c>
      <c r="F2450" t="s">
        <v>120</v>
      </c>
      <c r="G2450" s="23">
        <v>0.33</v>
      </c>
      <c r="H2450" t="s">
        <v>42</v>
      </c>
      <c r="I2450" t="s">
        <v>45</v>
      </c>
      <c r="J2450" t="s">
        <v>58</v>
      </c>
      <c r="K2450" t="s">
        <v>112</v>
      </c>
      <c r="L2450" t="s">
        <v>121</v>
      </c>
      <c r="M2450" t="s">
        <v>125</v>
      </c>
      <c r="N2450" t="s">
        <v>28</v>
      </c>
      <c r="O2450">
        <v>0</v>
      </c>
      <c r="P2450">
        <v>69731</v>
      </c>
      <c r="Q2450">
        <f t="shared" si="41"/>
        <v>6.9731000000000001E-2</v>
      </c>
      <c r="R2450">
        <v>43252</v>
      </c>
      <c r="S2450" t="s">
        <v>122</v>
      </c>
    </row>
    <row r="2451" spans="1:19">
      <c r="A2451">
        <v>60000548</v>
      </c>
      <c r="B2451">
        <v>51</v>
      </c>
      <c r="C2451" t="s">
        <v>33</v>
      </c>
      <c r="D2451" t="s">
        <v>19</v>
      </c>
      <c r="E2451" t="s">
        <v>48</v>
      </c>
      <c r="F2451" t="s">
        <v>35</v>
      </c>
      <c r="G2451" s="23">
        <v>0.17</v>
      </c>
      <c r="H2451" t="s">
        <v>22</v>
      </c>
      <c r="I2451" t="s">
        <v>30</v>
      </c>
      <c r="J2451" t="s">
        <v>66</v>
      </c>
      <c r="K2451" t="s">
        <v>106</v>
      </c>
      <c r="L2451" t="s">
        <v>119</v>
      </c>
      <c r="M2451" t="s">
        <v>125</v>
      </c>
      <c r="N2451" t="s">
        <v>28</v>
      </c>
      <c r="O2451">
        <v>0</v>
      </c>
      <c r="P2451">
        <v>40946</v>
      </c>
      <c r="Q2451">
        <f t="shared" si="41"/>
        <v>4.0946000000000003E-2</v>
      </c>
      <c r="R2451">
        <v>43252</v>
      </c>
      <c r="S2451" t="s">
        <v>122</v>
      </c>
    </row>
    <row r="2452" spans="1:19">
      <c r="A2452">
        <v>60000549</v>
      </c>
      <c r="B2452">
        <v>54</v>
      </c>
      <c r="C2452" t="s">
        <v>18</v>
      </c>
      <c r="D2452" t="s">
        <v>19</v>
      </c>
      <c r="E2452" t="s">
        <v>34</v>
      </c>
      <c r="F2452" t="s">
        <v>21</v>
      </c>
      <c r="G2452" s="23">
        <v>0.33</v>
      </c>
      <c r="H2452" t="s">
        <v>42</v>
      </c>
      <c r="I2452" t="s">
        <v>68</v>
      </c>
      <c r="J2452" t="s">
        <v>38</v>
      </c>
      <c r="K2452" t="s">
        <v>87</v>
      </c>
      <c r="L2452" t="s">
        <v>121</v>
      </c>
      <c r="M2452" t="s">
        <v>125</v>
      </c>
      <c r="N2452" t="s">
        <v>28</v>
      </c>
      <c r="O2452">
        <v>0</v>
      </c>
      <c r="P2452">
        <v>69945</v>
      </c>
      <c r="Q2452">
        <f t="shared" si="41"/>
        <v>6.9944999999999993E-2</v>
      </c>
      <c r="R2452">
        <v>43252</v>
      </c>
      <c r="S2452" t="s">
        <v>122</v>
      </c>
    </row>
    <row r="2453" spans="1:19">
      <c r="A2453">
        <v>60000550</v>
      </c>
      <c r="B2453">
        <v>23</v>
      </c>
      <c r="C2453" t="s">
        <v>18</v>
      </c>
      <c r="D2453" t="s">
        <v>40</v>
      </c>
      <c r="E2453" t="s">
        <v>75</v>
      </c>
      <c r="F2453" t="s">
        <v>21</v>
      </c>
      <c r="G2453" s="23">
        <v>0.33</v>
      </c>
      <c r="H2453" t="s">
        <v>42</v>
      </c>
      <c r="I2453" t="s">
        <v>57</v>
      </c>
      <c r="J2453" t="s">
        <v>46</v>
      </c>
      <c r="K2453" t="s">
        <v>55</v>
      </c>
      <c r="L2453" t="s">
        <v>26</v>
      </c>
      <c r="M2453" t="s">
        <v>125</v>
      </c>
      <c r="N2453" t="s">
        <v>28</v>
      </c>
      <c r="O2453">
        <v>0</v>
      </c>
      <c r="P2453">
        <v>67008</v>
      </c>
      <c r="Q2453">
        <f t="shared" si="41"/>
        <v>6.7007999999999998E-2</v>
      </c>
      <c r="R2453">
        <v>43252</v>
      </c>
      <c r="S2453" t="s">
        <v>122</v>
      </c>
    </row>
    <row r="2454" spans="1:19">
      <c r="A2454">
        <v>60000551</v>
      </c>
      <c r="B2454">
        <v>21</v>
      </c>
      <c r="C2454" t="s">
        <v>33</v>
      </c>
      <c r="D2454" t="s">
        <v>19</v>
      </c>
      <c r="E2454" t="s">
        <v>75</v>
      </c>
      <c r="F2454" t="s">
        <v>120</v>
      </c>
      <c r="G2454" s="23">
        <v>0.21</v>
      </c>
      <c r="H2454" t="s">
        <v>29</v>
      </c>
      <c r="I2454" t="s">
        <v>83</v>
      </c>
      <c r="J2454" t="s">
        <v>58</v>
      </c>
      <c r="K2454" t="s">
        <v>62</v>
      </c>
      <c r="L2454" t="s">
        <v>26</v>
      </c>
      <c r="M2454" t="s">
        <v>125</v>
      </c>
      <c r="N2454" t="s">
        <v>51</v>
      </c>
      <c r="O2454">
        <v>4</v>
      </c>
      <c r="P2454">
        <v>56667</v>
      </c>
      <c r="Q2454">
        <f t="shared" si="41"/>
        <v>5.6667000000000002E-2</v>
      </c>
      <c r="R2454">
        <v>43252</v>
      </c>
      <c r="S2454" t="s">
        <v>122</v>
      </c>
    </row>
    <row r="2455" spans="1:19">
      <c r="A2455">
        <v>60000552</v>
      </c>
      <c r="B2455">
        <v>61</v>
      </c>
      <c r="C2455" t="s">
        <v>18</v>
      </c>
      <c r="D2455" t="s">
        <v>40</v>
      </c>
      <c r="E2455" t="s">
        <v>75</v>
      </c>
      <c r="F2455" t="s">
        <v>120</v>
      </c>
      <c r="G2455" s="23">
        <v>0.28000000000000003</v>
      </c>
      <c r="H2455" t="s">
        <v>53</v>
      </c>
      <c r="I2455" t="s">
        <v>49</v>
      </c>
      <c r="J2455" t="s">
        <v>66</v>
      </c>
      <c r="K2455" t="s">
        <v>110</v>
      </c>
      <c r="L2455" t="s">
        <v>121</v>
      </c>
      <c r="M2455" t="s">
        <v>125</v>
      </c>
      <c r="N2455" t="s">
        <v>28</v>
      </c>
      <c r="O2455">
        <v>0</v>
      </c>
      <c r="P2455">
        <v>32042</v>
      </c>
      <c r="Q2455">
        <f t="shared" si="41"/>
        <v>3.2042000000000001E-2</v>
      </c>
      <c r="R2455">
        <v>43252</v>
      </c>
      <c r="S2455" t="s">
        <v>122</v>
      </c>
    </row>
    <row r="2456" spans="1:19">
      <c r="A2456">
        <v>60000553</v>
      </c>
      <c r="B2456">
        <v>28</v>
      </c>
      <c r="C2456" t="s">
        <v>33</v>
      </c>
      <c r="D2456" t="s">
        <v>19</v>
      </c>
      <c r="E2456" t="s">
        <v>72</v>
      </c>
      <c r="F2456" t="s">
        <v>35</v>
      </c>
      <c r="G2456" s="23">
        <v>0.35</v>
      </c>
      <c r="H2456" t="s">
        <v>42</v>
      </c>
      <c r="I2456" t="s">
        <v>45</v>
      </c>
      <c r="J2456" t="s">
        <v>54</v>
      </c>
      <c r="K2456" t="s">
        <v>118</v>
      </c>
      <c r="L2456" t="s">
        <v>26</v>
      </c>
      <c r="M2456" t="s">
        <v>125</v>
      </c>
      <c r="N2456" t="s">
        <v>51</v>
      </c>
      <c r="O2456">
        <v>7</v>
      </c>
      <c r="P2456">
        <v>57373</v>
      </c>
      <c r="Q2456">
        <f t="shared" si="41"/>
        <v>5.7373E-2</v>
      </c>
      <c r="R2456">
        <v>43252</v>
      </c>
      <c r="S2456" t="s">
        <v>122</v>
      </c>
    </row>
    <row r="2457" spans="1:19">
      <c r="A2457">
        <v>60000554</v>
      </c>
      <c r="B2457">
        <v>34</v>
      </c>
      <c r="C2457" t="s">
        <v>18</v>
      </c>
      <c r="D2457" t="s">
        <v>19</v>
      </c>
      <c r="E2457" t="s">
        <v>72</v>
      </c>
      <c r="F2457" t="s">
        <v>35</v>
      </c>
      <c r="G2457" s="23">
        <v>0.11</v>
      </c>
      <c r="H2457" t="s">
        <v>36</v>
      </c>
      <c r="I2457" t="s">
        <v>30</v>
      </c>
      <c r="J2457" t="s">
        <v>31</v>
      </c>
      <c r="K2457" t="s">
        <v>117</v>
      </c>
      <c r="L2457" t="s">
        <v>121</v>
      </c>
      <c r="M2457" t="s">
        <v>125</v>
      </c>
      <c r="N2457" t="s">
        <v>28</v>
      </c>
      <c r="O2457">
        <v>0</v>
      </c>
      <c r="P2457">
        <v>34399</v>
      </c>
      <c r="Q2457">
        <f t="shared" si="41"/>
        <v>3.4398999999999999E-2</v>
      </c>
      <c r="R2457">
        <v>43252</v>
      </c>
      <c r="S2457" t="s">
        <v>122</v>
      </c>
    </row>
    <row r="2458" spans="1:19">
      <c r="A2458">
        <v>60000555</v>
      </c>
      <c r="B2458">
        <v>29</v>
      </c>
      <c r="C2458" t="s">
        <v>18</v>
      </c>
      <c r="D2458" t="s">
        <v>40</v>
      </c>
      <c r="E2458" t="s">
        <v>56</v>
      </c>
      <c r="F2458" t="s">
        <v>21</v>
      </c>
      <c r="G2458" s="23">
        <v>0.38</v>
      </c>
      <c r="H2458" t="s">
        <v>42</v>
      </c>
      <c r="I2458" t="s">
        <v>37</v>
      </c>
      <c r="J2458" t="s">
        <v>88</v>
      </c>
      <c r="K2458" t="s">
        <v>90</v>
      </c>
      <c r="L2458" t="s">
        <v>119</v>
      </c>
      <c r="M2458" t="s">
        <v>125</v>
      </c>
      <c r="N2458" t="s">
        <v>28</v>
      </c>
      <c r="O2458">
        <v>0</v>
      </c>
      <c r="P2458">
        <v>65066</v>
      </c>
      <c r="Q2458">
        <f t="shared" si="41"/>
        <v>6.5065999999999999E-2</v>
      </c>
      <c r="R2458">
        <v>43252</v>
      </c>
      <c r="S2458" t="s">
        <v>122</v>
      </c>
    </row>
    <row r="2459" spans="1:19">
      <c r="A2459">
        <v>60000556</v>
      </c>
      <c r="B2459">
        <v>33</v>
      </c>
      <c r="C2459" t="s">
        <v>18</v>
      </c>
      <c r="D2459" t="s">
        <v>40</v>
      </c>
      <c r="E2459" t="s">
        <v>75</v>
      </c>
      <c r="F2459" t="s">
        <v>21</v>
      </c>
      <c r="G2459" s="23">
        <v>0.15</v>
      </c>
      <c r="H2459" t="s">
        <v>22</v>
      </c>
      <c r="I2459" t="s">
        <v>73</v>
      </c>
      <c r="J2459" t="s">
        <v>74</v>
      </c>
      <c r="K2459" t="s">
        <v>114</v>
      </c>
      <c r="L2459" t="s">
        <v>119</v>
      </c>
      <c r="M2459" t="s">
        <v>125</v>
      </c>
      <c r="N2459" t="s">
        <v>28</v>
      </c>
      <c r="O2459">
        <v>0</v>
      </c>
      <c r="P2459">
        <v>25621</v>
      </c>
      <c r="Q2459">
        <f t="shared" si="41"/>
        <v>2.5621000000000001E-2</v>
      </c>
      <c r="R2459">
        <v>43252</v>
      </c>
      <c r="S2459" t="s">
        <v>122</v>
      </c>
    </row>
    <row r="2460" spans="1:19">
      <c r="A2460">
        <v>60000557</v>
      </c>
      <c r="B2460">
        <v>28</v>
      </c>
      <c r="C2460" t="s">
        <v>33</v>
      </c>
      <c r="D2460" t="s">
        <v>40</v>
      </c>
      <c r="E2460" t="s">
        <v>72</v>
      </c>
      <c r="F2460" t="s">
        <v>120</v>
      </c>
      <c r="G2460" s="23">
        <v>0.23</v>
      </c>
      <c r="H2460" t="s">
        <v>29</v>
      </c>
      <c r="I2460" t="s">
        <v>57</v>
      </c>
      <c r="J2460" t="s">
        <v>74</v>
      </c>
      <c r="K2460" t="s">
        <v>109</v>
      </c>
      <c r="L2460" t="s">
        <v>26</v>
      </c>
      <c r="M2460" t="s">
        <v>125</v>
      </c>
      <c r="N2460" t="s">
        <v>51</v>
      </c>
      <c r="O2460">
        <v>7</v>
      </c>
      <c r="P2460">
        <v>81039</v>
      </c>
      <c r="Q2460">
        <f t="shared" si="41"/>
        <v>8.1039E-2</v>
      </c>
      <c r="R2460">
        <v>43252</v>
      </c>
      <c r="S2460" t="s">
        <v>122</v>
      </c>
    </row>
    <row r="2461" spans="1:19">
      <c r="A2461">
        <v>60000558</v>
      </c>
      <c r="B2461">
        <v>23</v>
      </c>
      <c r="C2461" t="s">
        <v>18</v>
      </c>
      <c r="D2461" t="s">
        <v>19</v>
      </c>
      <c r="E2461" t="s">
        <v>75</v>
      </c>
      <c r="F2461" t="s">
        <v>120</v>
      </c>
      <c r="G2461" s="23">
        <v>0.23</v>
      </c>
      <c r="H2461" t="s">
        <v>29</v>
      </c>
      <c r="I2461" t="s">
        <v>57</v>
      </c>
      <c r="J2461" t="s">
        <v>91</v>
      </c>
      <c r="K2461" t="s">
        <v>82</v>
      </c>
      <c r="L2461" t="s">
        <v>121</v>
      </c>
      <c r="M2461" t="s">
        <v>125</v>
      </c>
      <c r="N2461" t="s">
        <v>28</v>
      </c>
      <c r="O2461">
        <v>0</v>
      </c>
      <c r="P2461">
        <v>60055</v>
      </c>
      <c r="Q2461">
        <f t="shared" si="41"/>
        <v>6.0054999999999997E-2</v>
      </c>
      <c r="R2461">
        <v>43252</v>
      </c>
      <c r="S2461" t="s">
        <v>122</v>
      </c>
    </row>
    <row r="2462" spans="1:19">
      <c r="A2462">
        <v>60000559</v>
      </c>
      <c r="B2462">
        <v>24</v>
      </c>
      <c r="C2462" t="s">
        <v>18</v>
      </c>
      <c r="D2462" t="s">
        <v>19</v>
      </c>
      <c r="E2462" t="s">
        <v>44</v>
      </c>
      <c r="F2462" t="s">
        <v>35</v>
      </c>
      <c r="G2462" s="23">
        <v>0.31</v>
      </c>
      <c r="H2462" t="s">
        <v>53</v>
      </c>
      <c r="I2462" t="s">
        <v>80</v>
      </c>
      <c r="J2462" t="s">
        <v>78</v>
      </c>
      <c r="K2462" t="s">
        <v>100</v>
      </c>
      <c r="L2462" t="s">
        <v>119</v>
      </c>
      <c r="M2462" t="s">
        <v>125</v>
      </c>
      <c r="N2462" t="s">
        <v>51</v>
      </c>
      <c r="O2462">
        <v>4</v>
      </c>
      <c r="P2462">
        <v>59665</v>
      </c>
      <c r="Q2462">
        <f t="shared" si="41"/>
        <v>5.9665000000000003E-2</v>
      </c>
      <c r="R2462">
        <v>43252</v>
      </c>
      <c r="S2462" t="s">
        <v>122</v>
      </c>
    </row>
    <row r="2463" spans="1:19">
      <c r="A2463">
        <v>60000560</v>
      </c>
      <c r="B2463">
        <v>49</v>
      </c>
      <c r="C2463" t="s">
        <v>33</v>
      </c>
      <c r="D2463" t="s">
        <v>40</v>
      </c>
      <c r="E2463" t="s">
        <v>20</v>
      </c>
      <c r="F2463" t="s">
        <v>21</v>
      </c>
      <c r="G2463" s="23">
        <v>0.18</v>
      </c>
      <c r="H2463" t="s">
        <v>22</v>
      </c>
      <c r="I2463" t="s">
        <v>45</v>
      </c>
      <c r="J2463" t="s">
        <v>46</v>
      </c>
      <c r="K2463" t="s">
        <v>79</v>
      </c>
      <c r="L2463" t="s">
        <v>121</v>
      </c>
      <c r="M2463" t="s">
        <v>125</v>
      </c>
      <c r="N2463" t="s">
        <v>51</v>
      </c>
      <c r="O2463">
        <v>2</v>
      </c>
      <c r="P2463">
        <v>79766</v>
      </c>
      <c r="Q2463">
        <f t="shared" si="41"/>
        <v>7.9766000000000004E-2</v>
      </c>
      <c r="R2463">
        <v>43252</v>
      </c>
      <c r="S2463" t="s">
        <v>122</v>
      </c>
    </row>
    <row r="2464" spans="1:19">
      <c r="A2464">
        <v>60000561</v>
      </c>
      <c r="B2464">
        <v>44</v>
      </c>
      <c r="C2464" t="s">
        <v>33</v>
      </c>
      <c r="D2464" t="s">
        <v>19</v>
      </c>
      <c r="E2464" t="s">
        <v>41</v>
      </c>
      <c r="F2464" t="s">
        <v>21</v>
      </c>
      <c r="G2464" s="23">
        <v>0.26</v>
      </c>
      <c r="H2464" t="s">
        <v>53</v>
      </c>
      <c r="I2464" t="s">
        <v>62</v>
      </c>
      <c r="J2464" t="s">
        <v>61</v>
      </c>
      <c r="K2464" t="s">
        <v>109</v>
      </c>
      <c r="L2464" t="s">
        <v>26</v>
      </c>
      <c r="M2464" t="s">
        <v>125</v>
      </c>
      <c r="N2464" t="s">
        <v>28</v>
      </c>
      <c r="O2464">
        <v>0</v>
      </c>
      <c r="P2464">
        <v>72085</v>
      </c>
      <c r="Q2464">
        <f t="shared" si="41"/>
        <v>7.2084999999999996E-2</v>
      </c>
      <c r="R2464">
        <v>43252</v>
      </c>
      <c r="S2464" t="s">
        <v>122</v>
      </c>
    </row>
    <row r="2465" spans="1:19">
      <c r="A2465">
        <v>60000562</v>
      </c>
      <c r="B2465">
        <v>48</v>
      </c>
      <c r="C2465" t="s">
        <v>33</v>
      </c>
      <c r="D2465" t="s">
        <v>19</v>
      </c>
      <c r="E2465" t="s">
        <v>52</v>
      </c>
      <c r="F2465" t="s">
        <v>35</v>
      </c>
      <c r="G2465" s="23">
        <v>0.2</v>
      </c>
      <c r="H2465" t="s">
        <v>29</v>
      </c>
      <c r="I2465" t="s">
        <v>57</v>
      </c>
      <c r="J2465" t="s">
        <v>66</v>
      </c>
      <c r="K2465" t="s">
        <v>115</v>
      </c>
      <c r="L2465" t="s">
        <v>26</v>
      </c>
      <c r="M2465" t="s">
        <v>125</v>
      </c>
      <c r="N2465" t="s">
        <v>28</v>
      </c>
      <c r="O2465">
        <v>0</v>
      </c>
      <c r="P2465">
        <v>30210</v>
      </c>
      <c r="Q2465">
        <f t="shared" si="41"/>
        <v>3.0210000000000001E-2</v>
      </c>
      <c r="R2465">
        <v>43252</v>
      </c>
      <c r="S2465" t="s">
        <v>122</v>
      </c>
    </row>
    <row r="2466" spans="1:19">
      <c r="A2466">
        <v>60000563</v>
      </c>
      <c r="B2466">
        <v>63</v>
      </c>
      <c r="C2466" t="s">
        <v>33</v>
      </c>
      <c r="D2466" t="s">
        <v>19</v>
      </c>
      <c r="E2466" t="s">
        <v>72</v>
      </c>
      <c r="F2466" t="s">
        <v>21</v>
      </c>
      <c r="G2466" s="23">
        <v>0.34</v>
      </c>
      <c r="H2466" t="s">
        <v>42</v>
      </c>
      <c r="I2466" t="s">
        <v>68</v>
      </c>
      <c r="J2466" t="s">
        <v>54</v>
      </c>
      <c r="K2466" t="s">
        <v>107</v>
      </c>
      <c r="L2466" t="s">
        <v>119</v>
      </c>
      <c r="M2466" t="s">
        <v>125</v>
      </c>
      <c r="N2466" t="s">
        <v>51</v>
      </c>
      <c r="O2466">
        <v>2</v>
      </c>
      <c r="P2466">
        <v>71522</v>
      </c>
      <c r="Q2466">
        <f t="shared" si="41"/>
        <v>7.1522000000000002E-2</v>
      </c>
      <c r="R2466">
        <v>43252</v>
      </c>
      <c r="S2466" t="s">
        <v>122</v>
      </c>
    </row>
    <row r="2467" spans="1:19">
      <c r="A2467">
        <v>60000564</v>
      </c>
      <c r="B2467">
        <v>53</v>
      </c>
      <c r="C2467" t="s">
        <v>33</v>
      </c>
      <c r="D2467" t="s">
        <v>19</v>
      </c>
      <c r="E2467" t="s">
        <v>85</v>
      </c>
      <c r="F2467" t="s">
        <v>35</v>
      </c>
      <c r="G2467" s="23">
        <v>0.19</v>
      </c>
      <c r="H2467" t="s">
        <v>29</v>
      </c>
      <c r="I2467" t="s">
        <v>65</v>
      </c>
      <c r="J2467" t="s">
        <v>88</v>
      </c>
      <c r="K2467" t="s">
        <v>60</v>
      </c>
      <c r="L2467" t="s">
        <v>121</v>
      </c>
      <c r="M2467" t="s">
        <v>125</v>
      </c>
      <c r="N2467" t="s">
        <v>28</v>
      </c>
      <c r="O2467">
        <v>0</v>
      </c>
      <c r="P2467">
        <v>72112</v>
      </c>
      <c r="Q2467">
        <f t="shared" si="41"/>
        <v>7.2111999999999996E-2</v>
      </c>
      <c r="R2467">
        <v>43252</v>
      </c>
      <c r="S2467" t="s">
        <v>122</v>
      </c>
    </row>
    <row r="2468" spans="1:19">
      <c r="A2468">
        <v>60000565</v>
      </c>
      <c r="B2468">
        <v>33</v>
      </c>
      <c r="C2468" t="s">
        <v>33</v>
      </c>
      <c r="D2468" t="s">
        <v>19</v>
      </c>
      <c r="E2468" t="s">
        <v>34</v>
      </c>
      <c r="F2468" t="s">
        <v>21</v>
      </c>
      <c r="G2468" s="23">
        <v>0.1</v>
      </c>
      <c r="H2468" t="s">
        <v>36</v>
      </c>
      <c r="I2468" t="s">
        <v>70</v>
      </c>
      <c r="J2468" t="s">
        <v>69</v>
      </c>
      <c r="K2468" t="s">
        <v>97</v>
      </c>
      <c r="L2468" t="s">
        <v>26</v>
      </c>
      <c r="M2468" t="s">
        <v>125</v>
      </c>
      <c r="N2468" t="s">
        <v>51</v>
      </c>
      <c r="O2468">
        <v>2</v>
      </c>
      <c r="P2468">
        <v>23879</v>
      </c>
      <c r="Q2468">
        <f t="shared" si="41"/>
        <v>2.3879000000000001E-2</v>
      </c>
      <c r="R2468">
        <v>43252</v>
      </c>
      <c r="S2468" t="s">
        <v>122</v>
      </c>
    </row>
    <row r="2469" spans="1:19">
      <c r="A2469">
        <v>60000566</v>
      </c>
      <c r="B2469">
        <v>59</v>
      </c>
      <c r="C2469" t="s">
        <v>33</v>
      </c>
      <c r="D2469" t="s">
        <v>40</v>
      </c>
      <c r="E2469" t="s">
        <v>64</v>
      </c>
      <c r="F2469" t="s">
        <v>21</v>
      </c>
      <c r="G2469" s="23">
        <v>0.37</v>
      </c>
      <c r="H2469" t="s">
        <v>42</v>
      </c>
      <c r="I2469" t="s">
        <v>68</v>
      </c>
      <c r="J2469" t="s">
        <v>66</v>
      </c>
      <c r="K2469" t="s">
        <v>55</v>
      </c>
      <c r="L2469" t="s">
        <v>26</v>
      </c>
      <c r="M2469" t="s">
        <v>125</v>
      </c>
      <c r="N2469" t="s">
        <v>28</v>
      </c>
      <c r="O2469">
        <v>0</v>
      </c>
      <c r="P2469">
        <v>51537</v>
      </c>
      <c r="Q2469">
        <f t="shared" si="41"/>
        <v>5.1536999999999999E-2</v>
      </c>
      <c r="R2469">
        <v>43252</v>
      </c>
      <c r="S2469" t="s">
        <v>122</v>
      </c>
    </row>
    <row r="2470" spans="1:19">
      <c r="A2470">
        <v>60000567</v>
      </c>
      <c r="B2470">
        <v>41</v>
      </c>
      <c r="C2470" t="s">
        <v>18</v>
      </c>
      <c r="D2470" t="s">
        <v>40</v>
      </c>
      <c r="E2470" t="s">
        <v>64</v>
      </c>
      <c r="F2470" t="s">
        <v>21</v>
      </c>
      <c r="G2470" s="23">
        <v>0.36</v>
      </c>
      <c r="H2470" t="s">
        <v>42</v>
      </c>
      <c r="I2470" t="s">
        <v>80</v>
      </c>
      <c r="J2470" t="s">
        <v>91</v>
      </c>
      <c r="K2470" t="s">
        <v>95</v>
      </c>
      <c r="L2470" t="s">
        <v>121</v>
      </c>
      <c r="M2470" t="s">
        <v>125</v>
      </c>
      <c r="N2470" t="s">
        <v>28</v>
      </c>
      <c r="O2470">
        <v>0</v>
      </c>
      <c r="P2470">
        <v>73829</v>
      </c>
      <c r="Q2470">
        <f t="shared" si="41"/>
        <v>7.3829000000000006E-2</v>
      </c>
      <c r="R2470">
        <v>43252</v>
      </c>
      <c r="S2470" t="s">
        <v>122</v>
      </c>
    </row>
    <row r="2471" spans="1:19">
      <c r="A2471">
        <v>60000568</v>
      </c>
      <c r="B2471">
        <v>41</v>
      </c>
      <c r="C2471" t="s">
        <v>18</v>
      </c>
      <c r="D2471" t="s">
        <v>19</v>
      </c>
      <c r="E2471" t="s">
        <v>75</v>
      </c>
      <c r="F2471" t="s">
        <v>35</v>
      </c>
      <c r="G2471" s="23">
        <v>0.12</v>
      </c>
      <c r="H2471" t="s">
        <v>22</v>
      </c>
      <c r="I2471" t="s">
        <v>68</v>
      </c>
      <c r="J2471" t="s">
        <v>66</v>
      </c>
      <c r="K2471" t="s">
        <v>105</v>
      </c>
      <c r="L2471" t="s">
        <v>121</v>
      </c>
      <c r="M2471" t="s">
        <v>125</v>
      </c>
      <c r="N2471" t="s">
        <v>51</v>
      </c>
      <c r="O2471">
        <v>6</v>
      </c>
      <c r="P2471">
        <v>55684</v>
      </c>
      <c r="Q2471">
        <f t="shared" si="41"/>
        <v>5.5683999999999997E-2</v>
      </c>
      <c r="R2471">
        <v>43252</v>
      </c>
      <c r="S2471" t="s">
        <v>122</v>
      </c>
    </row>
    <row r="2472" spans="1:19">
      <c r="A2472">
        <v>60000569</v>
      </c>
      <c r="B2472">
        <v>52</v>
      </c>
      <c r="C2472" t="s">
        <v>33</v>
      </c>
      <c r="D2472" t="s">
        <v>19</v>
      </c>
      <c r="E2472" t="s">
        <v>52</v>
      </c>
      <c r="F2472" t="s">
        <v>35</v>
      </c>
      <c r="G2472" s="23">
        <v>0.34</v>
      </c>
      <c r="H2472" t="s">
        <v>42</v>
      </c>
      <c r="I2472" t="s">
        <v>70</v>
      </c>
      <c r="J2472" t="s">
        <v>69</v>
      </c>
      <c r="K2472" t="s">
        <v>83</v>
      </c>
      <c r="L2472" t="s">
        <v>121</v>
      </c>
      <c r="M2472" t="s">
        <v>125</v>
      </c>
      <c r="N2472" t="s">
        <v>51</v>
      </c>
      <c r="O2472">
        <v>1</v>
      </c>
      <c r="P2472">
        <v>66711</v>
      </c>
      <c r="Q2472">
        <f t="shared" si="41"/>
        <v>6.6711000000000006E-2</v>
      </c>
      <c r="R2472">
        <v>43252</v>
      </c>
      <c r="S2472" t="s">
        <v>122</v>
      </c>
    </row>
    <row r="2473" spans="1:19">
      <c r="A2473">
        <v>60000570</v>
      </c>
      <c r="B2473">
        <v>22</v>
      </c>
      <c r="C2473" t="s">
        <v>33</v>
      </c>
      <c r="D2473" t="s">
        <v>40</v>
      </c>
      <c r="E2473" t="s">
        <v>34</v>
      </c>
      <c r="F2473" t="s">
        <v>35</v>
      </c>
      <c r="G2473" s="23">
        <v>0.35</v>
      </c>
      <c r="H2473" t="s">
        <v>42</v>
      </c>
      <c r="I2473" t="s">
        <v>23</v>
      </c>
      <c r="J2473" t="s">
        <v>24</v>
      </c>
      <c r="K2473" t="s">
        <v>105</v>
      </c>
      <c r="L2473" t="s">
        <v>119</v>
      </c>
      <c r="M2473" t="s">
        <v>125</v>
      </c>
      <c r="N2473" t="s">
        <v>51</v>
      </c>
      <c r="O2473">
        <v>4</v>
      </c>
      <c r="P2473">
        <v>35715</v>
      </c>
      <c r="Q2473">
        <f t="shared" si="41"/>
        <v>3.5714999999999997E-2</v>
      </c>
      <c r="R2473">
        <v>43252</v>
      </c>
      <c r="S2473" t="s">
        <v>122</v>
      </c>
    </row>
    <row r="2474" spans="1:19">
      <c r="A2474">
        <v>60000571</v>
      </c>
      <c r="B2474">
        <v>31</v>
      </c>
      <c r="C2474" t="s">
        <v>33</v>
      </c>
      <c r="D2474" t="s">
        <v>19</v>
      </c>
      <c r="E2474" t="s">
        <v>41</v>
      </c>
      <c r="F2474" t="s">
        <v>120</v>
      </c>
      <c r="G2474" s="23">
        <v>0.38</v>
      </c>
      <c r="H2474" t="s">
        <v>42</v>
      </c>
      <c r="I2474" t="s">
        <v>37</v>
      </c>
      <c r="J2474" t="s">
        <v>46</v>
      </c>
      <c r="K2474" t="s">
        <v>113</v>
      </c>
      <c r="L2474" t="s">
        <v>26</v>
      </c>
      <c r="M2474" t="s">
        <v>125</v>
      </c>
      <c r="N2474" t="s">
        <v>51</v>
      </c>
      <c r="O2474">
        <v>5</v>
      </c>
      <c r="P2474">
        <v>74814</v>
      </c>
      <c r="Q2474">
        <f t="shared" si="41"/>
        <v>7.4814000000000005E-2</v>
      </c>
      <c r="R2474">
        <v>43252</v>
      </c>
      <c r="S2474" t="s">
        <v>122</v>
      </c>
    </row>
    <row r="2475" spans="1:19">
      <c r="A2475">
        <v>60000572</v>
      </c>
      <c r="B2475">
        <v>58</v>
      </c>
      <c r="C2475" t="s">
        <v>18</v>
      </c>
      <c r="D2475" t="s">
        <v>19</v>
      </c>
      <c r="E2475" t="s">
        <v>20</v>
      </c>
      <c r="F2475" t="s">
        <v>35</v>
      </c>
      <c r="G2475" s="23">
        <v>0.13</v>
      </c>
      <c r="H2475" t="s">
        <v>22</v>
      </c>
      <c r="I2475" t="s">
        <v>86</v>
      </c>
      <c r="J2475" t="s">
        <v>78</v>
      </c>
      <c r="K2475" t="s">
        <v>106</v>
      </c>
      <c r="L2475" t="s">
        <v>119</v>
      </c>
      <c r="M2475" t="s">
        <v>125</v>
      </c>
      <c r="N2475" t="s">
        <v>28</v>
      </c>
      <c r="O2475">
        <v>0</v>
      </c>
      <c r="P2475">
        <v>83368</v>
      </c>
      <c r="Q2475">
        <f t="shared" si="41"/>
        <v>8.3367999999999998E-2</v>
      </c>
      <c r="R2475">
        <v>43252</v>
      </c>
      <c r="S2475" t="s">
        <v>122</v>
      </c>
    </row>
    <row r="2476" spans="1:19">
      <c r="A2476">
        <v>60000573</v>
      </c>
      <c r="B2476">
        <v>44</v>
      </c>
      <c r="C2476" t="s">
        <v>18</v>
      </c>
      <c r="D2476" t="s">
        <v>19</v>
      </c>
      <c r="E2476" t="s">
        <v>52</v>
      </c>
      <c r="F2476" t="s">
        <v>120</v>
      </c>
      <c r="G2476" s="23">
        <v>0.13</v>
      </c>
      <c r="H2476" t="s">
        <v>22</v>
      </c>
      <c r="I2476" t="s">
        <v>60</v>
      </c>
      <c r="J2476" t="s">
        <v>69</v>
      </c>
      <c r="K2476" t="s">
        <v>43</v>
      </c>
      <c r="L2476" t="s">
        <v>121</v>
      </c>
      <c r="M2476" t="s">
        <v>125</v>
      </c>
      <c r="N2476" t="s">
        <v>28</v>
      </c>
      <c r="O2476">
        <v>0</v>
      </c>
      <c r="P2476">
        <v>37503</v>
      </c>
      <c r="Q2476">
        <f t="shared" si="41"/>
        <v>3.7503000000000002E-2</v>
      </c>
      <c r="R2476">
        <v>43252</v>
      </c>
      <c r="S2476" t="s">
        <v>122</v>
      </c>
    </row>
    <row r="2477" spans="1:19">
      <c r="A2477">
        <v>60000574</v>
      </c>
      <c r="B2477">
        <v>35</v>
      </c>
      <c r="C2477" t="s">
        <v>18</v>
      </c>
      <c r="D2477" t="s">
        <v>40</v>
      </c>
      <c r="E2477" t="s">
        <v>56</v>
      </c>
      <c r="F2477" t="s">
        <v>120</v>
      </c>
      <c r="G2477" s="23">
        <v>0.12</v>
      </c>
      <c r="H2477" t="s">
        <v>22</v>
      </c>
      <c r="I2477" t="s">
        <v>68</v>
      </c>
      <c r="J2477" t="s">
        <v>24</v>
      </c>
      <c r="K2477" t="s">
        <v>55</v>
      </c>
      <c r="L2477" t="s">
        <v>119</v>
      </c>
      <c r="M2477" t="s">
        <v>125</v>
      </c>
      <c r="N2477" t="s">
        <v>28</v>
      </c>
      <c r="O2477">
        <v>0</v>
      </c>
      <c r="P2477">
        <v>24263</v>
      </c>
      <c r="Q2477">
        <f t="shared" si="41"/>
        <v>2.4263E-2</v>
      </c>
      <c r="R2477">
        <v>43252</v>
      </c>
      <c r="S2477" t="s">
        <v>122</v>
      </c>
    </row>
    <row r="2478" spans="1:19">
      <c r="A2478">
        <v>60000575</v>
      </c>
      <c r="B2478">
        <v>43</v>
      </c>
      <c r="C2478" t="s">
        <v>33</v>
      </c>
      <c r="D2478" t="s">
        <v>19</v>
      </c>
      <c r="E2478" t="s">
        <v>67</v>
      </c>
      <c r="F2478" t="s">
        <v>120</v>
      </c>
      <c r="G2478" s="23">
        <v>0.14000000000000001</v>
      </c>
      <c r="H2478" t="s">
        <v>22</v>
      </c>
      <c r="I2478" t="s">
        <v>80</v>
      </c>
      <c r="J2478" t="s">
        <v>61</v>
      </c>
      <c r="K2478" t="s">
        <v>90</v>
      </c>
      <c r="L2478" t="s">
        <v>119</v>
      </c>
      <c r="M2478" t="s">
        <v>125</v>
      </c>
      <c r="N2478" t="s">
        <v>28</v>
      </c>
      <c r="O2478">
        <v>0</v>
      </c>
      <c r="P2478">
        <v>41770</v>
      </c>
      <c r="Q2478">
        <f t="shared" si="41"/>
        <v>4.1770000000000002E-2</v>
      </c>
      <c r="R2478">
        <v>43252</v>
      </c>
      <c r="S2478" t="s">
        <v>122</v>
      </c>
    </row>
    <row r="2479" spans="1:19">
      <c r="A2479">
        <v>60000576</v>
      </c>
      <c r="B2479">
        <v>30</v>
      </c>
      <c r="C2479" t="s">
        <v>18</v>
      </c>
      <c r="D2479" t="s">
        <v>19</v>
      </c>
      <c r="E2479" t="s">
        <v>56</v>
      </c>
      <c r="F2479" t="s">
        <v>21</v>
      </c>
      <c r="G2479" s="23">
        <v>0.3</v>
      </c>
      <c r="H2479" t="s">
        <v>53</v>
      </c>
      <c r="I2479" t="s">
        <v>83</v>
      </c>
      <c r="J2479" t="s">
        <v>88</v>
      </c>
      <c r="K2479" t="s">
        <v>89</v>
      </c>
      <c r="L2479" t="s">
        <v>26</v>
      </c>
      <c r="M2479" t="s">
        <v>125</v>
      </c>
      <c r="N2479" t="s">
        <v>28</v>
      </c>
      <c r="O2479">
        <v>0</v>
      </c>
      <c r="P2479">
        <v>55840</v>
      </c>
      <c r="Q2479">
        <f t="shared" ref="Q2479:Q2537" si="42">+P2479/1000000</f>
        <v>5.5840000000000001E-2</v>
      </c>
      <c r="R2479">
        <v>43252</v>
      </c>
      <c r="S2479" t="s">
        <v>122</v>
      </c>
    </row>
    <row r="2480" spans="1:19">
      <c r="A2480">
        <v>60000577</v>
      </c>
      <c r="B2480">
        <v>48</v>
      </c>
      <c r="C2480" t="s">
        <v>33</v>
      </c>
      <c r="D2480" t="s">
        <v>19</v>
      </c>
      <c r="E2480" t="s">
        <v>72</v>
      </c>
      <c r="F2480" t="s">
        <v>120</v>
      </c>
      <c r="G2480" s="23">
        <v>0.11</v>
      </c>
      <c r="H2480" t="s">
        <v>36</v>
      </c>
      <c r="I2480" t="s">
        <v>83</v>
      </c>
      <c r="J2480" t="s">
        <v>58</v>
      </c>
      <c r="K2480" t="s">
        <v>116</v>
      </c>
      <c r="L2480" t="s">
        <v>26</v>
      </c>
      <c r="M2480" t="s">
        <v>125</v>
      </c>
      <c r="N2480" t="s">
        <v>51</v>
      </c>
      <c r="O2480">
        <v>1</v>
      </c>
      <c r="P2480">
        <v>72353</v>
      </c>
      <c r="Q2480">
        <f t="shared" si="42"/>
        <v>7.2353000000000001E-2</v>
      </c>
      <c r="R2480">
        <v>43252</v>
      </c>
      <c r="S2480" t="s">
        <v>122</v>
      </c>
    </row>
    <row r="2481" spans="1:19">
      <c r="A2481">
        <v>60000578</v>
      </c>
      <c r="B2481">
        <v>54</v>
      </c>
      <c r="C2481" t="s">
        <v>33</v>
      </c>
      <c r="D2481" t="s">
        <v>19</v>
      </c>
      <c r="E2481" t="s">
        <v>34</v>
      </c>
      <c r="F2481" t="s">
        <v>35</v>
      </c>
      <c r="G2481" s="23">
        <v>0.36</v>
      </c>
      <c r="H2481" t="s">
        <v>42</v>
      </c>
      <c r="I2481" t="s">
        <v>45</v>
      </c>
      <c r="J2481" t="s">
        <v>66</v>
      </c>
      <c r="K2481" t="s">
        <v>118</v>
      </c>
      <c r="L2481" t="s">
        <v>119</v>
      </c>
      <c r="M2481" t="s">
        <v>125</v>
      </c>
      <c r="N2481" t="s">
        <v>51</v>
      </c>
      <c r="O2481">
        <v>6</v>
      </c>
      <c r="P2481">
        <v>40780</v>
      </c>
      <c r="Q2481">
        <f t="shared" si="42"/>
        <v>4.0779999999999997E-2</v>
      </c>
      <c r="R2481">
        <v>43252</v>
      </c>
      <c r="S2481" t="s">
        <v>122</v>
      </c>
    </row>
    <row r="2482" spans="1:19">
      <c r="A2482">
        <v>60000579</v>
      </c>
      <c r="B2482">
        <v>31</v>
      </c>
      <c r="C2482" t="s">
        <v>33</v>
      </c>
      <c r="D2482" t="s">
        <v>40</v>
      </c>
      <c r="E2482" t="s">
        <v>64</v>
      </c>
      <c r="F2482" t="s">
        <v>35</v>
      </c>
      <c r="G2482" s="23">
        <v>0.26</v>
      </c>
      <c r="H2482" t="s">
        <v>53</v>
      </c>
      <c r="I2482" t="s">
        <v>80</v>
      </c>
      <c r="J2482" t="s">
        <v>54</v>
      </c>
      <c r="K2482" t="s">
        <v>94</v>
      </c>
      <c r="L2482" t="s">
        <v>121</v>
      </c>
      <c r="M2482" t="s">
        <v>125</v>
      </c>
      <c r="N2482" t="s">
        <v>51</v>
      </c>
      <c r="O2482">
        <v>7</v>
      </c>
      <c r="P2482">
        <v>76617</v>
      </c>
      <c r="Q2482">
        <f t="shared" si="42"/>
        <v>7.6617000000000005E-2</v>
      </c>
      <c r="R2482">
        <v>43252</v>
      </c>
      <c r="S2482" t="s">
        <v>122</v>
      </c>
    </row>
    <row r="2483" spans="1:19">
      <c r="A2483">
        <v>60000580</v>
      </c>
      <c r="B2483">
        <v>46</v>
      </c>
      <c r="C2483" t="s">
        <v>18</v>
      </c>
      <c r="D2483" t="s">
        <v>40</v>
      </c>
      <c r="E2483" t="s">
        <v>52</v>
      </c>
      <c r="F2483" t="s">
        <v>21</v>
      </c>
      <c r="G2483" s="23">
        <v>0.15</v>
      </c>
      <c r="H2483" t="s">
        <v>22</v>
      </c>
      <c r="I2483" t="s">
        <v>70</v>
      </c>
      <c r="J2483" t="s">
        <v>46</v>
      </c>
      <c r="K2483" t="s">
        <v>77</v>
      </c>
      <c r="L2483" t="s">
        <v>26</v>
      </c>
      <c r="M2483" t="s">
        <v>125</v>
      </c>
      <c r="N2483" t="s">
        <v>28</v>
      </c>
      <c r="O2483">
        <v>0</v>
      </c>
      <c r="P2483">
        <v>68090</v>
      </c>
      <c r="Q2483">
        <f t="shared" si="42"/>
        <v>6.8089999999999998E-2</v>
      </c>
      <c r="R2483">
        <v>43252</v>
      </c>
      <c r="S2483" t="s">
        <v>122</v>
      </c>
    </row>
    <row r="2484" spans="1:19">
      <c r="A2484">
        <v>60000581</v>
      </c>
      <c r="B2484">
        <v>25</v>
      </c>
      <c r="C2484" t="s">
        <v>33</v>
      </c>
      <c r="D2484" t="s">
        <v>40</v>
      </c>
      <c r="E2484" t="s">
        <v>44</v>
      </c>
      <c r="F2484" t="s">
        <v>21</v>
      </c>
      <c r="G2484" s="23">
        <v>0.1</v>
      </c>
      <c r="H2484" t="s">
        <v>36</v>
      </c>
      <c r="I2484" t="s">
        <v>76</v>
      </c>
      <c r="J2484" t="s">
        <v>58</v>
      </c>
      <c r="K2484" t="s">
        <v>60</v>
      </c>
      <c r="L2484" t="s">
        <v>119</v>
      </c>
      <c r="M2484" t="s">
        <v>125</v>
      </c>
      <c r="N2484" t="s">
        <v>51</v>
      </c>
      <c r="O2484">
        <v>7</v>
      </c>
      <c r="P2484">
        <v>46276</v>
      </c>
      <c r="Q2484">
        <f t="shared" si="42"/>
        <v>4.6275999999999998E-2</v>
      </c>
      <c r="R2484">
        <v>43252</v>
      </c>
      <c r="S2484" t="s">
        <v>122</v>
      </c>
    </row>
    <row r="2485" spans="1:19">
      <c r="A2485">
        <v>60000582</v>
      </c>
      <c r="B2485">
        <v>27</v>
      </c>
      <c r="C2485" t="s">
        <v>33</v>
      </c>
      <c r="D2485" t="s">
        <v>19</v>
      </c>
      <c r="E2485" t="s">
        <v>75</v>
      </c>
      <c r="F2485" t="s">
        <v>21</v>
      </c>
      <c r="G2485" s="23">
        <v>0.11</v>
      </c>
      <c r="H2485" t="s">
        <v>36</v>
      </c>
      <c r="I2485" t="s">
        <v>76</v>
      </c>
      <c r="J2485" t="s">
        <v>91</v>
      </c>
      <c r="K2485" t="s">
        <v>110</v>
      </c>
      <c r="L2485" t="s">
        <v>26</v>
      </c>
      <c r="M2485" t="s">
        <v>125</v>
      </c>
      <c r="N2485" t="s">
        <v>51</v>
      </c>
      <c r="O2485">
        <v>7</v>
      </c>
      <c r="P2485">
        <v>41093</v>
      </c>
      <c r="Q2485">
        <f t="shared" si="42"/>
        <v>4.1092999999999998E-2</v>
      </c>
      <c r="R2485">
        <v>43252</v>
      </c>
      <c r="S2485" t="s">
        <v>122</v>
      </c>
    </row>
    <row r="2486" spans="1:19">
      <c r="A2486">
        <v>60000583</v>
      </c>
      <c r="B2486">
        <v>38</v>
      </c>
      <c r="C2486" t="s">
        <v>33</v>
      </c>
      <c r="D2486" t="s">
        <v>40</v>
      </c>
      <c r="E2486" t="s">
        <v>20</v>
      </c>
      <c r="F2486" t="s">
        <v>21</v>
      </c>
      <c r="G2486" s="23">
        <v>0.36</v>
      </c>
      <c r="H2486" t="s">
        <v>42</v>
      </c>
      <c r="I2486" t="s">
        <v>37</v>
      </c>
      <c r="J2486" t="s">
        <v>58</v>
      </c>
      <c r="K2486" t="s">
        <v>102</v>
      </c>
      <c r="L2486" t="s">
        <v>26</v>
      </c>
      <c r="M2486" t="s">
        <v>125</v>
      </c>
      <c r="N2486" t="s">
        <v>51</v>
      </c>
      <c r="O2486">
        <v>1</v>
      </c>
      <c r="P2486">
        <v>53884</v>
      </c>
      <c r="Q2486">
        <f t="shared" si="42"/>
        <v>5.3884000000000001E-2</v>
      </c>
      <c r="R2486">
        <v>43252</v>
      </c>
      <c r="S2486" t="s">
        <v>122</v>
      </c>
    </row>
    <row r="2487" spans="1:19">
      <c r="A2487">
        <v>60000584</v>
      </c>
      <c r="B2487">
        <v>31</v>
      </c>
      <c r="C2487" t="s">
        <v>18</v>
      </c>
      <c r="D2487" t="s">
        <v>19</v>
      </c>
      <c r="E2487" t="s">
        <v>20</v>
      </c>
      <c r="F2487" t="s">
        <v>35</v>
      </c>
      <c r="G2487" s="23">
        <v>0.32</v>
      </c>
      <c r="H2487" t="s">
        <v>42</v>
      </c>
      <c r="I2487" t="s">
        <v>30</v>
      </c>
      <c r="J2487" t="s">
        <v>88</v>
      </c>
      <c r="K2487" t="s">
        <v>77</v>
      </c>
      <c r="L2487" t="s">
        <v>119</v>
      </c>
      <c r="M2487" t="s">
        <v>125</v>
      </c>
      <c r="N2487" t="s">
        <v>28</v>
      </c>
      <c r="O2487">
        <v>0</v>
      </c>
      <c r="P2487">
        <v>76973</v>
      </c>
      <c r="Q2487">
        <f t="shared" si="42"/>
        <v>7.6973E-2</v>
      </c>
      <c r="R2487">
        <v>43252</v>
      </c>
      <c r="S2487" t="s">
        <v>122</v>
      </c>
    </row>
    <row r="2488" spans="1:19">
      <c r="A2488">
        <v>60000585</v>
      </c>
      <c r="B2488">
        <v>52</v>
      </c>
      <c r="C2488" t="s">
        <v>33</v>
      </c>
      <c r="D2488" t="s">
        <v>40</v>
      </c>
      <c r="E2488" t="s">
        <v>72</v>
      </c>
      <c r="F2488" t="s">
        <v>120</v>
      </c>
      <c r="G2488" s="23">
        <v>0.14000000000000001</v>
      </c>
      <c r="H2488" t="s">
        <v>22</v>
      </c>
      <c r="I2488" t="s">
        <v>86</v>
      </c>
      <c r="J2488" t="s">
        <v>88</v>
      </c>
      <c r="K2488" t="s">
        <v>92</v>
      </c>
      <c r="L2488" t="s">
        <v>26</v>
      </c>
      <c r="M2488" t="s">
        <v>125</v>
      </c>
      <c r="N2488" t="s">
        <v>28</v>
      </c>
      <c r="O2488">
        <v>0</v>
      </c>
      <c r="P2488">
        <v>45982</v>
      </c>
      <c r="Q2488">
        <f t="shared" si="42"/>
        <v>4.5982000000000002E-2</v>
      </c>
      <c r="R2488">
        <v>43252</v>
      </c>
      <c r="S2488" t="s">
        <v>122</v>
      </c>
    </row>
    <row r="2489" spans="1:19">
      <c r="A2489">
        <v>60000586</v>
      </c>
      <c r="B2489">
        <v>21</v>
      </c>
      <c r="C2489" t="s">
        <v>33</v>
      </c>
      <c r="D2489" t="s">
        <v>40</v>
      </c>
      <c r="E2489" t="s">
        <v>85</v>
      </c>
      <c r="F2489" t="s">
        <v>35</v>
      </c>
      <c r="G2489" s="23">
        <v>0.27</v>
      </c>
      <c r="H2489" t="s">
        <v>53</v>
      </c>
      <c r="I2489" t="s">
        <v>30</v>
      </c>
      <c r="J2489" t="s">
        <v>58</v>
      </c>
      <c r="K2489" t="s">
        <v>114</v>
      </c>
      <c r="L2489" t="s">
        <v>119</v>
      </c>
      <c r="M2489" t="s">
        <v>125</v>
      </c>
      <c r="N2489" t="s">
        <v>28</v>
      </c>
      <c r="O2489">
        <v>0</v>
      </c>
      <c r="P2489">
        <v>28570</v>
      </c>
      <c r="Q2489">
        <f t="shared" si="42"/>
        <v>2.8570000000000002E-2</v>
      </c>
      <c r="R2489">
        <v>43252</v>
      </c>
      <c r="S2489" t="s">
        <v>122</v>
      </c>
    </row>
    <row r="2490" spans="1:19">
      <c r="A2490">
        <v>60000587</v>
      </c>
      <c r="B2490">
        <v>65</v>
      </c>
      <c r="C2490" t="s">
        <v>18</v>
      </c>
      <c r="D2490" t="s">
        <v>19</v>
      </c>
      <c r="E2490" t="s">
        <v>20</v>
      </c>
      <c r="F2490" t="s">
        <v>120</v>
      </c>
      <c r="G2490" s="23">
        <v>0.22</v>
      </c>
      <c r="H2490" t="s">
        <v>29</v>
      </c>
      <c r="I2490" t="s">
        <v>49</v>
      </c>
      <c r="J2490" t="s">
        <v>61</v>
      </c>
      <c r="K2490" t="s">
        <v>59</v>
      </c>
      <c r="L2490" t="s">
        <v>26</v>
      </c>
      <c r="M2490" t="s">
        <v>125</v>
      </c>
      <c r="N2490" t="s">
        <v>51</v>
      </c>
      <c r="O2490">
        <v>4</v>
      </c>
      <c r="P2490">
        <v>71377</v>
      </c>
      <c r="Q2490">
        <f t="shared" si="42"/>
        <v>7.1376999999999996E-2</v>
      </c>
      <c r="R2490">
        <v>43252</v>
      </c>
      <c r="S2490" t="s">
        <v>122</v>
      </c>
    </row>
    <row r="2491" spans="1:19">
      <c r="A2491">
        <v>60000588</v>
      </c>
      <c r="B2491">
        <v>40</v>
      </c>
      <c r="C2491" t="s">
        <v>33</v>
      </c>
      <c r="D2491" t="s">
        <v>19</v>
      </c>
      <c r="E2491" t="s">
        <v>52</v>
      </c>
      <c r="F2491" t="s">
        <v>35</v>
      </c>
      <c r="G2491" s="23">
        <v>0.26</v>
      </c>
      <c r="H2491" t="s">
        <v>53</v>
      </c>
      <c r="I2491" t="s">
        <v>37</v>
      </c>
      <c r="J2491" t="s">
        <v>58</v>
      </c>
      <c r="K2491" t="s">
        <v>111</v>
      </c>
      <c r="L2491" t="s">
        <v>26</v>
      </c>
      <c r="M2491" t="s">
        <v>125</v>
      </c>
      <c r="N2491" t="s">
        <v>28</v>
      </c>
      <c r="O2491">
        <v>0</v>
      </c>
      <c r="P2491">
        <v>57215</v>
      </c>
      <c r="Q2491">
        <f t="shared" si="42"/>
        <v>5.7215000000000002E-2</v>
      </c>
      <c r="R2491">
        <v>43252</v>
      </c>
      <c r="S2491" t="s">
        <v>122</v>
      </c>
    </row>
    <row r="2492" spans="1:19">
      <c r="A2492">
        <v>60000589</v>
      </c>
      <c r="B2492">
        <v>50</v>
      </c>
      <c r="C2492" t="s">
        <v>18</v>
      </c>
      <c r="D2492" t="s">
        <v>40</v>
      </c>
      <c r="E2492" t="s">
        <v>64</v>
      </c>
      <c r="F2492" t="s">
        <v>21</v>
      </c>
      <c r="G2492" s="23">
        <v>0.37</v>
      </c>
      <c r="H2492" t="s">
        <v>42</v>
      </c>
      <c r="I2492" t="s">
        <v>30</v>
      </c>
      <c r="J2492" t="s">
        <v>74</v>
      </c>
      <c r="K2492" t="s">
        <v>84</v>
      </c>
      <c r="L2492" t="s">
        <v>119</v>
      </c>
      <c r="M2492" t="s">
        <v>125</v>
      </c>
      <c r="N2492" t="s">
        <v>51</v>
      </c>
      <c r="O2492">
        <v>2</v>
      </c>
      <c r="P2492">
        <v>48218</v>
      </c>
      <c r="Q2492">
        <f t="shared" si="42"/>
        <v>4.8217999999999997E-2</v>
      </c>
      <c r="R2492">
        <v>43252</v>
      </c>
      <c r="S2492" t="s">
        <v>122</v>
      </c>
    </row>
    <row r="2493" spans="1:19">
      <c r="A2493">
        <v>60000590</v>
      </c>
      <c r="B2493">
        <v>33</v>
      </c>
      <c r="C2493" t="s">
        <v>18</v>
      </c>
      <c r="D2493" t="s">
        <v>19</v>
      </c>
      <c r="E2493" t="s">
        <v>48</v>
      </c>
      <c r="F2493" t="s">
        <v>21</v>
      </c>
      <c r="G2493" s="23">
        <v>0.18</v>
      </c>
      <c r="H2493" t="s">
        <v>22</v>
      </c>
      <c r="I2493" t="s">
        <v>73</v>
      </c>
      <c r="J2493" t="s">
        <v>88</v>
      </c>
      <c r="K2493" t="s">
        <v>100</v>
      </c>
      <c r="L2493" t="s">
        <v>119</v>
      </c>
      <c r="M2493" t="s">
        <v>125</v>
      </c>
      <c r="N2493" t="s">
        <v>28</v>
      </c>
      <c r="O2493">
        <v>0</v>
      </c>
      <c r="P2493">
        <v>50569</v>
      </c>
      <c r="Q2493">
        <f t="shared" si="42"/>
        <v>5.0569000000000003E-2</v>
      </c>
      <c r="R2493">
        <v>43252</v>
      </c>
      <c r="S2493" t="s">
        <v>122</v>
      </c>
    </row>
    <row r="2494" spans="1:19">
      <c r="A2494">
        <v>60000591</v>
      </c>
      <c r="B2494">
        <v>41</v>
      </c>
      <c r="C2494" t="s">
        <v>33</v>
      </c>
      <c r="D2494" t="s">
        <v>19</v>
      </c>
      <c r="E2494" t="s">
        <v>64</v>
      </c>
      <c r="F2494" t="s">
        <v>21</v>
      </c>
      <c r="G2494" s="23">
        <v>0.28000000000000003</v>
      </c>
      <c r="H2494" t="s">
        <v>53</v>
      </c>
      <c r="I2494" t="s">
        <v>68</v>
      </c>
      <c r="J2494" t="s">
        <v>78</v>
      </c>
      <c r="K2494" t="s">
        <v>89</v>
      </c>
      <c r="L2494" t="s">
        <v>119</v>
      </c>
      <c r="M2494" t="s">
        <v>125</v>
      </c>
      <c r="N2494" t="s">
        <v>28</v>
      </c>
      <c r="O2494">
        <v>0</v>
      </c>
      <c r="P2494">
        <v>65399</v>
      </c>
      <c r="Q2494">
        <f t="shared" si="42"/>
        <v>6.5398999999999999E-2</v>
      </c>
      <c r="R2494">
        <v>43252</v>
      </c>
      <c r="S2494" t="s">
        <v>122</v>
      </c>
    </row>
    <row r="2495" spans="1:19">
      <c r="A2495">
        <v>60000592</v>
      </c>
      <c r="B2495">
        <v>56</v>
      </c>
      <c r="C2495" t="s">
        <v>33</v>
      </c>
      <c r="D2495" t="s">
        <v>40</v>
      </c>
      <c r="E2495" t="s">
        <v>48</v>
      </c>
      <c r="F2495" t="s">
        <v>35</v>
      </c>
      <c r="G2495" s="23">
        <v>0.28000000000000003</v>
      </c>
      <c r="H2495" t="s">
        <v>53</v>
      </c>
      <c r="I2495" t="s">
        <v>80</v>
      </c>
      <c r="J2495" t="s">
        <v>58</v>
      </c>
      <c r="K2495" t="s">
        <v>109</v>
      </c>
      <c r="L2495" t="s">
        <v>121</v>
      </c>
      <c r="M2495" t="s">
        <v>125</v>
      </c>
      <c r="N2495" t="s">
        <v>28</v>
      </c>
      <c r="O2495">
        <v>0</v>
      </c>
      <c r="P2495">
        <v>52033</v>
      </c>
      <c r="Q2495">
        <f t="shared" si="42"/>
        <v>5.2033000000000003E-2</v>
      </c>
      <c r="R2495">
        <v>43252</v>
      </c>
      <c r="S2495" t="s">
        <v>122</v>
      </c>
    </row>
    <row r="2496" spans="1:19">
      <c r="A2496">
        <v>60000593</v>
      </c>
      <c r="B2496">
        <v>26</v>
      </c>
      <c r="C2496" t="s">
        <v>33</v>
      </c>
      <c r="D2496" t="s">
        <v>40</v>
      </c>
      <c r="E2496" t="s">
        <v>85</v>
      </c>
      <c r="F2496" t="s">
        <v>21</v>
      </c>
      <c r="G2496" s="23">
        <v>0.13</v>
      </c>
      <c r="H2496" t="s">
        <v>22</v>
      </c>
      <c r="I2496" t="s">
        <v>37</v>
      </c>
      <c r="J2496" t="s">
        <v>91</v>
      </c>
      <c r="K2496" t="s">
        <v>90</v>
      </c>
      <c r="L2496" t="s">
        <v>119</v>
      </c>
      <c r="M2496" t="s">
        <v>125</v>
      </c>
      <c r="N2496" t="s">
        <v>28</v>
      </c>
      <c r="O2496">
        <v>0</v>
      </c>
      <c r="P2496">
        <v>68451</v>
      </c>
      <c r="Q2496">
        <f t="shared" si="42"/>
        <v>6.8450999999999998E-2</v>
      </c>
      <c r="R2496">
        <v>43252</v>
      </c>
      <c r="S2496" t="s">
        <v>122</v>
      </c>
    </row>
    <row r="2497" spans="1:19">
      <c r="A2497">
        <v>60000594</v>
      </c>
      <c r="B2497">
        <v>56</v>
      </c>
      <c r="C2497" t="s">
        <v>18</v>
      </c>
      <c r="D2497" t="s">
        <v>40</v>
      </c>
      <c r="E2497" t="s">
        <v>56</v>
      </c>
      <c r="F2497" t="s">
        <v>120</v>
      </c>
      <c r="G2497" s="23">
        <v>0.19</v>
      </c>
      <c r="H2497" t="s">
        <v>29</v>
      </c>
      <c r="I2497" t="s">
        <v>62</v>
      </c>
      <c r="J2497" t="s">
        <v>74</v>
      </c>
      <c r="K2497" t="s">
        <v>39</v>
      </c>
      <c r="L2497" t="s">
        <v>119</v>
      </c>
      <c r="M2497" t="s">
        <v>125</v>
      </c>
      <c r="N2497" t="s">
        <v>28</v>
      </c>
      <c r="O2497">
        <v>0</v>
      </c>
      <c r="P2497">
        <v>25667</v>
      </c>
      <c r="Q2497">
        <f t="shared" si="42"/>
        <v>2.5666999999999999E-2</v>
      </c>
      <c r="R2497">
        <v>43252</v>
      </c>
      <c r="S2497" t="s">
        <v>122</v>
      </c>
    </row>
    <row r="2498" spans="1:19">
      <c r="A2498">
        <v>60000595</v>
      </c>
      <c r="B2498">
        <v>59</v>
      </c>
      <c r="C2498" t="s">
        <v>18</v>
      </c>
      <c r="D2498" t="s">
        <v>19</v>
      </c>
      <c r="E2498" t="s">
        <v>48</v>
      </c>
      <c r="F2498" t="s">
        <v>21</v>
      </c>
      <c r="G2498" s="23">
        <v>0.2</v>
      </c>
      <c r="H2498" t="s">
        <v>29</v>
      </c>
      <c r="I2498" t="s">
        <v>83</v>
      </c>
      <c r="J2498" t="s">
        <v>54</v>
      </c>
      <c r="K2498" t="s">
        <v>99</v>
      </c>
      <c r="L2498" t="s">
        <v>26</v>
      </c>
      <c r="M2498" t="s">
        <v>125</v>
      </c>
      <c r="N2498" t="s">
        <v>28</v>
      </c>
      <c r="O2498">
        <v>0</v>
      </c>
      <c r="P2498">
        <v>83560</v>
      </c>
      <c r="Q2498">
        <f t="shared" si="42"/>
        <v>8.3559999999999995E-2</v>
      </c>
      <c r="R2498">
        <v>43252</v>
      </c>
      <c r="S2498" t="s">
        <v>122</v>
      </c>
    </row>
    <row r="2499" spans="1:19">
      <c r="A2499">
        <v>60000596</v>
      </c>
      <c r="B2499">
        <v>44</v>
      </c>
      <c r="C2499" t="s">
        <v>33</v>
      </c>
      <c r="D2499" t="s">
        <v>40</v>
      </c>
      <c r="E2499" t="s">
        <v>56</v>
      </c>
      <c r="F2499" t="s">
        <v>35</v>
      </c>
      <c r="G2499" s="23">
        <v>0.26</v>
      </c>
      <c r="H2499" t="s">
        <v>53</v>
      </c>
      <c r="I2499" t="s">
        <v>68</v>
      </c>
      <c r="J2499" t="s">
        <v>91</v>
      </c>
      <c r="K2499" t="s">
        <v>107</v>
      </c>
      <c r="L2499" t="s">
        <v>26</v>
      </c>
      <c r="M2499" t="s">
        <v>125</v>
      </c>
      <c r="N2499" t="s">
        <v>28</v>
      </c>
      <c r="O2499">
        <v>0</v>
      </c>
      <c r="P2499">
        <v>57917</v>
      </c>
      <c r="Q2499">
        <f t="shared" si="42"/>
        <v>5.7917000000000003E-2</v>
      </c>
      <c r="R2499">
        <v>43252</v>
      </c>
      <c r="S2499" t="s">
        <v>122</v>
      </c>
    </row>
    <row r="2500" spans="1:19">
      <c r="A2500">
        <v>60000597</v>
      </c>
      <c r="B2500">
        <v>56</v>
      </c>
      <c r="C2500" t="s">
        <v>33</v>
      </c>
      <c r="D2500" t="s">
        <v>19</v>
      </c>
      <c r="E2500" t="s">
        <v>85</v>
      </c>
      <c r="F2500" t="s">
        <v>120</v>
      </c>
      <c r="G2500" s="23">
        <v>0.16</v>
      </c>
      <c r="H2500" t="s">
        <v>22</v>
      </c>
      <c r="I2500" t="s">
        <v>83</v>
      </c>
      <c r="J2500" t="s">
        <v>31</v>
      </c>
      <c r="K2500" t="s">
        <v>113</v>
      </c>
      <c r="L2500" t="s">
        <v>119</v>
      </c>
      <c r="M2500" t="s">
        <v>125</v>
      </c>
      <c r="N2500" t="s">
        <v>28</v>
      </c>
      <c r="O2500">
        <v>0</v>
      </c>
      <c r="P2500">
        <v>50258</v>
      </c>
      <c r="Q2500">
        <f t="shared" si="42"/>
        <v>5.0257999999999997E-2</v>
      </c>
      <c r="R2500">
        <v>43252</v>
      </c>
      <c r="S2500" t="s">
        <v>122</v>
      </c>
    </row>
    <row r="2501" spans="1:19">
      <c r="A2501">
        <v>60000598</v>
      </c>
      <c r="B2501">
        <v>34</v>
      </c>
      <c r="C2501" t="s">
        <v>33</v>
      </c>
      <c r="D2501" t="s">
        <v>40</v>
      </c>
      <c r="E2501" t="s">
        <v>34</v>
      </c>
      <c r="F2501" t="s">
        <v>120</v>
      </c>
      <c r="G2501" s="23">
        <v>0.15</v>
      </c>
      <c r="H2501" t="s">
        <v>22</v>
      </c>
      <c r="I2501" t="s">
        <v>37</v>
      </c>
      <c r="J2501" t="s">
        <v>54</v>
      </c>
      <c r="K2501" t="s">
        <v>115</v>
      </c>
      <c r="L2501" t="s">
        <v>26</v>
      </c>
      <c r="M2501" t="s">
        <v>125</v>
      </c>
      <c r="N2501" t="s">
        <v>51</v>
      </c>
      <c r="O2501">
        <v>1</v>
      </c>
      <c r="P2501">
        <v>53537</v>
      </c>
      <c r="Q2501">
        <f t="shared" si="42"/>
        <v>5.3537000000000001E-2</v>
      </c>
      <c r="R2501">
        <v>43252</v>
      </c>
      <c r="S2501" t="s">
        <v>122</v>
      </c>
    </row>
    <row r="2502" spans="1:19">
      <c r="A2502">
        <v>60000599</v>
      </c>
      <c r="B2502">
        <v>31</v>
      </c>
      <c r="C2502" t="s">
        <v>18</v>
      </c>
      <c r="D2502" t="s">
        <v>40</v>
      </c>
      <c r="E2502" t="s">
        <v>34</v>
      </c>
      <c r="F2502" t="s">
        <v>120</v>
      </c>
      <c r="G2502" s="23">
        <v>0.22</v>
      </c>
      <c r="H2502" t="s">
        <v>29</v>
      </c>
      <c r="I2502" t="s">
        <v>86</v>
      </c>
      <c r="J2502" t="s">
        <v>66</v>
      </c>
      <c r="K2502" t="s">
        <v>116</v>
      </c>
      <c r="L2502" t="s">
        <v>119</v>
      </c>
      <c r="M2502" t="s">
        <v>125</v>
      </c>
      <c r="N2502" t="s">
        <v>51</v>
      </c>
      <c r="O2502">
        <v>5</v>
      </c>
      <c r="P2502">
        <v>36408</v>
      </c>
      <c r="Q2502">
        <f t="shared" si="42"/>
        <v>3.6408000000000003E-2</v>
      </c>
      <c r="R2502">
        <v>43252</v>
      </c>
      <c r="S2502" t="s">
        <v>122</v>
      </c>
    </row>
    <row r="2503" spans="1:19">
      <c r="A2503">
        <v>60000600</v>
      </c>
      <c r="B2503">
        <v>54</v>
      </c>
      <c r="C2503" t="s">
        <v>33</v>
      </c>
      <c r="D2503" t="s">
        <v>40</v>
      </c>
      <c r="E2503" t="s">
        <v>64</v>
      </c>
      <c r="F2503" t="s">
        <v>21</v>
      </c>
      <c r="G2503" s="23">
        <v>0.22</v>
      </c>
      <c r="H2503" t="s">
        <v>29</v>
      </c>
      <c r="I2503" t="s">
        <v>57</v>
      </c>
      <c r="J2503" t="s">
        <v>69</v>
      </c>
      <c r="K2503" t="s">
        <v>79</v>
      </c>
      <c r="L2503" t="s">
        <v>26</v>
      </c>
      <c r="M2503" t="s">
        <v>125</v>
      </c>
      <c r="N2503" t="s">
        <v>28</v>
      </c>
      <c r="O2503">
        <v>0</v>
      </c>
      <c r="P2503">
        <v>68952</v>
      </c>
      <c r="Q2503">
        <f t="shared" si="42"/>
        <v>6.8951999999999999E-2</v>
      </c>
      <c r="R2503">
        <v>43252</v>
      </c>
      <c r="S2503" t="s">
        <v>122</v>
      </c>
    </row>
    <row r="2504" spans="1:19">
      <c r="A2504">
        <v>60000601</v>
      </c>
      <c r="B2504">
        <v>45</v>
      </c>
      <c r="C2504" t="s">
        <v>18</v>
      </c>
      <c r="D2504" t="s">
        <v>19</v>
      </c>
      <c r="E2504" t="s">
        <v>72</v>
      </c>
      <c r="F2504" t="s">
        <v>120</v>
      </c>
      <c r="G2504" s="23">
        <v>0.27</v>
      </c>
      <c r="H2504" t="s">
        <v>53</v>
      </c>
      <c r="I2504" t="s">
        <v>76</v>
      </c>
      <c r="J2504" t="s">
        <v>74</v>
      </c>
      <c r="K2504" t="s">
        <v>84</v>
      </c>
      <c r="L2504" t="s">
        <v>119</v>
      </c>
      <c r="M2504" t="s">
        <v>125</v>
      </c>
      <c r="N2504" t="s">
        <v>28</v>
      </c>
      <c r="O2504">
        <v>0</v>
      </c>
      <c r="P2504">
        <v>64036</v>
      </c>
      <c r="Q2504">
        <f t="shared" si="42"/>
        <v>6.4035999999999996E-2</v>
      </c>
      <c r="R2504">
        <v>43252</v>
      </c>
      <c r="S2504" t="s">
        <v>122</v>
      </c>
    </row>
    <row r="2505" spans="1:19">
      <c r="A2505">
        <v>60000602</v>
      </c>
      <c r="B2505">
        <v>55</v>
      </c>
      <c r="C2505" t="s">
        <v>33</v>
      </c>
      <c r="D2505" t="s">
        <v>40</v>
      </c>
      <c r="E2505" t="s">
        <v>56</v>
      </c>
      <c r="F2505" t="s">
        <v>35</v>
      </c>
      <c r="G2505" s="23">
        <v>0.18</v>
      </c>
      <c r="H2505" t="s">
        <v>22</v>
      </c>
      <c r="I2505" t="s">
        <v>73</v>
      </c>
      <c r="J2505" t="s">
        <v>78</v>
      </c>
      <c r="K2505" t="s">
        <v>71</v>
      </c>
      <c r="L2505" t="s">
        <v>121</v>
      </c>
      <c r="M2505" t="s">
        <v>125</v>
      </c>
      <c r="N2505" t="s">
        <v>28</v>
      </c>
      <c r="O2505">
        <v>0</v>
      </c>
      <c r="P2505">
        <v>56531</v>
      </c>
      <c r="Q2505">
        <f t="shared" si="42"/>
        <v>5.6530999999999998E-2</v>
      </c>
      <c r="R2505">
        <v>43252</v>
      </c>
      <c r="S2505" t="s">
        <v>122</v>
      </c>
    </row>
    <row r="2506" spans="1:19">
      <c r="A2506">
        <v>60000603</v>
      </c>
      <c r="B2506">
        <v>33</v>
      </c>
      <c r="C2506" t="s">
        <v>18</v>
      </c>
      <c r="D2506" t="s">
        <v>19</v>
      </c>
      <c r="E2506" t="s">
        <v>48</v>
      </c>
      <c r="F2506" t="s">
        <v>21</v>
      </c>
      <c r="G2506" s="23">
        <v>0.18</v>
      </c>
      <c r="H2506" t="s">
        <v>22</v>
      </c>
      <c r="I2506" t="s">
        <v>23</v>
      </c>
      <c r="J2506" t="s">
        <v>66</v>
      </c>
      <c r="K2506" t="s">
        <v>103</v>
      </c>
      <c r="L2506" t="s">
        <v>119</v>
      </c>
      <c r="M2506" t="s">
        <v>125</v>
      </c>
      <c r="N2506" t="s">
        <v>28</v>
      </c>
      <c r="O2506">
        <v>0</v>
      </c>
      <c r="P2506">
        <v>75914</v>
      </c>
      <c r="Q2506">
        <f t="shared" si="42"/>
        <v>7.5913999999999995E-2</v>
      </c>
      <c r="R2506">
        <v>43252</v>
      </c>
      <c r="S2506" t="s">
        <v>122</v>
      </c>
    </row>
    <row r="2507" spans="1:19">
      <c r="A2507">
        <v>60000604</v>
      </c>
      <c r="B2507">
        <v>51</v>
      </c>
      <c r="C2507" t="s">
        <v>18</v>
      </c>
      <c r="D2507" t="s">
        <v>19</v>
      </c>
      <c r="E2507" t="s">
        <v>20</v>
      </c>
      <c r="F2507" t="s">
        <v>120</v>
      </c>
      <c r="G2507" s="23">
        <v>0.14000000000000001</v>
      </c>
      <c r="H2507" t="s">
        <v>22</v>
      </c>
      <c r="I2507" t="s">
        <v>57</v>
      </c>
      <c r="J2507" t="s">
        <v>74</v>
      </c>
      <c r="K2507" t="s">
        <v>50</v>
      </c>
      <c r="L2507" t="s">
        <v>121</v>
      </c>
      <c r="M2507" t="s">
        <v>125</v>
      </c>
      <c r="N2507" t="s">
        <v>51</v>
      </c>
      <c r="O2507">
        <v>4</v>
      </c>
      <c r="P2507">
        <v>68867</v>
      </c>
      <c r="Q2507">
        <f t="shared" si="42"/>
        <v>6.8866999999999998E-2</v>
      </c>
      <c r="R2507">
        <v>43252</v>
      </c>
      <c r="S2507" t="s">
        <v>122</v>
      </c>
    </row>
    <row r="2508" spans="1:19">
      <c r="A2508">
        <v>60000605</v>
      </c>
      <c r="B2508">
        <v>45</v>
      </c>
      <c r="C2508" t="s">
        <v>33</v>
      </c>
      <c r="D2508" t="s">
        <v>19</v>
      </c>
      <c r="E2508" t="s">
        <v>20</v>
      </c>
      <c r="F2508" t="s">
        <v>21</v>
      </c>
      <c r="G2508" s="23">
        <v>0.14000000000000001</v>
      </c>
      <c r="H2508" t="s">
        <v>22</v>
      </c>
      <c r="I2508" t="s">
        <v>37</v>
      </c>
      <c r="J2508" t="s">
        <v>54</v>
      </c>
      <c r="K2508" t="s">
        <v>83</v>
      </c>
      <c r="L2508" t="s">
        <v>121</v>
      </c>
      <c r="M2508" t="s">
        <v>125</v>
      </c>
      <c r="N2508" t="s">
        <v>28</v>
      </c>
      <c r="O2508">
        <v>0</v>
      </c>
      <c r="P2508">
        <v>68635</v>
      </c>
      <c r="Q2508">
        <f t="shared" si="42"/>
        <v>6.8635000000000002E-2</v>
      </c>
      <c r="R2508">
        <v>43252</v>
      </c>
      <c r="S2508" t="s">
        <v>122</v>
      </c>
    </row>
    <row r="2509" spans="1:19">
      <c r="A2509">
        <v>60000606</v>
      </c>
      <c r="B2509">
        <v>49</v>
      </c>
      <c r="C2509" t="s">
        <v>33</v>
      </c>
      <c r="D2509" t="s">
        <v>40</v>
      </c>
      <c r="E2509" t="s">
        <v>52</v>
      </c>
      <c r="F2509" t="s">
        <v>21</v>
      </c>
      <c r="G2509" s="23">
        <v>0.34</v>
      </c>
      <c r="H2509" t="s">
        <v>42</v>
      </c>
      <c r="I2509" t="s">
        <v>73</v>
      </c>
      <c r="J2509" t="s">
        <v>66</v>
      </c>
      <c r="K2509" t="s">
        <v>116</v>
      </c>
      <c r="L2509" t="s">
        <v>121</v>
      </c>
      <c r="M2509" t="s">
        <v>125</v>
      </c>
      <c r="N2509" t="s">
        <v>51</v>
      </c>
      <c r="O2509">
        <v>3</v>
      </c>
      <c r="P2509">
        <v>81611</v>
      </c>
      <c r="Q2509">
        <f t="shared" si="42"/>
        <v>8.1611000000000003E-2</v>
      </c>
      <c r="R2509">
        <v>43252</v>
      </c>
      <c r="S2509" t="s">
        <v>122</v>
      </c>
    </row>
    <row r="2510" spans="1:19">
      <c r="A2510">
        <v>60000607</v>
      </c>
      <c r="B2510">
        <v>40</v>
      </c>
      <c r="C2510" t="s">
        <v>18</v>
      </c>
      <c r="D2510" t="s">
        <v>19</v>
      </c>
      <c r="E2510" t="s">
        <v>72</v>
      </c>
      <c r="F2510" t="s">
        <v>21</v>
      </c>
      <c r="G2510" s="23">
        <v>0.33</v>
      </c>
      <c r="H2510" t="s">
        <v>42</v>
      </c>
      <c r="I2510" t="s">
        <v>68</v>
      </c>
      <c r="J2510" t="s">
        <v>46</v>
      </c>
      <c r="K2510" t="s">
        <v>94</v>
      </c>
      <c r="L2510" t="s">
        <v>121</v>
      </c>
      <c r="M2510" t="s">
        <v>125</v>
      </c>
      <c r="N2510" t="s">
        <v>51</v>
      </c>
      <c r="O2510">
        <v>5</v>
      </c>
      <c r="P2510">
        <v>48508</v>
      </c>
      <c r="Q2510">
        <f t="shared" si="42"/>
        <v>4.8508000000000003E-2</v>
      </c>
      <c r="R2510">
        <v>43252</v>
      </c>
      <c r="S2510" t="s">
        <v>122</v>
      </c>
    </row>
    <row r="2511" spans="1:19">
      <c r="A2511">
        <v>60000608</v>
      </c>
      <c r="B2511">
        <v>29</v>
      </c>
      <c r="C2511" t="s">
        <v>33</v>
      </c>
      <c r="D2511" t="s">
        <v>40</v>
      </c>
      <c r="E2511" t="s">
        <v>64</v>
      </c>
      <c r="F2511" t="s">
        <v>21</v>
      </c>
      <c r="G2511" s="23">
        <v>0.37</v>
      </c>
      <c r="H2511" t="s">
        <v>42</v>
      </c>
      <c r="I2511" t="s">
        <v>62</v>
      </c>
      <c r="J2511" t="s">
        <v>38</v>
      </c>
      <c r="K2511" t="s">
        <v>92</v>
      </c>
      <c r="L2511" t="s">
        <v>121</v>
      </c>
      <c r="M2511" t="s">
        <v>125</v>
      </c>
      <c r="N2511" t="s">
        <v>28</v>
      </c>
      <c r="O2511">
        <v>0</v>
      </c>
      <c r="P2511">
        <v>70933</v>
      </c>
      <c r="Q2511">
        <f t="shared" si="42"/>
        <v>7.0932999999999996E-2</v>
      </c>
      <c r="R2511">
        <v>43252</v>
      </c>
      <c r="S2511" t="s">
        <v>122</v>
      </c>
    </row>
    <row r="2512" spans="1:19">
      <c r="A2512">
        <v>60000609</v>
      </c>
      <c r="B2512">
        <v>63</v>
      </c>
      <c r="C2512" t="s">
        <v>33</v>
      </c>
      <c r="D2512" t="s">
        <v>40</v>
      </c>
      <c r="E2512" t="s">
        <v>72</v>
      </c>
      <c r="F2512" t="s">
        <v>120</v>
      </c>
      <c r="G2512" s="23">
        <v>0.25</v>
      </c>
      <c r="H2512" t="s">
        <v>53</v>
      </c>
      <c r="I2512" t="s">
        <v>68</v>
      </c>
      <c r="J2512" t="s">
        <v>74</v>
      </c>
      <c r="K2512" t="s">
        <v>96</v>
      </c>
      <c r="L2512" t="s">
        <v>119</v>
      </c>
      <c r="M2512" t="s">
        <v>125</v>
      </c>
      <c r="N2512" t="s">
        <v>51</v>
      </c>
      <c r="O2512">
        <v>4</v>
      </c>
      <c r="P2512">
        <v>48153</v>
      </c>
      <c r="Q2512">
        <f t="shared" si="42"/>
        <v>4.8153000000000001E-2</v>
      </c>
      <c r="R2512">
        <v>43252</v>
      </c>
      <c r="S2512" t="s">
        <v>122</v>
      </c>
    </row>
    <row r="2513" spans="1:19">
      <c r="A2513">
        <v>60000610</v>
      </c>
      <c r="B2513">
        <v>42</v>
      </c>
      <c r="C2513" t="s">
        <v>18</v>
      </c>
      <c r="D2513" t="s">
        <v>19</v>
      </c>
      <c r="E2513" t="s">
        <v>75</v>
      </c>
      <c r="F2513" t="s">
        <v>21</v>
      </c>
      <c r="G2513" s="23">
        <v>0.25</v>
      </c>
      <c r="H2513" t="s">
        <v>53</v>
      </c>
      <c r="I2513" t="s">
        <v>70</v>
      </c>
      <c r="J2513" t="s">
        <v>24</v>
      </c>
      <c r="K2513" t="s">
        <v>89</v>
      </c>
      <c r="L2513" t="s">
        <v>121</v>
      </c>
      <c r="M2513" t="s">
        <v>125</v>
      </c>
      <c r="N2513" t="s">
        <v>28</v>
      </c>
      <c r="O2513">
        <v>0</v>
      </c>
      <c r="P2513">
        <v>45766</v>
      </c>
      <c r="Q2513">
        <f t="shared" si="42"/>
        <v>4.5766000000000001E-2</v>
      </c>
      <c r="R2513">
        <v>43252</v>
      </c>
      <c r="S2513" t="s">
        <v>122</v>
      </c>
    </row>
    <row r="2514" spans="1:19">
      <c r="A2514">
        <v>60000611</v>
      </c>
      <c r="B2514">
        <v>27</v>
      </c>
      <c r="C2514" t="s">
        <v>18</v>
      </c>
      <c r="D2514" t="s">
        <v>19</v>
      </c>
      <c r="E2514" t="s">
        <v>48</v>
      </c>
      <c r="F2514" t="s">
        <v>120</v>
      </c>
      <c r="G2514" s="23">
        <v>0.12</v>
      </c>
      <c r="H2514" t="s">
        <v>22</v>
      </c>
      <c r="I2514" t="s">
        <v>68</v>
      </c>
      <c r="J2514" t="s">
        <v>78</v>
      </c>
      <c r="K2514" t="s">
        <v>100</v>
      </c>
      <c r="L2514" t="s">
        <v>26</v>
      </c>
      <c r="M2514" t="s">
        <v>125</v>
      </c>
      <c r="N2514" t="s">
        <v>51</v>
      </c>
      <c r="O2514">
        <v>2</v>
      </c>
      <c r="P2514">
        <v>28478</v>
      </c>
      <c r="Q2514">
        <f t="shared" si="42"/>
        <v>2.8478E-2</v>
      </c>
      <c r="R2514">
        <v>43252</v>
      </c>
      <c r="S2514" t="s">
        <v>122</v>
      </c>
    </row>
    <row r="2515" spans="1:19">
      <c r="A2515">
        <v>60000612</v>
      </c>
      <c r="B2515">
        <v>64</v>
      </c>
      <c r="C2515" t="s">
        <v>18</v>
      </c>
      <c r="D2515" t="s">
        <v>19</v>
      </c>
      <c r="E2515" t="s">
        <v>52</v>
      </c>
      <c r="F2515" t="s">
        <v>21</v>
      </c>
      <c r="G2515" s="23">
        <v>0.23</v>
      </c>
      <c r="H2515" t="s">
        <v>29</v>
      </c>
      <c r="I2515" t="s">
        <v>37</v>
      </c>
      <c r="J2515" t="s">
        <v>61</v>
      </c>
      <c r="K2515" t="s">
        <v>39</v>
      </c>
      <c r="L2515" t="s">
        <v>121</v>
      </c>
      <c r="M2515" t="s">
        <v>125</v>
      </c>
      <c r="N2515" t="s">
        <v>51</v>
      </c>
      <c r="O2515">
        <v>5</v>
      </c>
      <c r="P2515">
        <v>69741</v>
      </c>
      <c r="Q2515">
        <f t="shared" si="42"/>
        <v>6.9740999999999997E-2</v>
      </c>
      <c r="R2515">
        <v>43252</v>
      </c>
      <c r="S2515" t="s">
        <v>122</v>
      </c>
    </row>
    <row r="2516" spans="1:19">
      <c r="A2516">
        <v>60000613</v>
      </c>
      <c r="B2516">
        <v>43</v>
      </c>
      <c r="C2516" t="s">
        <v>33</v>
      </c>
      <c r="D2516" t="s">
        <v>19</v>
      </c>
      <c r="E2516" t="s">
        <v>20</v>
      </c>
      <c r="F2516" t="s">
        <v>21</v>
      </c>
      <c r="G2516" s="23">
        <v>0.33</v>
      </c>
      <c r="H2516" t="s">
        <v>42</v>
      </c>
      <c r="I2516" t="s">
        <v>76</v>
      </c>
      <c r="J2516" t="s">
        <v>66</v>
      </c>
      <c r="K2516" t="s">
        <v>60</v>
      </c>
      <c r="L2516" t="s">
        <v>119</v>
      </c>
      <c r="M2516" t="s">
        <v>125</v>
      </c>
      <c r="N2516" t="s">
        <v>28</v>
      </c>
      <c r="O2516">
        <v>0</v>
      </c>
      <c r="P2516">
        <v>58015</v>
      </c>
      <c r="Q2516">
        <f t="shared" si="42"/>
        <v>5.8014999999999997E-2</v>
      </c>
      <c r="R2516">
        <v>43252</v>
      </c>
      <c r="S2516" t="s">
        <v>122</v>
      </c>
    </row>
    <row r="2517" spans="1:19">
      <c r="A2517">
        <v>60000614</v>
      </c>
      <c r="B2517">
        <v>31</v>
      </c>
      <c r="C2517" t="s">
        <v>18</v>
      </c>
      <c r="D2517" t="s">
        <v>40</v>
      </c>
      <c r="E2517" t="s">
        <v>48</v>
      </c>
      <c r="F2517" t="s">
        <v>120</v>
      </c>
      <c r="G2517" s="23">
        <v>0.1</v>
      </c>
      <c r="H2517" t="s">
        <v>36</v>
      </c>
      <c r="I2517" t="s">
        <v>76</v>
      </c>
      <c r="J2517" t="s">
        <v>31</v>
      </c>
      <c r="K2517" t="s">
        <v>81</v>
      </c>
      <c r="L2517" t="s">
        <v>121</v>
      </c>
      <c r="M2517" t="s">
        <v>125</v>
      </c>
      <c r="N2517" t="s">
        <v>51</v>
      </c>
      <c r="O2517">
        <v>6</v>
      </c>
      <c r="P2517">
        <v>68263</v>
      </c>
      <c r="Q2517">
        <f t="shared" si="42"/>
        <v>6.8263000000000004E-2</v>
      </c>
      <c r="R2517">
        <v>43252</v>
      </c>
      <c r="S2517" t="s">
        <v>122</v>
      </c>
    </row>
    <row r="2518" spans="1:19">
      <c r="A2518">
        <v>60000615</v>
      </c>
      <c r="B2518">
        <v>34</v>
      </c>
      <c r="C2518" t="s">
        <v>33</v>
      </c>
      <c r="D2518" t="s">
        <v>40</v>
      </c>
      <c r="E2518" t="s">
        <v>56</v>
      </c>
      <c r="F2518" t="s">
        <v>120</v>
      </c>
      <c r="G2518" s="23">
        <v>0.23</v>
      </c>
      <c r="H2518" t="s">
        <v>29</v>
      </c>
      <c r="I2518" t="s">
        <v>62</v>
      </c>
      <c r="J2518" t="s">
        <v>38</v>
      </c>
      <c r="K2518" t="s">
        <v>82</v>
      </c>
      <c r="L2518" t="s">
        <v>119</v>
      </c>
      <c r="M2518" t="s">
        <v>125</v>
      </c>
      <c r="N2518" t="s">
        <v>28</v>
      </c>
      <c r="O2518">
        <v>0</v>
      </c>
      <c r="P2518">
        <v>34109</v>
      </c>
      <c r="Q2518">
        <f t="shared" si="42"/>
        <v>3.4109E-2</v>
      </c>
      <c r="R2518">
        <v>43252</v>
      </c>
      <c r="S2518" t="s">
        <v>122</v>
      </c>
    </row>
    <row r="2519" spans="1:19">
      <c r="A2519">
        <v>60000616</v>
      </c>
      <c r="B2519">
        <v>61</v>
      </c>
      <c r="C2519" t="s">
        <v>33</v>
      </c>
      <c r="D2519" t="s">
        <v>19</v>
      </c>
      <c r="E2519" t="s">
        <v>75</v>
      </c>
      <c r="F2519" t="s">
        <v>35</v>
      </c>
      <c r="G2519" s="23">
        <v>0.17</v>
      </c>
      <c r="H2519" t="s">
        <v>22</v>
      </c>
      <c r="I2519" t="s">
        <v>30</v>
      </c>
      <c r="J2519" t="s">
        <v>78</v>
      </c>
      <c r="K2519" t="s">
        <v>116</v>
      </c>
      <c r="L2519" t="s">
        <v>26</v>
      </c>
      <c r="M2519" t="s">
        <v>125</v>
      </c>
      <c r="N2519" t="s">
        <v>51</v>
      </c>
      <c r="O2519">
        <v>3</v>
      </c>
      <c r="P2519">
        <v>64964</v>
      </c>
      <c r="Q2519">
        <f t="shared" si="42"/>
        <v>6.4963999999999994E-2</v>
      </c>
      <c r="R2519">
        <v>43252</v>
      </c>
      <c r="S2519" t="s">
        <v>122</v>
      </c>
    </row>
    <row r="2520" spans="1:19">
      <c r="A2520">
        <v>60000617</v>
      </c>
      <c r="B2520">
        <v>47</v>
      </c>
      <c r="C2520" t="s">
        <v>18</v>
      </c>
      <c r="D2520" t="s">
        <v>40</v>
      </c>
      <c r="E2520" t="s">
        <v>75</v>
      </c>
      <c r="F2520" t="s">
        <v>21</v>
      </c>
      <c r="G2520" s="23">
        <v>0.22</v>
      </c>
      <c r="H2520" t="s">
        <v>29</v>
      </c>
      <c r="I2520" t="s">
        <v>80</v>
      </c>
      <c r="J2520" t="s">
        <v>31</v>
      </c>
      <c r="K2520" t="s">
        <v>108</v>
      </c>
      <c r="L2520" t="s">
        <v>121</v>
      </c>
      <c r="M2520" t="s">
        <v>125</v>
      </c>
      <c r="N2520" t="s">
        <v>51</v>
      </c>
      <c r="O2520">
        <v>5</v>
      </c>
      <c r="P2520">
        <v>30063</v>
      </c>
      <c r="Q2520">
        <f t="shared" si="42"/>
        <v>3.0062999999999999E-2</v>
      </c>
      <c r="R2520">
        <v>43252</v>
      </c>
      <c r="S2520" t="s">
        <v>122</v>
      </c>
    </row>
    <row r="2521" spans="1:19">
      <c r="A2521">
        <v>60000618</v>
      </c>
      <c r="B2521">
        <v>34</v>
      </c>
      <c r="C2521" t="s">
        <v>33</v>
      </c>
      <c r="D2521" t="s">
        <v>19</v>
      </c>
      <c r="E2521" t="s">
        <v>75</v>
      </c>
      <c r="F2521" t="s">
        <v>120</v>
      </c>
      <c r="G2521" s="23">
        <v>0.21</v>
      </c>
      <c r="H2521" t="s">
        <v>29</v>
      </c>
      <c r="I2521" t="s">
        <v>45</v>
      </c>
      <c r="J2521" t="s">
        <v>78</v>
      </c>
      <c r="K2521" t="s">
        <v>90</v>
      </c>
      <c r="L2521" t="s">
        <v>119</v>
      </c>
      <c r="M2521" t="s">
        <v>125</v>
      </c>
      <c r="N2521" t="s">
        <v>51</v>
      </c>
      <c r="O2521">
        <v>5</v>
      </c>
      <c r="P2521">
        <v>59660</v>
      </c>
      <c r="Q2521">
        <f t="shared" si="42"/>
        <v>5.9659999999999998E-2</v>
      </c>
      <c r="R2521">
        <v>43252</v>
      </c>
      <c r="S2521" t="s">
        <v>122</v>
      </c>
    </row>
    <row r="2522" spans="1:19">
      <c r="A2522">
        <v>60000619</v>
      </c>
      <c r="B2522">
        <v>49</v>
      </c>
      <c r="C2522" t="s">
        <v>33</v>
      </c>
      <c r="D2522" t="s">
        <v>40</v>
      </c>
      <c r="E2522" t="s">
        <v>48</v>
      </c>
      <c r="F2522" t="s">
        <v>120</v>
      </c>
      <c r="G2522" s="23">
        <v>0.2</v>
      </c>
      <c r="H2522" t="s">
        <v>29</v>
      </c>
      <c r="I2522" t="s">
        <v>70</v>
      </c>
      <c r="J2522" t="s">
        <v>61</v>
      </c>
      <c r="K2522" t="s">
        <v>104</v>
      </c>
      <c r="L2522" t="s">
        <v>26</v>
      </c>
      <c r="M2522" t="s">
        <v>125</v>
      </c>
      <c r="N2522" t="s">
        <v>28</v>
      </c>
      <c r="O2522">
        <v>0</v>
      </c>
      <c r="P2522">
        <v>31515</v>
      </c>
      <c r="Q2522">
        <f t="shared" si="42"/>
        <v>3.1515000000000001E-2</v>
      </c>
      <c r="R2522">
        <v>43252</v>
      </c>
      <c r="S2522" t="s">
        <v>122</v>
      </c>
    </row>
    <row r="2523" spans="1:19">
      <c r="A2523">
        <v>60000620</v>
      </c>
      <c r="B2523">
        <v>52</v>
      </c>
      <c r="C2523" t="s">
        <v>18</v>
      </c>
      <c r="D2523" t="s">
        <v>19</v>
      </c>
      <c r="E2523" t="s">
        <v>56</v>
      </c>
      <c r="F2523" t="s">
        <v>35</v>
      </c>
      <c r="G2523" s="23">
        <v>0.25</v>
      </c>
      <c r="H2523" t="s">
        <v>53</v>
      </c>
      <c r="I2523" t="s">
        <v>68</v>
      </c>
      <c r="J2523" t="s">
        <v>24</v>
      </c>
      <c r="K2523" t="s">
        <v>99</v>
      </c>
      <c r="L2523" t="s">
        <v>119</v>
      </c>
      <c r="M2523" t="s">
        <v>125</v>
      </c>
      <c r="N2523" t="s">
        <v>28</v>
      </c>
      <c r="O2523">
        <v>0</v>
      </c>
      <c r="P2523">
        <v>78579</v>
      </c>
      <c r="Q2523">
        <f t="shared" si="42"/>
        <v>7.8578999999999996E-2</v>
      </c>
      <c r="R2523">
        <v>43252</v>
      </c>
      <c r="S2523" t="s">
        <v>122</v>
      </c>
    </row>
    <row r="2524" spans="1:19">
      <c r="A2524">
        <v>60000621</v>
      </c>
      <c r="B2524">
        <v>36</v>
      </c>
      <c r="C2524" t="s">
        <v>33</v>
      </c>
      <c r="D2524" t="s">
        <v>19</v>
      </c>
      <c r="E2524" t="s">
        <v>72</v>
      </c>
      <c r="F2524" t="s">
        <v>120</v>
      </c>
      <c r="G2524" s="23">
        <v>0.1</v>
      </c>
      <c r="H2524" t="s">
        <v>36</v>
      </c>
      <c r="I2524" t="s">
        <v>49</v>
      </c>
      <c r="J2524" t="s">
        <v>58</v>
      </c>
      <c r="K2524" t="s">
        <v>32</v>
      </c>
      <c r="L2524" t="s">
        <v>119</v>
      </c>
      <c r="M2524" t="s">
        <v>125</v>
      </c>
      <c r="N2524" t="s">
        <v>28</v>
      </c>
      <c r="O2524">
        <v>0</v>
      </c>
      <c r="P2524">
        <v>29705</v>
      </c>
      <c r="Q2524">
        <f t="shared" si="42"/>
        <v>2.9704999999999999E-2</v>
      </c>
      <c r="R2524">
        <v>43252</v>
      </c>
      <c r="S2524" t="s">
        <v>122</v>
      </c>
    </row>
    <row r="2525" spans="1:19">
      <c r="A2525">
        <v>60000622</v>
      </c>
      <c r="B2525">
        <v>22</v>
      </c>
      <c r="C2525" t="s">
        <v>33</v>
      </c>
      <c r="D2525" t="s">
        <v>40</v>
      </c>
      <c r="E2525" t="s">
        <v>85</v>
      </c>
      <c r="F2525" t="s">
        <v>120</v>
      </c>
      <c r="G2525" s="23">
        <v>0.25</v>
      </c>
      <c r="H2525" t="s">
        <v>53</v>
      </c>
      <c r="I2525" t="s">
        <v>80</v>
      </c>
      <c r="J2525" t="s">
        <v>74</v>
      </c>
      <c r="K2525" t="s">
        <v>32</v>
      </c>
      <c r="L2525" t="s">
        <v>26</v>
      </c>
      <c r="M2525" t="s">
        <v>125</v>
      </c>
      <c r="N2525" t="s">
        <v>28</v>
      </c>
      <c r="O2525">
        <v>0</v>
      </c>
      <c r="P2525">
        <v>51214</v>
      </c>
      <c r="Q2525">
        <f t="shared" si="42"/>
        <v>5.1214000000000003E-2</v>
      </c>
      <c r="R2525">
        <v>43252</v>
      </c>
      <c r="S2525" t="s">
        <v>122</v>
      </c>
    </row>
    <row r="2526" spans="1:19">
      <c r="A2526">
        <v>60000623</v>
      </c>
      <c r="B2526">
        <v>28</v>
      </c>
      <c r="C2526" t="s">
        <v>18</v>
      </c>
      <c r="D2526" t="s">
        <v>40</v>
      </c>
      <c r="E2526" t="s">
        <v>20</v>
      </c>
      <c r="F2526" t="s">
        <v>120</v>
      </c>
      <c r="G2526" s="23">
        <v>0.25</v>
      </c>
      <c r="H2526" t="s">
        <v>53</v>
      </c>
      <c r="I2526" t="s">
        <v>45</v>
      </c>
      <c r="J2526" t="s">
        <v>38</v>
      </c>
      <c r="K2526" t="s">
        <v>89</v>
      </c>
      <c r="L2526" t="s">
        <v>121</v>
      </c>
      <c r="M2526" t="s">
        <v>125</v>
      </c>
      <c r="N2526" t="s">
        <v>28</v>
      </c>
      <c r="O2526">
        <v>0</v>
      </c>
      <c r="P2526">
        <v>57784</v>
      </c>
      <c r="Q2526">
        <f t="shared" si="42"/>
        <v>5.7784000000000002E-2</v>
      </c>
      <c r="R2526">
        <v>43252</v>
      </c>
      <c r="S2526" t="s">
        <v>122</v>
      </c>
    </row>
    <row r="2527" spans="1:19">
      <c r="A2527">
        <v>60000624</v>
      </c>
      <c r="B2527">
        <v>56</v>
      </c>
      <c r="C2527" t="s">
        <v>33</v>
      </c>
      <c r="D2527" t="s">
        <v>40</v>
      </c>
      <c r="E2527" t="s">
        <v>48</v>
      </c>
      <c r="F2527" t="s">
        <v>35</v>
      </c>
      <c r="G2527" s="23">
        <v>0.37</v>
      </c>
      <c r="H2527" t="s">
        <v>42</v>
      </c>
      <c r="I2527" t="s">
        <v>73</v>
      </c>
      <c r="J2527" t="s">
        <v>31</v>
      </c>
      <c r="K2527" t="s">
        <v>87</v>
      </c>
      <c r="L2527" t="s">
        <v>119</v>
      </c>
      <c r="M2527" t="s">
        <v>125</v>
      </c>
      <c r="N2527" t="s">
        <v>51</v>
      </c>
      <c r="O2527">
        <v>0</v>
      </c>
      <c r="P2527">
        <v>73339</v>
      </c>
      <c r="Q2527">
        <f t="shared" si="42"/>
        <v>7.3339000000000001E-2</v>
      </c>
      <c r="R2527">
        <v>43252</v>
      </c>
      <c r="S2527" t="s">
        <v>122</v>
      </c>
    </row>
    <row r="2528" spans="1:19">
      <c r="A2528">
        <v>60000625</v>
      </c>
      <c r="B2528">
        <v>32</v>
      </c>
      <c r="C2528" t="s">
        <v>18</v>
      </c>
      <c r="D2528" t="s">
        <v>19</v>
      </c>
      <c r="E2528" t="s">
        <v>52</v>
      </c>
      <c r="F2528" t="s">
        <v>21</v>
      </c>
      <c r="G2528" s="23">
        <v>0.34</v>
      </c>
      <c r="H2528" t="s">
        <v>42</v>
      </c>
      <c r="I2528" t="s">
        <v>68</v>
      </c>
      <c r="J2528" t="s">
        <v>54</v>
      </c>
      <c r="K2528" t="s">
        <v>60</v>
      </c>
      <c r="L2528" t="s">
        <v>119</v>
      </c>
      <c r="M2528" t="s">
        <v>125</v>
      </c>
      <c r="N2528" t="s">
        <v>51</v>
      </c>
      <c r="O2528">
        <v>4</v>
      </c>
      <c r="P2528">
        <v>41052</v>
      </c>
      <c r="Q2528">
        <f t="shared" si="42"/>
        <v>4.1051999999999998E-2</v>
      </c>
      <c r="R2528">
        <v>43252</v>
      </c>
      <c r="S2528" t="s">
        <v>122</v>
      </c>
    </row>
    <row r="2529" spans="1:19">
      <c r="A2529">
        <v>60000626</v>
      </c>
      <c r="B2529">
        <v>62</v>
      </c>
      <c r="C2529" t="s">
        <v>18</v>
      </c>
      <c r="D2529" t="s">
        <v>19</v>
      </c>
      <c r="E2529" t="s">
        <v>75</v>
      </c>
      <c r="F2529" t="s">
        <v>35</v>
      </c>
      <c r="G2529" s="23">
        <v>0.24</v>
      </c>
      <c r="H2529" t="s">
        <v>29</v>
      </c>
      <c r="I2529" t="s">
        <v>68</v>
      </c>
      <c r="J2529" t="s">
        <v>54</v>
      </c>
      <c r="K2529" t="s">
        <v>116</v>
      </c>
      <c r="L2529" t="s">
        <v>26</v>
      </c>
      <c r="M2529" t="s">
        <v>125</v>
      </c>
      <c r="N2529" t="s">
        <v>51</v>
      </c>
      <c r="O2529">
        <v>4</v>
      </c>
      <c r="P2529">
        <v>75161</v>
      </c>
      <c r="Q2529">
        <f t="shared" si="42"/>
        <v>7.5161000000000006E-2</v>
      </c>
      <c r="R2529">
        <v>43252</v>
      </c>
      <c r="S2529" t="s">
        <v>122</v>
      </c>
    </row>
    <row r="2530" spans="1:19">
      <c r="A2530">
        <v>60000627</v>
      </c>
      <c r="B2530">
        <v>52</v>
      </c>
      <c r="C2530" t="s">
        <v>33</v>
      </c>
      <c r="D2530" t="s">
        <v>19</v>
      </c>
      <c r="E2530" t="s">
        <v>72</v>
      </c>
      <c r="F2530" t="s">
        <v>21</v>
      </c>
      <c r="G2530" s="23">
        <v>0.19</v>
      </c>
      <c r="H2530" t="s">
        <v>29</v>
      </c>
      <c r="I2530" t="s">
        <v>68</v>
      </c>
      <c r="J2530" t="s">
        <v>54</v>
      </c>
      <c r="K2530" t="s">
        <v>47</v>
      </c>
      <c r="L2530" t="s">
        <v>26</v>
      </c>
      <c r="M2530" t="s">
        <v>125</v>
      </c>
      <c r="N2530" t="s">
        <v>51</v>
      </c>
      <c r="O2530">
        <v>7</v>
      </c>
      <c r="P2530">
        <v>69835</v>
      </c>
      <c r="Q2530">
        <f t="shared" si="42"/>
        <v>6.9834999999999994E-2</v>
      </c>
      <c r="R2530">
        <v>43252</v>
      </c>
      <c r="S2530" t="s">
        <v>122</v>
      </c>
    </row>
    <row r="2531" spans="1:19">
      <c r="A2531">
        <v>60000628</v>
      </c>
      <c r="B2531">
        <v>30</v>
      </c>
      <c r="C2531" t="s">
        <v>33</v>
      </c>
      <c r="D2531" t="s">
        <v>19</v>
      </c>
      <c r="E2531" t="s">
        <v>41</v>
      </c>
      <c r="F2531" t="s">
        <v>21</v>
      </c>
      <c r="G2531" s="23">
        <v>0.11</v>
      </c>
      <c r="H2531" t="s">
        <v>36</v>
      </c>
      <c r="I2531" t="s">
        <v>86</v>
      </c>
      <c r="J2531" t="s">
        <v>74</v>
      </c>
      <c r="K2531" t="s">
        <v>71</v>
      </c>
      <c r="L2531" t="s">
        <v>119</v>
      </c>
      <c r="M2531" t="s">
        <v>125</v>
      </c>
      <c r="N2531" t="s">
        <v>28</v>
      </c>
      <c r="O2531">
        <v>0</v>
      </c>
      <c r="P2531">
        <v>47676</v>
      </c>
      <c r="Q2531">
        <f t="shared" si="42"/>
        <v>4.7676000000000003E-2</v>
      </c>
      <c r="R2531">
        <v>43252</v>
      </c>
      <c r="S2531" t="s">
        <v>122</v>
      </c>
    </row>
    <row r="2532" spans="1:19">
      <c r="A2532">
        <v>60000629</v>
      </c>
      <c r="B2532">
        <v>58</v>
      </c>
      <c r="C2532" t="s">
        <v>18</v>
      </c>
      <c r="D2532" t="s">
        <v>19</v>
      </c>
      <c r="E2532" t="s">
        <v>72</v>
      </c>
      <c r="F2532" t="s">
        <v>35</v>
      </c>
      <c r="G2532" s="23">
        <v>0.24</v>
      </c>
      <c r="H2532" t="s">
        <v>29</v>
      </c>
      <c r="I2532" t="s">
        <v>83</v>
      </c>
      <c r="J2532" t="s">
        <v>54</v>
      </c>
      <c r="K2532" t="s">
        <v>102</v>
      </c>
      <c r="L2532" t="s">
        <v>26</v>
      </c>
      <c r="M2532" t="s">
        <v>125</v>
      </c>
      <c r="N2532" t="s">
        <v>51</v>
      </c>
      <c r="O2532">
        <v>0</v>
      </c>
      <c r="P2532">
        <v>74278</v>
      </c>
      <c r="Q2532">
        <f t="shared" si="42"/>
        <v>7.4277999999999997E-2</v>
      </c>
      <c r="R2532">
        <v>43252</v>
      </c>
      <c r="S2532" t="s">
        <v>122</v>
      </c>
    </row>
    <row r="2533" spans="1:19">
      <c r="A2533">
        <v>60000630</v>
      </c>
      <c r="B2533">
        <v>56</v>
      </c>
      <c r="C2533" t="s">
        <v>18</v>
      </c>
      <c r="D2533" t="s">
        <v>40</v>
      </c>
      <c r="E2533" t="s">
        <v>75</v>
      </c>
      <c r="F2533" t="s">
        <v>120</v>
      </c>
      <c r="G2533" s="23">
        <v>0.37</v>
      </c>
      <c r="H2533" t="s">
        <v>42</v>
      </c>
      <c r="I2533" t="s">
        <v>49</v>
      </c>
      <c r="J2533" t="s">
        <v>69</v>
      </c>
      <c r="K2533" t="s">
        <v>63</v>
      </c>
      <c r="L2533" t="s">
        <v>119</v>
      </c>
      <c r="M2533" t="s">
        <v>125</v>
      </c>
      <c r="N2533" t="s">
        <v>51</v>
      </c>
      <c r="O2533">
        <v>3</v>
      </c>
      <c r="P2533">
        <v>43875</v>
      </c>
      <c r="Q2533">
        <f t="shared" si="42"/>
        <v>4.3874999999999997E-2</v>
      </c>
      <c r="R2533">
        <v>43252</v>
      </c>
      <c r="S2533" t="s">
        <v>122</v>
      </c>
    </row>
    <row r="2534" spans="1:19">
      <c r="A2534">
        <v>60000631</v>
      </c>
      <c r="B2534">
        <v>27</v>
      </c>
      <c r="C2534" t="s">
        <v>18</v>
      </c>
      <c r="D2534" t="s">
        <v>40</v>
      </c>
      <c r="E2534" t="s">
        <v>64</v>
      </c>
      <c r="F2534" t="s">
        <v>21</v>
      </c>
      <c r="G2534" s="23">
        <v>0.37</v>
      </c>
      <c r="H2534" t="s">
        <v>42</v>
      </c>
      <c r="I2534" t="s">
        <v>49</v>
      </c>
      <c r="J2534" t="s">
        <v>78</v>
      </c>
      <c r="K2534" t="s">
        <v>83</v>
      </c>
      <c r="L2534" t="s">
        <v>119</v>
      </c>
      <c r="M2534" t="s">
        <v>125</v>
      </c>
      <c r="N2534" t="s">
        <v>51</v>
      </c>
      <c r="O2534">
        <v>6</v>
      </c>
      <c r="P2534">
        <v>43891</v>
      </c>
      <c r="Q2534">
        <f t="shared" si="42"/>
        <v>4.3890999999999999E-2</v>
      </c>
      <c r="R2534">
        <v>43252</v>
      </c>
      <c r="S2534" t="s">
        <v>122</v>
      </c>
    </row>
    <row r="2535" spans="1:19">
      <c r="A2535">
        <v>60000632</v>
      </c>
      <c r="B2535">
        <v>58</v>
      </c>
      <c r="C2535" t="s">
        <v>33</v>
      </c>
      <c r="D2535" t="s">
        <v>19</v>
      </c>
      <c r="E2535" t="s">
        <v>75</v>
      </c>
      <c r="F2535" t="s">
        <v>35</v>
      </c>
      <c r="G2535" s="23">
        <v>0.23</v>
      </c>
      <c r="H2535" t="s">
        <v>29</v>
      </c>
      <c r="I2535" t="s">
        <v>49</v>
      </c>
      <c r="J2535" t="s">
        <v>61</v>
      </c>
      <c r="K2535" t="s">
        <v>84</v>
      </c>
      <c r="L2535" t="s">
        <v>119</v>
      </c>
      <c r="M2535" t="s">
        <v>125</v>
      </c>
      <c r="N2535" t="s">
        <v>28</v>
      </c>
      <c r="O2535">
        <v>0</v>
      </c>
      <c r="P2535">
        <v>55861</v>
      </c>
      <c r="Q2535">
        <f t="shared" si="42"/>
        <v>5.5861000000000001E-2</v>
      </c>
      <c r="R2535">
        <v>43252</v>
      </c>
      <c r="S2535" t="s">
        <v>122</v>
      </c>
    </row>
    <row r="2536" spans="1:19">
      <c r="A2536">
        <v>60000633</v>
      </c>
      <c r="B2536">
        <v>25</v>
      </c>
      <c r="C2536" t="s">
        <v>33</v>
      </c>
      <c r="D2536" t="s">
        <v>19</v>
      </c>
      <c r="E2536" t="s">
        <v>64</v>
      </c>
      <c r="F2536" t="s">
        <v>35</v>
      </c>
      <c r="G2536" s="23">
        <v>0.36</v>
      </c>
      <c r="H2536" t="s">
        <v>42</v>
      </c>
      <c r="I2536" t="s">
        <v>57</v>
      </c>
      <c r="J2536" t="s">
        <v>54</v>
      </c>
      <c r="K2536" t="s">
        <v>98</v>
      </c>
      <c r="L2536" t="s">
        <v>26</v>
      </c>
      <c r="M2536" t="s">
        <v>125</v>
      </c>
      <c r="N2536" t="s">
        <v>51</v>
      </c>
      <c r="O2536">
        <v>3</v>
      </c>
      <c r="P2536">
        <v>74572</v>
      </c>
      <c r="Q2536">
        <f t="shared" si="42"/>
        <v>7.4571999999999999E-2</v>
      </c>
      <c r="R2536">
        <v>43252</v>
      </c>
      <c r="S2536" t="s">
        <v>122</v>
      </c>
    </row>
    <row r="2537" spans="1:19">
      <c r="A2537">
        <v>60000634</v>
      </c>
      <c r="B2537">
        <v>28</v>
      </c>
      <c r="C2537" t="s">
        <v>18</v>
      </c>
      <c r="D2537" t="s">
        <v>40</v>
      </c>
      <c r="E2537" t="s">
        <v>72</v>
      </c>
      <c r="F2537" t="s">
        <v>120</v>
      </c>
      <c r="G2537" s="23">
        <v>0.15</v>
      </c>
      <c r="H2537" t="s">
        <v>22</v>
      </c>
      <c r="I2537" t="s">
        <v>37</v>
      </c>
      <c r="J2537" t="s">
        <v>66</v>
      </c>
      <c r="K2537" t="s">
        <v>60</v>
      </c>
      <c r="L2537" t="s">
        <v>26</v>
      </c>
      <c r="M2537" t="s">
        <v>125</v>
      </c>
      <c r="N2537" t="s">
        <v>28</v>
      </c>
      <c r="O2537">
        <v>0</v>
      </c>
      <c r="P2537">
        <v>75919</v>
      </c>
      <c r="Q2537">
        <f t="shared" si="42"/>
        <v>7.5919E-2</v>
      </c>
      <c r="R2537">
        <v>43252</v>
      </c>
      <c r="S2537" t="s">
        <v>122</v>
      </c>
    </row>
    <row r="2541" spans="1:19">
      <c r="P2541" s="20">
        <f>+AVERAGE(P2:P2537)</f>
        <v>54353.271293375394</v>
      </c>
    </row>
  </sheetData>
  <autoFilter ref="A1:S25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topLeftCell="A4" workbookViewId="0">
      <selection activeCell="R22" sqref="R22"/>
    </sheetView>
  </sheetViews>
  <sheetFormatPr baseColWidth="10" defaultRowHeight="14.25"/>
  <cols>
    <col min="1" max="1" width="33.7109375" style="1" bestFit="1" customWidth="1"/>
    <col min="2" max="2" width="15.85546875" style="1" bestFit="1" customWidth="1"/>
    <col min="3" max="4" width="11.42578125" style="1"/>
    <col min="5" max="5" width="20.28515625" style="1" bestFit="1" customWidth="1"/>
    <col min="6" max="6" width="18" style="16" bestFit="1" customWidth="1"/>
    <col min="7" max="7" width="11.42578125" style="1"/>
    <col min="8" max="8" width="20.28515625" style="1" bestFit="1" customWidth="1"/>
    <col min="9" max="9" width="18" style="1" bestFit="1" customWidth="1"/>
    <col min="10" max="10" width="11.42578125" style="1"/>
    <col min="11" max="11" width="20.42578125" style="1" bestFit="1" customWidth="1"/>
    <col min="12" max="12" width="18" style="1" bestFit="1" customWidth="1"/>
    <col min="13" max="15" width="18" style="1" customWidth="1"/>
    <col min="16" max="16" width="11.42578125" style="1"/>
    <col min="17" max="17" width="20.28515625" style="1" bestFit="1" customWidth="1"/>
    <col min="18" max="18" width="25.85546875" style="1" bestFit="1" customWidth="1"/>
    <col min="19" max="19" width="5.5703125" style="1" bestFit="1" customWidth="1"/>
    <col min="20" max="20" width="14.7109375" style="1" bestFit="1" customWidth="1"/>
    <col min="21" max="16384" width="11.42578125" style="1"/>
  </cols>
  <sheetData>
    <row r="1" spans="1:22" ht="15">
      <c r="A1" s="31" t="s">
        <v>147</v>
      </c>
      <c r="B1" s="31"/>
      <c r="C1" s="31"/>
      <c r="E1" s="31" t="s">
        <v>146</v>
      </c>
      <c r="F1" s="31"/>
      <c r="H1" s="31" t="s">
        <v>148</v>
      </c>
      <c r="I1" s="31"/>
      <c r="K1" s="31" t="s">
        <v>151</v>
      </c>
      <c r="L1" s="31"/>
      <c r="M1" s="21"/>
      <c r="N1" s="21"/>
      <c r="O1" s="21"/>
      <c r="Q1" s="31" t="s">
        <v>155</v>
      </c>
      <c r="R1" s="31"/>
      <c r="U1" s="31" t="s">
        <v>157</v>
      </c>
      <c r="V1" s="31"/>
    </row>
    <row r="2" spans="1:22" ht="15">
      <c r="A2" s="36" t="s">
        <v>141</v>
      </c>
      <c r="B2" s="36"/>
      <c r="C2" s="36"/>
      <c r="E2" s="36" t="s">
        <v>140</v>
      </c>
      <c r="F2" s="36"/>
    </row>
    <row r="3" spans="1:22" ht="15">
      <c r="H3" s="32" t="s">
        <v>136</v>
      </c>
      <c r="I3" s="32"/>
      <c r="K3" s="32" t="s">
        <v>152</v>
      </c>
      <c r="L3" s="32"/>
      <c r="M3" s="11"/>
      <c r="N3" s="11"/>
      <c r="O3" s="11"/>
      <c r="Q3" s="33" t="s">
        <v>131</v>
      </c>
      <c r="R3" s="33"/>
      <c r="U3" s="1" t="s">
        <v>158</v>
      </c>
    </row>
    <row r="4" spans="1:22" ht="15">
      <c r="A4" s="14" t="s">
        <v>143</v>
      </c>
      <c r="E4" s="35" t="s">
        <v>3</v>
      </c>
      <c r="F4" s="35"/>
      <c r="H4" s="8"/>
      <c r="I4" s="8"/>
      <c r="K4" s="6" t="s">
        <v>17</v>
      </c>
      <c r="L4" s="6" t="s">
        <v>122</v>
      </c>
      <c r="M4" s="6"/>
      <c r="N4" s="6"/>
      <c r="O4" s="6"/>
      <c r="Q4" s="6" t="s">
        <v>129</v>
      </c>
      <c r="R4" s="7" t="s">
        <v>127</v>
      </c>
      <c r="U4" s="1" t="s">
        <v>3</v>
      </c>
    </row>
    <row r="5" spans="1:22" ht="15">
      <c r="A5" s="13" t="s">
        <v>142</v>
      </c>
      <c r="B5" s="12"/>
      <c r="E5" s="1" t="s">
        <v>129</v>
      </c>
      <c r="F5" s="13" t="s">
        <v>127</v>
      </c>
      <c r="H5" s="6" t="s">
        <v>137</v>
      </c>
      <c r="I5" s="7" t="s">
        <v>135</v>
      </c>
      <c r="Q5" s="4" t="s">
        <v>26</v>
      </c>
      <c r="R5" s="19">
        <v>0.54716981132075471</v>
      </c>
      <c r="U5" s="1" t="s">
        <v>159</v>
      </c>
    </row>
    <row r="6" spans="1:22" ht="15">
      <c r="A6" s="3">
        <v>52915.226415094337</v>
      </c>
      <c r="B6" s="12"/>
      <c r="E6" s="2" t="s">
        <v>19</v>
      </c>
      <c r="F6" s="18">
        <v>0.49056603773584906</v>
      </c>
      <c r="H6" s="10" t="s">
        <v>34</v>
      </c>
      <c r="I6" s="5">
        <v>212</v>
      </c>
      <c r="K6" s="6" t="s">
        <v>129</v>
      </c>
      <c r="L6" s="7" t="s">
        <v>127</v>
      </c>
      <c r="M6" s="7"/>
      <c r="N6" s="7"/>
      <c r="O6" s="7"/>
      <c r="Q6" s="4" t="s">
        <v>121</v>
      </c>
      <c r="R6" s="19">
        <v>0.13207547169811321</v>
      </c>
    </row>
    <row r="7" spans="1:22" ht="15">
      <c r="E7" s="2" t="s">
        <v>40</v>
      </c>
      <c r="F7" s="18">
        <v>0.50943396226415094</v>
      </c>
      <c r="H7" s="4" t="s">
        <v>128</v>
      </c>
      <c r="I7" s="5">
        <v>212</v>
      </c>
      <c r="K7" s="4" t="s">
        <v>68</v>
      </c>
      <c r="L7" s="5">
        <v>28</v>
      </c>
      <c r="M7" s="5"/>
      <c r="N7" s="5"/>
      <c r="O7" s="5"/>
      <c r="Q7" s="4" t="s">
        <v>119</v>
      </c>
      <c r="R7" s="19">
        <v>0.32075471698113206</v>
      </c>
    </row>
    <row r="8" spans="1:22" ht="15">
      <c r="E8" s="2" t="s">
        <v>126</v>
      </c>
      <c r="F8" s="15">
        <v>1</v>
      </c>
      <c r="H8"/>
      <c r="I8"/>
      <c r="K8" s="4" t="s">
        <v>37</v>
      </c>
      <c r="L8" s="5">
        <v>20</v>
      </c>
      <c r="M8" s="5"/>
      <c r="N8" s="5"/>
      <c r="O8" s="5"/>
      <c r="Q8" s="4" t="s">
        <v>126</v>
      </c>
      <c r="R8" s="9">
        <v>1</v>
      </c>
    </row>
    <row r="9" spans="1:22" ht="15">
      <c r="A9" s="1" t="s">
        <v>144</v>
      </c>
      <c r="E9" s="2" t="s">
        <v>133</v>
      </c>
      <c r="F9" s="15"/>
      <c r="H9"/>
      <c r="I9"/>
      <c r="K9" s="4" t="s">
        <v>30</v>
      </c>
      <c r="L9" s="5">
        <v>20</v>
      </c>
      <c r="M9" s="5"/>
      <c r="N9" s="5"/>
      <c r="O9" s="5"/>
    </row>
    <row r="10" spans="1:22" ht="15">
      <c r="A10" s="1" t="s">
        <v>12</v>
      </c>
      <c r="B10" s="1" t="s">
        <v>125</v>
      </c>
      <c r="E10" s="2"/>
      <c r="F10" s="15"/>
      <c r="H10"/>
      <c r="I10"/>
      <c r="K10" s="4" t="s">
        <v>86</v>
      </c>
      <c r="L10" s="5">
        <v>16</v>
      </c>
      <c r="M10" s="5"/>
      <c r="N10" s="5"/>
      <c r="O10" s="5"/>
    </row>
    <row r="11" spans="1:22" ht="15">
      <c r="A11" s="1" t="s">
        <v>13</v>
      </c>
      <c r="B11" s="1" t="s">
        <v>51</v>
      </c>
      <c r="E11" s="35" t="s">
        <v>134</v>
      </c>
      <c r="F11" s="35"/>
      <c r="H11"/>
      <c r="I11"/>
      <c r="K11" s="4" t="s">
        <v>23</v>
      </c>
      <c r="L11" s="5">
        <v>16</v>
      </c>
      <c r="M11" s="5"/>
      <c r="N11" s="5"/>
      <c r="O11" s="5"/>
      <c r="Q11" s="34" t="s">
        <v>132</v>
      </c>
      <c r="R11" s="34"/>
    </row>
    <row r="12" spans="1:22" ht="15">
      <c r="A12" s="14" t="s">
        <v>144</v>
      </c>
      <c r="B12" s="12"/>
      <c r="E12" s="1" t="s">
        <v>129</v>
      </c>
      <c r="F12" s="13" t="s">
        <v>127</v>
      </c>
      <c r="H12"/>
      <c r="I12"/>
      <c r="K12" s="4" t="s">
        <v>49</v>
      </c>
      <c r="L12" s="5">
        <v>16</v>
      </c>
      <c r="M12" s="5"/>
      <c r="N12" s="5"/>
      <c r="O12" s="5"/>
      <c r="Q12"/>
      <c r="R12"/>
    </row>
    <row r="13" spans="1:22" ht="15">
      <c r="A13" s="13" t="s">
        <v>145</v>
      </c>
      <c r="B13" s="12"/>
      <c r="E13" s="2" t="s">
        <v>18</v>
      </c>
      <c r="F13" s="18">
        <v>0.41509433962264153</v>
      </c>
      <c r="H13"/>
      <c r="I13"/>
      <c r="K13" s="4" t="s">
        <v>60</v>
      </c>
      <c r="L13" s="5">
        <v>12</v>
      </c>
      <c r="M13" s="5"/>
      <c r="N13" s="5"/>
      <c r="O13" s="5"/>
      <c r="Q13" s="6"/>
      <c r="R13" s="6"/>
    </row>
    <row r="14" spans="1:22" ht="15">
      <c r="A14" s="17">
        <v>3.64</v>
      </c>
      <c r="B14" s="12"/>
      <c r="E14" s="2" t="s">
        <v>33</v>
      </c>
      <c r="F14" s="18">
        <v>0.58490566037735847</v>
      </c>
      <c r="H14"/>
      <c r="I14"/>
      <c r="K14" s="4" t="s">
        <v>62</v>
      </c>
      <c r="L14" s="5">
        <v>12</v>
      </c>
      <c r="M14" s="5"/>
      <c r="N14" s="5"/>
      <c r="O14" s="5"/>
      <c r="Q14" s="6" t="s">
        <v>127</v>
      </c>
      <c r="R14" s="6" t="s">
        <v>156</v>
      </c>
      <c r="S14" s="6"/>
      <c r="T14" s="6"/>
    </row>
    <row r="15" spans="1:22" ht="15">
      <c r="E15" s="2" t="s">
        <v>126</v>
      </c>
      <c r="F15" s="15">
        <v>1</v>
      </c>
      <c r="H15"/>
      <c r="I15"/>
      <c r="K15" s="4" t="s">
        <v>83</v>
      </c>
      <c r="L15" s="5">
        <v>12</v>
      </c>
      <c r="M15" s="5"/>
      <c r="N15" s="5"/>
      <c r="O15" s="5"/>
      <c r="Q15" s="6" t="s">
        <v>129</v>
      </c>
      <c r="R15" s="6" t="s">
        <v>28</v>
      </c>
      <c r="S15" s="6" t="s">
        <v>51</v>
      </c>
      <c r="T15" s="6" t="s">
        <v>126</v>
      </c>
    </row>
    <row r="16" spans="1:22" ht="15">
      <c r="H16"/>
      <c r="I16"/>
      <c r="K16" s="4" t="s">
        <v>80</v>
      </c>
      <c r="L16" s="5">
        <v>12</v>
      </c>
      <c r="M16" s="5"/>
      <c r="N16" s="5"/>
      <c r="O16" s="5"/>
      <c r="Q16" s="4" t="s">
        <v>124</v>
      </c>
      <c r="R16" s="5">
        <v>31</v>
      </c>
      <c r="S16" s="5">
        <v>22</v>
      </c>
      <c r="T16" s="5">
        <v>53</v>
      </c>
    </row>
    <row r="17" spans="5:20" ht="15">
      <c r="H17"/>
      <c r="I17"/>
      <c r="K17" s="4" t="s">
        <v>65</v>
      </c>
      <c r="L17" s="5">
        <v>12</v>
      </c>
      <c r="M17" s="5"/>
      <c r="N17" s="5"/>
      <c r="O17" s="5"/>
      <c r="Q17" s="4" t="s">
        <v>125</v>
      </c>
      <c r="R17" s="5">
        <v>28</v>
      </c>
      <c r="S17" s="5">
        <v>25</v>
      </c>
      <c r="T17" s="5">
        <v>53</v>
      </c>
    </row>
    <row r="18" spans="5:20" ht="15">
      <c r="E18" s="35" t="s">
        <v>1</v>
      </c>
      <c r="F18" s="35"/>
      <c r="H18"/>
      <c r="I18"/>
      <c r="K18" s="4" t="s">
        <v>57</v>
      </c>
      <c r="L18" s="5">
        <v>8</v>
      </c>
      <c r="M18" s="5"/>
      <c r="N18" s="5"/>
      <c r="O18" s="5"/>
      <c r="Q18" s="4" t="s">
        <v>27</v>
      </c>
      <c r="R18" s="5">
        <v>31</v>
      </c>
      <c r="S18" s="5">
        <v>22</v>
      </c>
      <c r="T18" s="5">
        <v>53</v>
      </c>
    </row>
    <row r="19" spans="5:20">
      <c r="E19" s="1" t="s">
        <v>129</v>
      </c>
      <c r="F19" s="13" t="s">
        <v>127</v>
      </c>
      <c r="K19" s="4" t="s">
        <v>76</v>
      </c>
      <c r="L19" s="5">
        <v>8</v>
      </c>
      <c r="M19" s="5"/>
      <c r="N19" s="5"/>
      <c r="O19" s="5"/>
      <c r="Q19" s="4" t="s">
        <v>123</v>
      </c>
      <c r="R19" s="5">
        <v>36</v>
      </c>
      <c r="S19" s="5">
        <v>17</v>
      </c>
      <c r="T19" s="5">
        <v>53</v>
      </c>
    </row>
    <row r="20" spans="5:20" ht="15">
      <c r="E20" s="2">
        <v>20</v>
      </c>
      <c r="F20" s="3">
        <v>4</v>
      </c>
      <c r="K20" s="4" t="s">
        <v>70</v>
      </c>
      <c r="L20" s="5">
        <v>8</v>
      </c>
      <c r="M20" s="5"/>
      <c r="N20" s="5"/>
      <c r="O20" s="5"/>
      <c r="Q20" s="4" t="s">
        <v>126</v>
      </c>
      <c r="R20" s="5">
        <v>126</v>
      </c>
      <c r="S20" s="5">
        <v>86</v>
      </c>
      <c r="T20" s="5">
        <v>212</v>
      </c>
    </row>
    <row r="21" spans="5:20" ht="15">
      <c r="E21" s="2">
        <v>22</v>
      </c>
      <c r="F21" s="3">
        <v>8</v>
      </c>
      <c r="K21" s="4" t="s">
        <v>45</v>
      </c>
      <c r="L21" s="5">
        <v>8</v>
      </c>
      <c r="M21" s="5"/>
      <c r="N21" s="5"/>
      <c r="O21" s="5"/>
    </row>
    <row r="22" spans="5:20" ht="15">
      <c r="E22" s="2">
        <v>29</v>
      </c>
      <c r="F22" s="3">
        <v>8</v>
      </c>
      <c r="H22" s="33" t="s">
        <v>150</v>
      </c>
      <c r="I22" s="33"/>
      <c r="K22" s="4" t="s">
        <v>73</v>
      </c>
      <c r="L22" s="5">
        <v>4</v>
      </c>
      <c r="M22" s="5"/>
      <c r="N22" s="5"/>
      <c r="O22" s="5"/>
    </row>
    <row r="23" spans="5:20" ht="15">
      <c r="E23" s="2">
        <v>30</v>
      </c>
      <c r="F23" s="3">
        <v>4</v>
      </c>
      <c r="H23" s="6" t="s">
        <v>129</v>
      </c>
      <c r="I23" s="7" t="s">
        <v>127</v>
      </c>
      <c r="J23" s="12"/>
      <c r="K23" s="4" t="s">
        <v>126</v>
      </c>
      <c r="L23" s="5">
        <v>212</v>
      </c>
      <c r="M23" s="5"/>
      <c r="N23" s="5"/>
      <c r="O23" s="5"/>
    </row>
    <row r="24" spans="5:20" ht="15">
      <c r="E24" s="2">
        <v>31</v>
      </c>
      <c r="F24" s="3">
        <v>4</v>
      </c>
      <c r="H24" s="4" t="s">
        <v>21</v>
      </c>
      <c r="I24" s="5">
        <v>188</v>
      </c>
      <c r="J24" s="12"/>
    </row>
    <row r="25" spans="5:20" ht="15">
      <c r="E25" s="2">
        <v>32</v>
      </c>
      <c r="F25" s="3">
        <v>8</v>
      </c>
      <c r="H25" s="4" t="s">
        <v>35</v>
      </c>
      <c r="I25" s="5">
        <v>16</v>
      </c>
      <c r="J25" s="12"/>
    </row>
    <row r="26" spans="5:20" ht="15">
      <c r="E26" s="2">
        <v>33</v>
      </c>
      <c r="F26" s="3">
        <v>4</v>
      </c>
      <c r="H26" s="4" t="s">
        <v>120</v>
      </c>
      <c r="I26" s="5">
        <v>8</v>
      </c>
      <c r="J26" s="12"/>
      <c r="K26" s="32" t="s">
        <v>153</v>
      </c>
      <c r="L26" s="32"/>
      <c r="M26" s="11"/>
      <c r="N26" s="11"/>
      <c r="O26" s="11"/>
    </row>
    <row r="27" spans="5:20" ht="15">
      <c r="E27" s="2">
        <v>34</v>
      </c>
      <c r="F27" s="3">
        <v>8</v>
      </c>
      <c r="H27" s="4" t="s">
        <v>126</v>
      </c>
      <c r="I27" s="5">
        <v>212</v>
      </c>
      <c r="J27" s="12"/>
      <c r="K27" s="6" t="s">
        <v>17</v>
      </c>
      <c r="L27" s="6" t="s">
        <v>122</v>
      </c>
      <c r="M27" s="6"/>
      <c r="N27" s="6"/>
      <c r="O27" s="6"/>
    </row>
    <row r="28" spans="5:20" ht="15">
      <c r="E28" s="2">
        <v>35</v>
      </c>
      <c r="F28" s="3">
        <v>12</v>
      </c>
      <c r="H28"/>
      <c r="I28"/>
      <c r="J28" s="12"/>
    </row>
    <row r="29" spans="5:20" ht="15">
      <c r="E29" s="2">
        <v>36</v>
      </c>
      <c r="F29" s="3">
        <v>8</v>
      </c>
      <c r="H29" s="33" t="s">
        <v>130</v>
      </c>
      <c r="I29" s="33"/>
      <c r="J29" s="12"/>
      <c r="K29" s="6" t="s">
        <v>129</v>
      </c>
      <c r="L29" s="7" t="s">
        <v>127</v>
      </c>
      <c r="M29" s="7"/>
      <c r="N29" s="7"/>
      <c r="O29" s="7"/>
    </row>
    <row r="30" spans="5:20" ht="15">
      <c r="E30" s="2">
        <v>37</v>
      </c>
      <c r="F30" s="3">
        <v>8</v>
      </c>
      <c r="H30" s="6" t="s">
        <v>129</v>
      </c>
      <c r="I30" s="7" t="s">
        <v>127</v>
      </c>
      <c r="J30" s="12"/>
      <c r="K30" s="4" t="s">
        <v>117</v>
      </c>
      <c r="L30" s="5">
        <v>20</v>
      </c>
      <c r="M30" s="5"/>
      <c r="N30" s="5"/>
      <c r="O30" s="5"/>
    </row>
    <row r="31" spans="5:20" ht="15">
      <c r="E31" s="2">
        <v>40</v>
      </c>
      <c r="F31" s="3">
        <v>4</v>
      </c>
      <c r="H31" s="4" t="s">
        <v>36</v>
      </c>
      <c r="I31" s="19">
        <v>7.5471698113207544E-2</v>
      </c>
      <c r="J31" s="12"/>
      <c r="K31" s="4" t="s">
        <v>84</v>
      </c>
      <c r="L31" s="5">
        <v>12</v>
      </c>
      <c r="M31" s="5"/>
      <c r="N31" s="5"/>
      <c r="O31" s="5"/>
    </row>
    <row r="32" spans="5:20" ht="15">
      <c r="E32" s="2">
        <v>44</v>
      </c>
      <c r="F32" s="3">
        <v>4</v>
      </c>
      <c r="H32" s="4" t="s">
        <v>53</v>
      </c>
      <c r="I32" s="19">
        <v>9.4339622641509441E-2</v>
      </c>
      <c r="J32" s="12"/>
      <c r="K32" s="4" t="s">
        <v>62</v>
      </c>
      <c r="L32" s="5">
        <v>8</v>
      </c>
      <c r="M32" s="5"/>
      <c r="N32" s="5"/>
      <c r="O32" s="5"/>
    </row>
    <row r="33" spans="5:15" ht="15">
      <c r="E33" s="2">
        <v>45</v>
      </c>
      <c r="F33" s="3">
        <v>8</v>
      </c>
      <c r="H33" s="4" t="s">
        <v>22</v>
      </c>
      <c r="I33" s="19">
        <v>0.15094339622641509</v>
      </c>
      <c r="J33" s="12"/>
      <c r="K33" s="4" t="s">
        <v>43</v>
      </c>
      <c r="L33" s="5">
        <v>8</v>
      </c>
      <c r="M33" s="5"/>
      <c r="N33" s="5"/>
      <c r="O33" s="5"/>
    </row>
    <row r="34" spans="5:15" ht="15">
      <c r="E34" s="2">
        <v>46</v>
      </c>
      <c r="F34" s="3">
        <v>12</v>
      </c>
      <c r="H34" s="4" t="s">
        <v>29</v>
      </c>
      <c r="I34" s="19">
        <v>0.22641509433962265</v>
      </c>
      <c r="J34" s="12"/>
      <c r="K34" s="4" t="s">
        <v>106</v>
      </c>
      <c r="L34" s="5">
        <v>8</v>
      </c>
      <c r="M34" s="5"/>
      <c r="N34" s="5"/>
      <c r="O34" s="5"/>
    </row>
    <row r="35" spans="5:15" ht="15">
      <c r="E35" s="2">
        <v>47</v>
      </c>
      <c r="F35" s="3">
        <v>8</v>
      </c>
      <c r="H35" s="4" t="s">
        <v>42</v>
      </c>
      <c r="I35" s="19">
        <v>0.45283018867924529</v>
      </c>
      <c r="J35" s="12"/>
      <c r="K35" s="4" t="s">
        <v>98</v>
      </c>
      <c r="L35" s="5">
        <v>8</v>
      </c>
      <c r="M35" s="5"/>
      <c r="N35" s="5"/>
      <c r="O35" s="5"/>
    </row>
    <row r="36" spans="5:15" ht="15">
      <c r="E36" s="2">
        <v>48</v>
      </c>
      <c r="F36" s="3">
        <v>8</v>
      </c>
      <c r="H36" s="4" t="s">
        <v>126</v>
      </c>
      <c r="I36" s="9">
        <v>1</v>
      </c>
      <c r="J36" s="12"/>
      <c r="K36" s="4" t="s">
        <v>105</v>
      </c>
      <c r="L36" s="5">
        <v>8</v>
      </c>
      <c r="M36" s="5"/>
      <c r="N36" s="5"/>
      <c r="O36" s="5"/>
    </row>
    <row r="37" spans="5:15" ht="15">
      <c r="E37" s="2">
        <v>49</v>
      </c>
      <c r="F37" s="3">
        <v>4</v>
      </c>
      <c r="H37"/>
      <c r="I37"/>
      <c r="J37" s="12"/>
      <c r="K37" s="4" t="s">
        <v>114</v>
      </c>
      <c r="L37" s="5">
        <v>8</v>
      </c>
      <c r="M37" s="5"/>
      <c r="N37" s="5"/>
      <c r="O37" s="5"/>
    </row>
    <row r="38" spans="5:15" ht="15">
      <c r="E38" s="2">
        <v>50</v>
      </c>
      <c r="F38" s="3">
        <v>8</v>
      </c>
      <c r="H38"/>
      <c r="I38"/>
      <c r="J38" s="12"/>
      <c r="K38" s="4" t="s">
        <v>118</v>
      </c>
      <c r="L38" s="5">
        <v>8</v>
      </c>
      <c r="M38" s="5"/>
      <c r="N38" s="5"/>
      <c r="O38" s="5"/>
    </row>
    <row r="39" spans="5:15" ht="15">
      <c r="E39" s="2">
        <v>52</v>
      </c>
      <c r="F39" s="3">
        <v>4</v>
      </c>
      <c r="H39" s="14" t="s">
        <v>162</v>
      </c>
      <c r="I39"/>
      <c r="J39" s="12"/>
      <c r="K39" s="4" t="s">
        <v>81</v>
      </c>
      <c r="L39" s="5">
        <v>8</v>
      </c>
      <c r="M39" s="5"/>
      <c r="N39" s="5"/>
      <c r="O39" s="5"/>
    </row>
    <row r="40" spans="5:15" ht="15">
      <c r="E40" s="2">
        <v>54</v>
      </c>
      <c r="F40" s="3">
        <v>16</v>
      </c>
      <c r="H40" s="13" t="s">
        <v>149</v>
      </c>
      <c r="I40"/>
      <c r="J40"/>
      <c r="K40" s="4" t="s">
        <v>96</v>
      </c>
      <c r="L40" s="5">
        <v>8</v>
      </c>
      <c r="M40" s="5"/>
      <c r="N40" s="5"/>
      <c r="O40" s="5"/>
    </row>
    <row r="41" spans="5:15" ht="15">
      <c r="E41" s="2">
        <v>55</v>
      </c>
      <c r="F41" s="3">
        <v>12</v>
      </c>
      <c r="H41" s="18">
        <v>0.26301886792452828</v>
      </c>
      <c r="I41"/>
      <c r="J41"/>
      <c r="K41" s="4" t="s">
        <v>97</v>
      </c>
      <c r="L41" s="5">
        <v>8</v>
      </c>
      <c r="M41" s="5"/>
      <c r="N41" s="5"/>
      <c r="O41" s="5"/>
    </row>
    <row r="42" spans="5:15" ht="15">
      <c r="E42" s="2">
        <v>57</v>
      </c>
      <c r="F42" s="3">
        <v>4</v>
      </c>
      <c r="H42"/>
      <c r="I42"/>
      <c r="J42"/>
      <c r="K42" s="4" t="s">
        <v>103</v>
      </c>
      <c r="L42" s="5">
        <v>4</v>
      </c>
      <c r="M42" s="5"/>
      <c r="N42" s="5"/>
      <c r="O42" s="5"/>
    </row>
    <row r="43" spans="5:15" ht="15">
      <c r="E43" s="2">
        <v>58</v>
      </c>
      <c r="F43" s="3">
        <v>8</v>
      </c>
      <c r="H43"/>
      <c r="I43"/>
      <c r="J43"/>
      <c r="K43" s="4" t="s">
        <v>49</v>
      </c>
      <c r="L43" s="5">
        <v>4</v>
      </c>
      <c r="M43" s="5"/>
      <c r="N43" s="5"/>
      <c r="O43" s="5"/>
    </row>
    <row r="44" spans="5:15" ht="15">
      <c r="E44" s="2">
        <v>59</v>
      </c>
      <c r="F44" s="3">
        <v>12</v>
      </c>
      <c r="H44"/>
      <c r="I44"/>
      <c r="J44"/>
      <c r="K44" s="4" t="s">
        <v>112</v>
      </c>
      <c r="L44" s="5">
        <v>4</v>
      </c>
      <c r="M44" s="5"/>
      <c r="N44" s="5"/>
      <c r="O44" s="5"/>
    </row>
    <row r="45" spans="5:15" ht="15">
      <c r="E45" s="2">
        <v>62</v>
      </c>
      <c r="F45" s="3">
        <v>4</v>
      </c>
      <c r="H45"/>
      <c r="I45"/>
      <c r="J45"/>
      <c r="K45" s="4" t="s">
        <v>83</v>
      </c>
      <c r="L45" s="5">
        <v>4</v>
      </c>
      <c r="M45" s="5"/>
      <c r="N45" s="5"/>
      <c r="O45" s="5"/>
    </row>
    <row r="46" spans="5:15" ht="15">
      <c r="E46" s="2">
        <v>63</v>
      </c>
      <c r="F46" s="3">
        <v>4</v>
      </c>
      <c r="H46"/>
      <c r="I46"/>
      <c r="J46"/>
      <c r="K46" s="4" t="s">
        <v>32</v>
      </c>
      <c r="L46" s="5">
        <v>4</v>
      </c>
      <c r="M46" s="5"/>
      <c r="N46" s="5"/>
      <c r="O46" s="5"/>
    </row>
    <row r="47" spans="5:15" ht="15">
      <c r="E47" s="2">
        <v>65</v>
      </c>
      <c r="F47" s="3">
        <v>16</v>
      </c>
      <c r="H47"/>
      <c r="I47"/>
      <c r="J47"/>
      <c r="K47" s="4" t="s">
        <v>104</v>
      </c>
      <c r="L47" s="5">
        <v>4</v>
      </c>
      <c r="M47" s="5"/>
      <c r="N47" s="5"/>
      <c r="O47" s="5"/>
    </row>
    <row r="48" spans="5:15" ht="15">
      <c r="E48" s="2" t="s">
        <v>126</v>
      </c>
      <c r="F48" s="3">
        <v>212</v>
      </c>
      <c r="H48"/>
      <c r="I48"/>
      <c r="J48"/>
      <c r="K48" s="4" t="s">
        <v>77</v>
      </c>
      <c r="L48" s="5">
        <v>4</v>
      </c>
      <c r="M48" s="5"/>
      <c r="N48" s="5"/>
      <c r="O48" s="5"/>
    </row>
    <row r="49" spans="5:15" ht="15">
      <c r="E49"/>
      <c r="F49"/>
      <c r="H49"/>
      <c r="I49"/>
      <c r="J49"/>
      <c r="K49" s="4" t="s">
        <v>115</v>
      </c>
      <c r="L49" s="5">
        <v>4</v>
      </c>
      <c r="M49" s="5"/>
      <c r="N49" s="5"/>
      <c r="O49" s="5"/>
    </row>
    <row r="50" spans="5:15" ht="15">
      <c r="E50"/>
      <c r="F50"/>
      <c r="H50"/>
      <c r="I50"/>
      <c r="J50"/>
      <c r="K50" s="4" t="s">
        <v>107</v>
      </c>
      <c r="L50" s="5">
        <v>4</v>
      </c>
      <c r="M50" s="5"/>
      <c r="N50" s="5"/>
      <c r="O50" s="5"/>
    </row>
    <row r="51" spans="5:15" ht="15">
      <c r="E51"/>
      <c r="F51"/>
      <c r="H51"/>
      <c r="I51"/>
      <c r="J51"/>
      <c r="K51" s="4" t="s">
        <v>50</v>
      </c>
      <c r="L51" s="5">
        <v>4</v>
      </c>
      <c r="M51" s="5"/>
      <c r="N51" s="5"/>
      <c r="O51" s="5"/>
    </row>
    <row r="52" spans="5:15" ht="15">
      <c r="E52"/>
      <c r="F52"/>
      <c r="H52"/>
      <c r="I52"/>
      <c r="J52"/>
      <c r="K52" s="4" t="s">
        <v>113</v>
      </c>
      <c r="L52" s="5">
        <v>4</v>
      </c>
      <c r="M52" s="5"/>
      <c r="N52" s="5"/>
      <c r="O52" s="5"/>
    </row>
    <row r="53" spans="5:15" ht="15">
      <c r="E53"/>
      <c r="F53"/>
      <c r="H53"/>
      <c r="I53"/>
      <c r="J53"/>
      <c r="K53" s="4" t="s">
        <v>92</v>
      </c>
      <c r="L53" s="5">
        <v>4</v>
      </c>
      <c r="M53" s="5"/>
      <c r="N53" s="5"/>
      <c r="O53" s="5"/>
    </row>
    <row r="54" spans="5:15" ht="15">
      <c r="E54"/>
      <c r="F54"/>
      <c r="H54"/>
      <c r="I54"/>
      <c r="J54"/>
      <c r="K54" s="4" t="s">
        <v>39</v>
      </c>
      <c r="L54" s="5">
        <v>4</v>
      </c>
      <c r="M54" s="5"/>
      <c r="N54" s="5"/>
      <c r="O54" s="5"/>
    </row>
    <row r="55" spans="5:15" ht="15">
      <c r="E55"/>
      <c r="F55"/>
      <c r="H55"/>
      <c r="I55"/>
      <c r="J55"/>
      <c r="K55" s="4" t="s">
        <v>93</v>
      </c>
      <c r="L55" s="5">
        <v>4</v>
      </c>
      <c r="M55" s="5"/>
      <c r="N55" s="5"/>
      <c r="O55" s="5"/>
    </row>
    <row r="56" spans="5:15" ht="15">
      <c r="E56"/>
      <c r="F56"/>
      <c r="H56"/>
      <c r="I56"/>
      <c r="J56"/>
      <c r="K56" s="4" t="s">
        <v>79</v>
      </c>
      <c r="L56" s="5">
        <v>4</v>
      </c>
      <c r="M56" s="5"/>
      <c r="N56" s="5"/>
      <c r="O56" s="5"/>
    </row>
    <row r="57" spans="5:15" ht="15">
      <c r="E57"/>
      <c r="F57"/>
      <c r="H57"/>
      <c r="I57"/>
      <c r="J57"/>
      <c r="K57" s="4" t="s">
        <v>47</v>
      </c>
      <c r="L57" s="5">
        <v>4</v>
      </c>
      <c r="M57" s="5"/>
      <c r="N57" s="5"/>
      <c r="O57" s="5"/>
    </row>
    <row r="58" spans="5:15" ht="15">
      <c r="E58"/>
      <c r="F58"/>
      <c r="K58" s="4" t="s">
        <v>87</v>
      </c>
      <c r="L58" s="5">
        <v>4</v>
      </c>
      <c r="M58" s="5"/>
      <c r="N58" s="5"/>
      <c r="O58" s="5"/>
    </row>
    <row r="59" spans="5:15" ht="15">
      <c r="E59"/>
      <c r="F59"/>
      <c r="K59" s="4" t="s">
        <v>109</v>
      </c>
      <c r="L59" s="5">
        <v>4</v>
      </c>
      <c r="M59" s="5"/>
      <c r="N59" s="5"/>
      <c r="O59" s="5"/>
    </row>
    <row r="60" spans="5:15" ht="15">
      <c r="E60"/>
      <c r="F60"/>
      <c r="K60" s="4" t="s">
        <v>116</v>
      </c>
      <c r="L60" s="5">
        <v>4</v>
      </c>
      <c r="M60" s="5"/>
      <c r="N60" s="5"/>
      <c r="O60" s="5"/>
    </row>
    <row r="61" spans="5:15" ht="15">
      <c r="E61"/>
      <c r="F61"/>
      <c r="K61" s="4" t="s">
        <v>99</v>
      </c>
      <c r="L61" s="5">
        <v>4</v>
      </c>
      <c r="M61" s="5"/>
      <c r="N61" s="5"/>
      <c r="O61" s="5"/>
    </row>
    <row r="62" spans="5:15" ht="15">
      <c r="E62"/>
      <c r="F62"/>
      <c r="K62" s="4" t="s">
        <v>89</v>
      </c>
      <c r="L62" s="5">
        <v>4</v>
      </c>
      <c r="M62" s="5"/>
      <c r="N62" s="5"/>
      <c r="O62" s="5"/>
    </row>
    <row r="63" spans="5:15" ht="15">
      <c r="E63"/>
      <c r="F63"/>
      <c r="K63" s="4" t="s">
        <v>108</v>
      </c>
      <c r="L63" s="5">
        <v>4</v>
      </c>
      <c r="M63" s="5"/>
      <c r="N63" s="5"/>
      <c r="O63" s="5"/>
    </row>
    <row r="64" spans="5:15" ht="15">
      <c r="E64"/>
      <c r="F64"/>
      <c r="K64" s="4" t="s">
        <v>90</v>
      </c>
      <c r="L64" s="5">
        <v>4</v>
      </c>
      <c r="M64" s="5"/>
      <c r="N64" s="5"/>
      <c r="O64" s="5"/>
    </row>
    <row r="65" spans="5:15" ht="15">
      <c r="E65"/>
      <c r="F65"/>
      <c r="K65" s="4" t="s">
        <v>101</v>
      </c>
      <c r="L65" s="5">
        <v>4</v>
      </c>
      <c r="M65" s="5"/>
      <c r="N65" s="5"/>
      <c r="O65" s="5"/>
    </row>
    <row r="66" spans="5:15" ht="15">
      <c r="E66"/>
      <c r="F66"/>
      <c r="K66" s="4" t="s">
        <v>55</v>
      </c>
      <c r="L66" s="5">
        <v>4</v>
      </c>
      <c r="M66" s="5"/>
      <c r="N66" s="5"/>
      <c r="O66" s="5"/>
    </row>
    <row r="67" spans="5:15">
      <c r="K67" s="4" t="s">
        <v>126</v>
      </c>
      <c r="L67" s="5">
        <v>212</v>
      </c>
      <c r="M67" s="5"/>
      <c r="N67" s="5"/>
      <c r="O67" s="5"/>
    </row>
    <row r="68" spans="5:15" ht="15">
      <c r="K68"/>
      <c r="L68"/>
      <c r="M68" s="5"/>
      <c r="N68" s="5"/>
      <c r="O68" s="5"/>
    </row>
    <row r="69" spans="5:15" ht="15">
      <c r="K69"/>
      <c r="L69"/>
      <c r="M69" s="5"/>
      <c r="N69" s="5"/>
      <c r="O69" s="5"/>
    </row>
    <row r="70" spans="5:15" ht="15">
      <c r="K70"/>
      <c r="L70"/>
      <c r="M70" s="5"/>
      <c r="N70" s="5"/>
      <c r="O70" s="5"/>
    </row>
    <row r="71" spans="5:15" ht="15">
      <c r="K71"/>
      <c r="L71"/>
      <c r="M71" s="5"/>
      <c r="N71" s="5"/>
      <c r="O71" s="5"/>
    </row>
    <row r="72" spans="5:15" ht="15">
      <c r="K72"/>
      <c r="L72"/>
      <c r="M72" s="5"/>
      <c r="N72" s="5"/>
      <c r="O72" s="5"/>
    </row>
    <row r="73" spans="5:15" ht="15">
      <c r="K73"/>
      <c r="L73"/>
      <c r="M73" s="5"/>
      <c r="N73" s="5"/>
      <c r="O73" s="5"/>
    </row>
    <row r="74" spans="5:15" ht="15">
      <c r="K74"/>
      <c r="L74"/>
      <c r="M74" s="5"/>
      <c r="N74" s="5"/>
      <c r="O74" s="5"/>
    </row>
    <row r="75" spans="5:15" ht="15">
      <c r="K75"/>
      <c r="L75"/>
      <c r="M75" s="5"/>
      <c r="N75" s="5"/>
      <c r="O75" s="5"/>
    </row>
    <row r="76" spans="5:15" ht="15">
      <c r="K76"/>
      <c r="L76"/>
      <c r="M76" s="5"/>
      <c r="N76" s="5"/>
      <c r="O76" s="5"/>
    </row>
    <row r="77" spans="5:15" ht="15">
      <c r="K77"/>
      <c r="L77"/>
      <c r="M77" s="5"/>
      <c r="N77" s="5"/>
      <c r="O77" s="5"/>
    </row>
    <row r="78" spans="5:15" ht="15">
      <c r="K78"/>
      <c r="L78"/>
    </row>
    <row r="79" spans="5:15" ht="15">
      <c r="K79"/>
      <c r="L79"/>
    </row>
    <row r="80" spans="5:15" ht="15">
      <c r="K80"/>
      <c r="L80"/>
    </row>
    <row r="82" spans="11:15" ht="15">
      <c r="K82" s="32" t="s">
        <v>154</v>
      </c>
      <c r="L82" s="32"/>
      <c r="M82" s="11"/>
      <c r="N82" s="11"/>
      <c r="O82" s="11"/>
    </row>
    <row r="83" spans="11:15">
      <c r="K83" s="6" t="s">
        <v>17</v>
      </c>
      <c r="L83" s="6" t="s">
        <v>122</v>
      </c>
      <c r="M83" s="6"/>
      <c r="N83" s="6"/>
      <c r="O83" s="6"/>
    </row>
    <row r="85" spans="11:15">
      <c r="K85" s="6" t="s">
        <v>129</v>
      </c>
      <c r="L85" s="7" t="s">
        <v>127</v>
      </c>
      <c r="M85" s="7"/>
      <c r="N85" s="7"/>
      <c r="O85" s="7"/>
    </row>
    <row r="86" spans="11:15">
      <c r="K86" s="4" t="s">
        <v>38</v>
      </c>
      <c r="L86" s="5">
        <v>32</v>
      </c>
      <c r="M86" s="5"/>
      <c r="N86" s="5"/>
      <c r="O86" s="5"/>
    </row>
    <row r="87" spans="11:15">
      <c r="K87" s="4" t="s">
        <v>54</v>
      </c>
      <c r="L87" s="5">
        <v>12</v>
      </c>
      <c r="M87" s="5"/>
      <c r="N87" s="5"/>
      <c r="O87" s="5"/>
    </row>
    <row r="88" spans="11:15">
      <c r="K88" s="4" t="s">
        <v>88</v>
      </c>
      <c r="L88" s="5">
        <v>12</v>
      </c>
      <c r="M88" s="5"/>
      <c r="N88" s="5"/>
      <c r="O88" s="5"/>
    </row>
    <row r="89" spans="11:15">
      <c r="K89" s="4" t="s">
        <v>69</v>
      </c>
      <c r="L89" s="5">
        <v>16</v>
      </c>
      <c r="M89" s="5"/>
      <c r="N89" s="5"/>
      <c r="O89" s="5"/>
    </row>
    <row r="90" spans="11:15">
      <c r="K90" s="4" t="s">
        <v>66</v>
      </c>
      <c r="L90" s="5">
        <v>24</v>
      </c>
      <c r="M90" s="5"/>
      <c r="N90" s="5"/>
      <c r="O90" s="5"/>
    </row>
    <row r="91" spans="11:15">
      <c r="K91" s="4" t="s">
        <v>46</v>
      </c>
      <c r="L91" s="5">
        <v>16</v>
      </c>
      <c r="M91" s="5"/>
      <c r="N91" s="5"/>
      <c r="O91" s="5"/>
    </row>
    <row r="92" spans="11:15">
      <c r="K92" s="4" t="s">
        <v>78</v>
      </c>
      <c r="L92" s="5">
        <v>8</v>
      </c>
      <c r="M92" s="5"/>
      <c r="N92" s="5"/>
      <c r="O92" s="5"/>
    </row>
    <row r="93" spans="11:15">
      <c r="K93" s="4" t="s">
        <v>58</v>
      </c>
      <c r="L93" s="5">
        <v>24</v>
      </c>
      <c r="M93" s="5"/>
      <c r="N93" s="5"/>
      <c r="O93" s="5"/>
    </row>
    <row r="94" spans="11:15">
      <c r="K94" s="4" t="s">
        <v>24</v>
      </c>
      <c r="L94" s="5">
        <v>4</v>
      </c>
      <c r="M94" s="5"/>
      <c r="N94" s="5"/>
      <c r="O94" s="5"/>
    </row>
    <row r="95" spans="11:15">
      <c r="K95" s="4" t="s">
        <v>61</v>
      </c>
      <c r="L95" s="5">
        <v>20</v>
      </c>
      <c r="M95" s="5"/>
      <c r="N95" s="5"/>
      <c r="O95" s="5"/>
    </row>
    <row r="96" spans="11:15">
      <c r="K96" s="4" t="s">
        <v>31</v>
      </c>
      <c r="L96" s="5">
        <v>16</v>
      </c>
      <c r="M96" s="5"/>
      <c r="N96" s="5"/>
      <c r="O96" s="5"/>
    </row>
    <row r="97" spans="11:15">
      <c r="K97" s="4" t="s">
        <v>74</v>
      </c>
      <c r="L97" s="5">
        <v>4</v>
      </c>
      <c r="M97" s="5"/>
      <c r="N97" s="5"/>
      <c r="O97" s="5"/>
    </row>
    <row r="98" spans="11:15">
      <c r="K98" s="4" t="s">
        <v>91</v>
      </c>
      <c r="L98" s="5">
        <v>24</v>
      </c>
      <c r="M98" s="5"/>
      <c r="N98" s="5"/>
      <c r="O98" s="5"/>
    </row>
    <row r="99" spans="11:15">
      <c r="K99" s="4" t="s">
        <v>126</v>
      </c>
      <c r="L99" s="5">
        <v>212</v>
      </c>
      <c r="M99" s="5"/>
      <c r="N99" s="5"/>
      <c r="O99" s="5"/>
    </row>
    <row r="100" spans="11:15" ht="15">
      <c r="K100"/>
      <c r="L100"/>
      <c r="M100"/>
      <c r="N100"/>
      <c r="O100"/>
    </row>
    <row r="101" spans="11:15" ht="15">
      <c r="K101"/>
      <c r="L101"/>
      <c r="M101"/>
      <c r="N101"/>
      <c r="O101"/>
    </row>
    <row r="102" spans="11:15" ht="15">
      <c r="K102"/>
      <c r="L102"/>
      <c r="M102"/>
      <c r="N102"/>
      <c r="O102"/>
    </row>
    <row r="103" spans="11:15" ht="15">
      <c r="K103"/>
      <c r="L103"/>
      <c r="M103"/>
      <c r="N103"/>
      <c r="O103"/>
    </row>
    <row r="104" spans="11:15" ht="15">
      <c r="K104"/>
      <c r="L104"/>
      <c r="M104"/>
      <c r="N104"/>
      <c r="O104"/>
    </row>
    <row r="105" spans="11:15" ht="15">
      <c r="K105"/>
      <c r="L105"/>
      <c r="M105"/>
      <c r="N105"/>
      <c r="O105"/>
    </row>
    <row r="106" spans="11:15" ht="15">
      <c r="K106"/>
      <c r="L106"/>
      <c r="M106"/>
      <c r="N106"/>
      <c r="O106"/>
    </row>
    <row r="107" spans="11:15" ht="15">
      <c r="K107"/>
      <c r="L107"/>
      <c r="M107"/>
      <c r="N107"/>
      <c r="O107"/>
    </row>
    <row r="108" spans="11:15" ht="15">
      <c r="K108"/>
      <c r="L108"/>
      <c r="M108"/>
      <c r="N108"/>
      <c r="O108"/>
    </row>
    <row r="109" spans="11:15" ht="15">
      <c r="K109"/>
      <c r="L109"/>
      <c r="M109"/>
      <c r="N109"/>
      <c r="O109"/>
    </row>
    <row r="110" spans="11:15" ht="15">
      <c r="K110"/>
      <c r="L110"/>
      <c r="M110"/>
      <c r="N110"/>
      <c r="O110"/>
    </row>
    <row r="111" spans="11:15" ht="15">
      <c r="K111"/>
      <c r="L111"/>
      <c r="M111"/>
      <c r="N111"/>
      <c r="O111"/>
    </row>
    <row r="112" spans="11:15" ht="15">
      <c r="K112"/>
      <c r="L112"/>
      <c r="M112"/>
      <c r="N112"/>
      <c r="O112"/>
    </row>
    <row r="113" spans="11:15" ht="15">
      <c r="K113"/>
      <c r="L113"/>
      <c r="M113"/>
      <c r="N113"/>
      <c r="O113"/>
    </row>
    <row r="114" spans="11:15" ht="15">
      <c r="K114"/>
      <c r="L114"/>
      <c r="M114"/>
      <c r="N114"/>
      <c r="O114"/>
    </row>
    <row r="115" spans="11:15" ht="15">
      <c r="K115"/>
      <c r="L115"/>
      <c r="M115"/>
      <c r="N115"/>
      <c r="O115"/>
    </row>
    <row r="116" spans="11:15" ht="15">
      <c r="K116"/>
      <c r="L116"/>
      <c r="M116"/>
      <c r="N116"/>
      <c r="O116"/>
    </row>
    <row r="117" spans="11:15" ht="15">
      <c r="K117"/>
      <c r="L117"/>
      <c r="M117"/>
      <c r="N117"/>
      <c r="O117"/>
    </row>
    <row r="118" spans="11:15" ht="15">
      <c r="K118"/>
      <c r="L118"/>
      <c r="M118"/>
      <c r="N118"/>
      <c r="O118"/>
    </row>
    <row r="119" spans="11:15" ht="15">
      <c r="K119"/>
      <c r="L119"/>
      <c r="M119"/>
      <c r="N119"/>
      <c r="O119"/>
    </row>
    <row r="120" spans="11:15" ht="15">
      <c r="K120"/>
      <c r="L120"/>
      <c r="M120"/>
      <c r="N120"/>
      <c r="O120"/>
    </row>
    <row r="121" spans="11:15" ht="15">
      <c r="K121"/>
      <c r="L121"/>
      <c r="M121"/>
      <c r="N121"/>
      <c r="O121"/>
    </row>
    <row r="122" spans="11:15" ht="15">
      <c r="K122"/>
      <c r="L122"/>
      <c r="M122"/>
      <c r="N122"/>
      <c r="O122"/>
    </row>
    <row r="123" spans="11:15" ht="15">
      <c r="K123"/>
      <c r="L123"/>
      <c r="M123"/>
      <c r="N123"/>
      <c r="O123"/>
    </row>
    <row r="124" spans="11:15" ht="15">
      <c r="K124"/>
      <c r="L124"/>
      <c r="M124"/>
      <c r="N124"/>
      <c r="O124"/>
    </row>
    <row r="125" spans="11:15" ht="15">
      <c r="K125"/>
      <c r="L125"/>
      <c r="M125"/>
      <c r="N125"/>
      <c r="O125"/>
    </row>
    <row r="126" spans="11:15" ht="15">
      <c r="K126"/>
      <c r="L126"/>
      <c r="M126"/>
      <c r="N126"/>
      <c r="O126"/>
    </row>
    <row r="127" spans="11:15" ht="15">
      <c r="K127"/>
      <c r="L127"/>
      <c r="M127"/>
      <c r="N127"/>
      <c r="O127"/>
    </row>
    <row r="128" spans="11:15" ht="15">
      <c r="K128"/>
      <c r="L128"/>
      <c r="M128"/>
      <c r="N128"/>
      <c r="O128"/>
    </row>
    <row r="129" spans="11:15" ht="15">
      <c r="K129"/>
      <c r="L129"/>
      <c r="M129"/>
      <c r="N129"/>
      <c r="O129"/>
    </row>
    <row r="130" spans="11:15" ht="15">
      <c r="K130"/>
      <c r="L130"/>
      <c r="M130"/>
      <c r="N130"/>
      <c r="O130"/>
    </row>
    <row r="131" spans="11:15" ht="15">
      <c r="K131"/>
      <c r="L131"/>
      <c r="M131"/>
      <c r="N131"/>
      <c r="O131"/>
    </row>
    <row r="132" spans="11:15" ht="15">
      <c r="K132"/>
      <c r="L132"/>
      <c r="M132"/>
      <c r="N132"/>
      <c r="O132"/>
    </row>
    <row r="133" spans="11:15" ht="15">
      <c r="K133"/>
      <c r="L133"/>
      <c r="M133"/>
      <c r="N133"/>
      <c r="O133"/>
    </row>
  </sheetData>
  <mergeCells count="19">
    <mergeCell ref="H22:I22"/>
    <mergeCell ref="H29:I29"/>
    <mergeCell ref="E2:F2"/>
    <mergeCell ref="E4:F4"/>
    <mergeCell ref="E11:F11"/>
    <mergeCell ref="E18:F18"/>
    <mergeCell ref="H3:I3"/>
    <mergeCell ref="E1:F1"/>
    <mergeCell ref="A2:C2"/>
    <mergeCell ref="A1:C1"/>
    <mergeCell ref="H1:I1"/>
    <mergeCell ref="U1:V1"/>
    <mergeCell ref="K1:L1"/>
    <mergeCell ref="K3:L3"/>
    <mergeCell ref="K26:L26"/>
    <mergeCell ref="K82:L82"/>
    <mergeCell ref="Q1:R1"/>
    <mergeCell ref="Q3:R3"/>
    <mergeCell ref="Q11:R11"/>
  </mergeCells>
  <pageMargins left="0.7" right="0.7" top="0.75" bottom="0.75" header="0.3" footer="0.3"/>
  <pageSetup orientation="portrait" horizontalDpi="300" verticalDpi="300" r:id="rId15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abSelected="1" zoomScale="70" zoomScaleNormal="70" workbookViewId="0">
      <selection activeCell="A51" sqref="A51"/>
    </sheetView>
  </sheetViews>
  <sheetFormatPr baseColWidth="10" defaultRowHeight="14.25"/>
  <cols>
    <col min="1" max="1" width="13.85546875" style="1" bestFit="1" customWidth="1"/>
    <col min="2" max="3" width="11.42578125" style="1"/>
    <col min="4" max="4" width="20.28515625" style="1" customWidth="1"/>
    <col min="5" max="5" width="11.42578125" style="1"/>
    <col min="6" max="6" width="2" style="1" customWidth="1"/>
    <col min="7" max="7" width="4.7109375" style="1" customWidth="1"/>
    <col min="8" max="8" width="17.7109375" style="1" bestFit="1" customWidth="1"/>
    <col min="9" max="9" width="13.7109375" style="1" customWidth="1"/>
    <col min="10" max="10" width="1.28515625" style="1" customWidth="1"/>
    <col min="11" max="19" width="11.42578125" style="1"/>
    <col min="20" max="20" width="2.42578125" style="1" customWidth="1"/>
    <col min="21" max="16384" width="11.42578125" style="1"/>
  </cols>
  <sheetData>
    <row r="1" spans="1:20" ht="16.5" customHeight="1">
      <c r="A1" s="43" t="s">
        <v>160</v>
      </c>
      <c r="B1" s="43"/>
      <c r="C1" s="43"/>
      <c r="D1" s="43"/>
      <c r="E1" s="43"/>
      <c r="F1" s="43"/>
      <c r="G1" s="43"/>
      <c r="H1" s="43"/>
      <c r="I1" s="43"/>
      <c r="J1" s="22"/>
      <c r="K1" s="43" t="s">
        <v>161</v>
      </c>
      <c r="L1" s="43"/>
      <c r="M1" s="43"/>
      <c r="N1" s="43"/>
      <c r="O1" s="43"/>
      <c r="P1" s="43"/>
      <c r="Q1" s="43"/>
      <c r="R1" s="43"/>
      <c r="S1" s="43"/>
      <c r="T1" s="22"/>
    </row>
    <row r="2" spans="1:20" ht="15">
      <c r="J2" s="22"/>
      <c r="T2" s="22"/>
    </row>
    <row r="3" spans="1:20" ht="15">
      <c r="J3" s="22"/>
      <c r="T3" s="22"/>
    </row>
    <row r="4" spans="1:20" ht="15">
      <c r="J4" s="22"/>
      <c r="T4" s="22"/>
    </row>
    <row r="5" spans="1:20" ht="15" customHeight="1">
      <c r="J5" s="22"/>
      <c r="N5" s="47" t="s">
        <v>163</v>
      </c>
      <c r="O5" s="47"/>
      <c r="T5" s="22"/>
    </row>
    <row r="6" spans="1:20" ht="15" customHeight="1">
      <c r="J6" s="22"/>
      <c r="N6" s="47"/>
      <c r="O6" s="47"/>
      <c r="T6" s="22"/>
    </row>
    <row r="7" spans="1:20" ht="15" customHeight="1">
      <c r="J7" s="22"/>
      <c r="N7" s="46">
        <f>+GETPIVOTDATA("% grasa",'Análisis (2)'!$H$40)</f>
        <v>0.26301886792452828</v>
      </c>
      <c r="O7" s="46"/>
      <c r="T7" s="22"/>
    </row>
    <row r="8" spans="1:20" ht="15" customHeight="1">
      <c r="J8" s="22"/>
      <c r="N8" s="46"/>
      <c r="O8" s="46"/>
      <c r="T8" s="22"/>
    </row>
    <row r="9" spans="1:20" ht="15">
      <c r="J9" s="22"/>
      <c r="T9" s="22"/>
    </row>
    <row r="10" spans="1:20" ht="15">
      <c r="J10" s="22"/>
      <c r="T10" s="22"/>
    </row>
    <row r="11" spans="1:20" ht="15">
      <c r="J11" s="22"/>
      <c r="T11" s="22"/>
    </row>
    <row r="12" spans="1:20" ht="15">
      <c r="J12" s="22"/>
      <c r="T12" s="22"/>
    </row>
    <row r="13" spans="1:20" ht="5.25" customHeight="1">
      <c r="A13" s="41"/>
      <c r="B13" s="41"/>
      <c r="C13" s="41"/>
      <c r="D13" s="41"/>
      <c r="E13" s="41"/>
      <c r="F13" s="41"/>
      <c r="G13" s="41"/>
      <c r="H13" s="41"/>
      <c r="I13" s="41"/>
      <c r="J13" s="22"/>
      <c r="K13" s="24"/>
      <c r="L13" s="24"/>
      <c r="M13" s="24"/>
      <c r="N13" s="24"/>
      <c r="O13" s="24"/>
      <c r="P13" s="24"/>
      <c r="Q13" s="24"/>
      <c r="R13" s="24"/>
      <c r="S13" s="24"/>
      <c r="T13" s="22"/>
    </row>
    <row r="14" spans="1:20" ht="5.2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spans="1:20" ht="18">
      <c r="A15" s="43" t="s">
        <v>164</v>
      </c>
      <c r="B15" s="43"/>
      <c r="C15" s="43"/>
      <c r="D15" s="43"/>
      <c r="E15" s="43"/>
      <c r="F15" s="43"/>
      <c r="G15" s="43"/>
      <c r="H15" s="43"/>
      <c r="I15" s="43"/>
      <c r="J15" s="22"/>
      <c r="K15" s="43" t="s">
        <v>161</v>
      </c>
      <c r="L15" s="43"/>
      <c r="M15" s="43"/>
      <c r="N15" s="43"/>
      <c r="O15" s="43"/>
      <c r="P15" s="43"/>
      <c r="Q15" s="43"/>
      <c r="R15" s="43"/>
      <c r="S15" s="43"/>
      <c r="T15" s="22"/>
    </row>
    <row r="16" spans="1:20" ht="15">
      <c r="J16" s="22"/>
      <c r="T16" s="22"/>
    </row>
    <row r="17" spans="1:20" ht="15" customHeight="1">
      <c r="A17" s="44" t="s">
        <v>165</v>
      </c>
      <c r="B17" s="44"/>
      <c r="D17" s="40" t="s">
        <v>10</v>
      </c>
      <c r="E17" s="40"/>
      <c r="H17" s="45" t="s">
        <v>9</v>
      </c>
      <c r="I17" s="45"/>
      <c r="J17" s="22"/>
      <c r="T17" s="22"/>
    </row>
    <row r="18" spans="1:20">
      <c r="A18" s="27" t="s">
        <v>166</v>
      </c>
      <c r="B18" s="28" t="s">
        <v>167</v>
      </c>
      <c r="D18" s="27" t="s">
        <v>139</v>
      </c>
      <c r="E18" s="28" t="s">
        <v>167</v>
      </c>
      <c r="H18" s="27" t="s">
        <v>139</v>
      </c>
      <c r="I18" s="28" t="s">
        <v>167</v>
      </c>
      <c r="J18" s="22"/>
      <c r="T18" s="22"/>
    </row>
    <row r="19" spans="1:20" ht="15" customHeight="1">
      <c r="A19" s="1" t="str">
        <f>+'Análisis (2)'!K7</f>
        <v>Bipolar</v>
      </c>
      <c r="B19" s="1">
        <f>+'Análisis (2)'!L7</f>
        <v>28</v>
      </c>
      <c r="D19" s="1" t="str">
        <f>+'Análisis (2)'!K30</f>
        <v xml:space="preserve">Solicitud  </v>
      </c>
      <c r="E19" s="1">
        <f>+'Análisis (2)'!L30</f>
        <v>20</v>
      </c>
      <c r="H19" s="1" t="str">
        <f>+'Análisis (2)'!K86</f>
        <v>Circulatorio</v>
      </c>
      <c r="I19" s="1">
        <f>+'Análisis (2)'!L86</f>
        <v>32</v>
      </c>
      <c r="J19" s="22"/>
      <c r="T19" s="22"/>
    </row>
    <row r="20" spans="1:20" ht="15">
      <c r="A20" s="1" t="str">
        <f>+'Análisis (2)'!K8</f>
        <v>Tiroides</v>
      </c>
      <c r="B20" s="1">
        <f>+'Análisis (2)'!L8</f>
        <v>20</v>
      </c>
      <c r="D20" s="1" t="str">
        <f>+'Análisis (2)'!K31</f>
        <v>Sinusitis</v>
      </c>
      <c r="E20" s="1">
        <f>+'Análisis (2)'!L31</f>
        <v>12</v>
      </c>
      <c r="H20" s="1" t="str">
        <f>+'Análisis (2)'!K87</f>
        <v>Consulta general</v>
      </c>
      <c r="I20" s="1">
        <f>+'Análisis (2)'!L87</f>
        <v>12</v>
      </c>
      <c r="J20" s="22"/>
      <c r="T20" s="22"/>
    </row>
    <row r="21" spans="1:20" ht="15" customHeight="1">
      <c r="A21" s="1" t="str">
        <f>+'Análisis (2)'!K9</f>
        <v>Asma y Rinitis</v>
      </c>
      <c r="B21" s="1">
        <f>+'Análisis (2)'!L9</f>
        <v>20</v>
      </c>
      <c r="D21" s="1" t="str">
        <f>+'Análisis (2)'!K32</f>
        <v>Migraña</v>
      </c>
      <c r="E21" s="1">
        <f>+'Análisis (2)'!L32</f>
        <v>8</v>
      </c>
      <c r="H21" s="1" t="str">
        <f>+'Análisis (2)'!K88</f>
        <v>Dermatológico</v>
      </c>
      <c r="I21" s="1">
        <f>+'Análisis (2)'!L88</f>
        <v>12</v>
      </c>
      <c r="J21" s="22"/>
      <c r="T21" s="22"/>
    </row>
    <row r="22" spans="1:20" ht="15" customHeight="1">
      <c r="A22" s="1" t="str">
        <f>+'Análisis (2)'!K10</f>
        <v>Hipertensión</v>
      </c>
      <c r="B22" s="1">
        <f>+'Análisis (2)'!L10</f>
        <v>16</v>
      </c>
      <c r="D22" s="1" t="str">
        <f>+'Análisis (2)'!K33</f>
        <v>Reflujo gastroesofágico</v>
      </c>
      <c r="E22" s="1">
        <f>+'Análisis (2)'!L33</f>
        <v>8</v>
      </c>
      <c r="H22" s="1" t="str">
        <f>+'Análisis (2)'!K89</f>
        <v>Gastrointestinal</v>
      </c>
      <c r="I22" s="1">
        <f>+'Análisis (2)'!L89</f>
        <v>16</v>
      </c>
      <c r="J22" s="22"/>
      <c r="T22" s="22"/>
    </row>
    <row r="23" spans="1:20" ht="15">
      <c r="A23" s="1" t="str">
        <f>+'Análisis (2)'!K11</f>
        <v>Hipotiroidismo</v>
      </c>
      <c r="B23" s="1">
        <f>+'Análisis (2)'!L11</f>
        <v>16</v>
      </c>
      <c r="D23" s="1" t="str">
        <f>+'Análisis (2)'!K34</f>
        <v>Picadura de insecto</v>
      </c>
      <c r="E23" s="1">
        <f>+'Análisis (2)'!L34</f>
        <v>8</v>
      </c>
      <c r="H23" s="1" t="str">
        <f>+'Análisis (2)'!K90</f>
        <v>Geniunitario</v>
      </c>
      <c r="I23" s="1">
        <f>+'Análisis (2)'!L90</f>
        <v>24</v>
      </c>
      <c r="J23" s="22"/>
      <c r="T23" s="22"/>
    </row>
    <row r="24" spans="1:20" ht="6.75" customHeight="1">
      <c r="A24" s="29"/>
      <c r="B24" s="29"/>
      <c r="C24" s="25"/>
      <c r="D24" s="29"/>
      <c r="E24" s="29"/>
      <c r="F24" s="25"/>
      <c r="G24" s="25"/>
      <c r="H24" s="29"/>
      <c r="I24" s="29"/>
      <c r="J24" s="22"/>
      <c r="T24" s="22"/>
    </row>
    <row r="25" spans="1:20" ht="15">
      <c r="J25" s="22"/>
      <c r="T25" s="22"/>
    </row>
    <row r="26" spans="1:20" ht="15">
      <c r="J26" s="22"/>
      <c r="T26" s="22"/>
    </row>
    <row r="27" spans="1:20" ht="15">
      <c r="A27" s="41"/>
      <c r="B27" s="41"/>
      <c r="C27" s="41"/>
      <c r="D27" s="41"/>
      <c r="E27" s="41"/>
      <c r="F27" s="41"/>
      <c r="G27" s="41"/>
      <c r="H27" s="41"/>
      <c r="I27" s="41"/>
      <c r="J27" s="22"/>
      <c r="K27" s="24"/>
      <c r="L27" s="24"/>
      <c r="M27" s="24"/>
      <c r="N27" s="24"/>
      <c r="O27" s="24"/>
      <c r="P27" s="24"/>
      <c r="Q27" s="24"/>
      <c r="R27" s="24"/>
      <c r="S27" s="24"/>
      <c r="T27" s="22"/>
    </row>
    <row r="28" spans="1:20" ht="5.2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1:20" ht="15">
      <c r="J29" s="22"/>
      <c r="T29" s="22"/>
    </row>
    <row r="30" spans="1:20" ht="15" customHeight="1">
      <c r="B30" s="37" t="s">
        <v>143</v>
      </c>
      <c r="C30" s="37"/>
      <c r="D30" s="37"/>
      <c r="E30" s="30"/>
      <c r="J30" s="22"/>
      <c r="M30" s="37" t="s">
        <v>168</v>
      </c>
      <c r="N30" s="37"/>
      <c r="O30" s="37"/>
      <c r="P30" s="37"/>
      <c r="T30" s="22"/>
    </row>
    <row r="31" spans="1:20" ht="15" customHeight="1">
      <c r="B31" s="37"/>
      <c r="C31" s="37"/>
      <c r="D31" s="37"/>
      <c r="E31" s="30"/>
      <c r="J31" s="22"/>
      <c r="M31" s="37"/>
      <c r="N31" s="37"/>
      <c r="O31" s="37"/>
      <c r="P31" s="37"/>
      <c r="T31" s="22"/>
    </row>
    <row r="32" spans="1:20" ht="15" customHeight="1">
      <c r="B32" s="37"/>
      <c r="C32" s="37"/>
      <c r="D32" s="37"/>
      <c r="E32" s="30"/>
      <c r="J32" s="22"/>
      <c r="M32" s="37"/>
      <c r="N32" s="37"/>
      <c r="O32" s="37"/>
      <c r="P32" s="37"/>
      <c r="T32" s="22"/>
    </row>
    <row r="33" spans="1:20" ht="15" customHeight="1">
      <c r="B33" s="42">
        <f>+GETPIVOTDATA("Monto de la consulta",'Análisis (2)'!$A$5)</f>
        <v>52915.226415094337</v>
      </c>
      <c r="C33" s="42"/>
      <c r="D33" s="42"/>
      <c r="E33" s="30"/>
      <c r="J33" s="22"/>
      <c r="M33" s="38">
        <f>+GETPIVOTDATA("Días",'Análisis (2)'!$A$13)</f>
        <v>3.64</v>
      </c>
      <c r="N33" s="38"/>
      <c r="O33" s="38"/>
      <c r="P33" s="38"/>
      <c r="T33" s="22"/>
    </row>
    <row r="34" spans="1:20" ht="15" customHeight="1">
      <c r="B34" s="42"/>
      <c r="C34" s="42"/>
      <c r="D34" s="42"/>
      <c r="E34" s="30"/>
      <c r="J34" s="22"/>
      <c r="M34" s="38"/>
      <c r="N34" s="38"/>
      <c r="O34" s="38"/>
      <c r="P34" s="38"/>
      <c r="T34" s="22"/>
    </row>
    <row r="35" spans="1:20" ht="15" customHeight="1">
      <c r="B35" s="42"/>
      <c r="C35" s="42"/>
      <c r="D35" s="42"/>
      <c r="J35" s="22"/>
      <c r="M35" s="38"/>
      <c r="N35" s="38"/>
      <c r="O35" s="38"/>
      <c r="P35" s="38"/>
      <c r="T35" s="22"/>
    </row>
    <row r="36" spans="1:20" ht="15">
      <c r="J36" s="22"/>
      <c r="T36" s="22"/>
    </row>
    <row r="37" spans="1:20" ht="15">
      <c r="A37" s="41"/>
      <c r="B37" s="41"/>
      <c r="C37" s="41"/>
      <c r="D37" s="41"/>
      <c r="E37" s="41"/>
      <c r="F37" s="41"/>
      <c r="G37" s="41"/>
      <c r="H37" s="41"/>
      <c r="I37" s="41"/>
      <c r="J37" s="22"/>
      <c r="K37" s="24"/>
      <c r="L37" s="24"/>
      <c r="M37" s="24"/>
      <c r="N37" s="24"/>
      <c r="O37" s="24"/>
      <c r="P37" s="24"/>
      <c r="Q37" s="24"/>
      <c r="R37" s="24"/>
      <c r="S37" s="24"/>
      <c r="T37" s="22"/>
    </row>
    <row r="38" spans="1:20" ht="6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40" spans="1:20" ht="15">
      <c r="A40" s="26" t="s">
        <v>169</v>
      </c>
    </row>
    <row r="41" spans="1:20" ht="15" customHeight="1">
      <c r="A41" s="39" t="s">
        <v>170</v>
      </c>
      <c r="B41" s="39"/>
      <c r="C41" s="39"/>
      <c r="D41" s="39"/>
      <c r="E41" s="39"/>
      <c r="F41" s="39"/>
      <c r="G41" s="39"/>
      <c r="H41" s="39"/>
      <c r="I41" s="39"/>
    </row>
    <row r="42" spans="1:20">
      <c r="A42" s="39"/>
      <c r="B42" s="39"/>
      <c r="C42" s="39"/>
      <c r="D42" s="39"/>
      <c r="E42" s="39"/>
      <c r="F42" s="39"/>
      <c r="G42" s="39"/>
      <c r="H42" s="39"/>
      <c r="I42" s="39"/>
    </row>
    <row r="43" spans="1:20">
      <c r="A43" s="39"/>
      <c r="B43" s="39"/>
      <c r="C43" s="39"/>
      <c r="D43" s="39"/>
      <c r="E43" s="39"/>
      <c r="F43" s="39"/>
      <c r="G43" s="39"/>
      <c r="H43" s="39"/>
      <c r="I43" s="39"/>
    </row>
    <row r="44" spans="1:20">
      <c r="A44" s="39"/>
      <c r="B44" s="39"/>
      <c r="C44" s="39"/>
      <c r="D44" s="39"/>
      <c r="E44" s="39"/>
      <c r="F44" s="39"/>
      <c r="G44" s="39"/>
      <c r="H44" s="39"/>
      <c r="I44" s="39"/>
    </row>
    <row r="45" spans="1:20">
      <c r="A45" s="39"/>
      <c r="B45" s="39"/>
      <c r="C45" s="39"/>
      <c r="D45" s="39"/>
      <c r="E45" s="39"/>
      <c r="F45" s="39"/>
      <c r="G45" s="39"/>
      <c r="H45" s="39"/>
      <c r="I45" s="39"/>
    </row>
    <row r="46" spans="1:20">
      <c r="A46" s="39"/>
      <c r="B46" s="39"/>
      <c r="C46" s="39"/>
      <c r="D46" s="39"/>
      <c r="E46" s="39"/>
      <c r="F46" s="39"/>
      <c r="G46" s="39"/>
      <c r="H46" s="39"/>
      <c r="I46" s="39"/>
    </row>
    <row r="47" spans="1:20">
      <c r="A47" s="39"/>
      <c r="B47" s="39"/>
      <c r="C47" s="39"/>
      <c r="D47" s="39"/>
      <c r="E47" s="39"/>
      <c r="F47" s="39"/>
      <c r="G47" s="39"/>
      <c r="H47" s="39"/>
      <c r="I47" s="39"/>
    </row>
    <row r="48" spans="1:20">
      <c r="A48" s="39"/>
      <c r="B48" s="39"/>
      <c r="C48" s="39"/>
      <c r="D48" s="39"/>
      <c r="E48" s="39"/>
      <c r="F48" s="39"/>
      <c r="G48" s="39"/>
      <c r="H48" s="39"/>
      <c r="I48" s="39"/>
    </row>
    <row r="49" spans="1:9">
      <c r="A49" s="39"/>
      <c r="B49" s="39"/>
      <c r="C49" s="39"/>
      <c r="D49" s="39"/>
      <c r="E49" s="39"/>
      <c r="F49" s="39"/>
      <c r="G49" s="39"/>
      <c r="H49" s="39"/>
      <c r="I49" s="39"/>
    </row>
    <row r="50" spans="1:9">
      <c r="A50" s="39"/>
      <c r="B50" s="39"/>
      <c r="C50" s="39"/>
      <c r="D50" s="39"/>
      <c r="E50" s="39"/>
      <c r="F50" s="39"/>
      <c r="G50" s="39"/>
      <c r="H50" s="39"/>
      <c r="I50" s="39"/>
    </row>
  </sheetData>
  <mergeCells count="17">
    <mergeCell ref="A1:I1"/>
    <mergeCell ref="A13:I13"/>
    <mergeCell ref="N7:O8"/>
    <mergeCell ref="N5:O6"/>
    <mergeCell ref="K1:S1"/>
    <mergeCell ref="A15:I15"/>
    <mergeCell ref="K15:S15"/>
    <mergeCell ref="A27:I27"/>
    <mergeCell ref="A17:B17"/>
    <mergeCell ref="H17:I17"/>
    <mergeCell ref="M30:P32"/>
    <mergeCell ref="M33:P35"/>
    <mergeCell ref="A41:I50"/>
    <mergeCell ref="D17:E17"/>
    <mergeCell ref="A37:I37"/>
    <mergeCell ref="B30:D32"/>
    <mergeCell ref="B33:D3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Análisis (2)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Oscar Centeno Mora</cp:lastModifiedBy>
  <dcterms:created xsi:type="dcterms:W3CDTF">2019-05-24T20:10:22Z</dcterms:created>
  <dcterms:modified xsi:type="dcterms:W3CDTF">2019-07-15T16:26:04Z</dcterms:modified>
</cp:coreProperties>
</file>